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323d36292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 Card &amp; Assumptions" sheetId="1" r:id="R44e94293deb849ec"/>
    <x:sheet xmlns:r="http://schemas.openxmlformats.org/officeDocument/2006/relationships" name="Tier A - Water Purifiers" sheetId="2" r:id="R28f9ca95cb30476c"/>
    <x:sheet xmlns:r="http://schemas.openxmlformats.org/officeDocument/2006/relationships" name="Tier B - Additional 8" sheetId="3" r:id="R5387b252cf594369"/>
    <x:sheet xmlns:r="http://schemas.openxmlformats.org/officeDocument/2006/relationships" name="Tier B - Full 45 Projects" sheetId="4" r:id="R53f1fa6c92fd47c5"/>
    <x:sheet xmlns:r="http://schemas.openxmlformats.org/officeDocument/2006/relationships" name="Pilot Summary" sheetId="5" r:id="R1e99720ccff84708"/>
    <x:sheet xmlns:r="http://schemas.openxmlformats.org/officeDocument/2006/relationships" name="Bank Drawdown &amp; Evidence" sheetId="6" r:id="R5057aaa6bd43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;[Red](₹#,##0);-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028d8f8c54ec5" /><Relationship Type="http://schemas.openxmlformats.org/officeDocument/2006/relationships/theme" Target="/xl/theme/theme1.xml" Id="Rfa32a54b24654362" /><Relationship Type="http://schemas.openxmlformats.org/officeDocument/2006/relationships/sharedStrings" Target="/xl/sharedStrings.xml" Id="R486939a16e6b447c" /><Relationship Type="http://schemas.openxmlformats.org/officeDocument/2006/relationships/worksheet" Target="/xl/worksheets/sheet1.xml" Id="R44e94293deb849ec" /><Relationship Type="http://schemas.openxmlformats.org/officeDocument/2006/relationships/worksheet" Target="/xl/worksheets/sheet2.xml" Id="R28f9ca95cb30476c" /><Relationship Type="http://schemas.openxmlformats.org/officeDocument/2006/relationships/worksheet" Target="/xl/worksheets/sheet3.xml" Id="R5387b252cf594369" /><Relationship Type="http://schemas.openxmlformats.org/officeDocument/2006/relationships/worksheet" Target="/xl/worksheets/sheet4.xml" Id="R53f1fa6c92fd47c5" /><Relationship Type="http://schemas.openxmlformats.org/officeDocument/2006/relationships/worksheet" Target="/xl/worksheets/sheet5.xml" Id="R1e99720ccff84708" /><Relationship Type="http://schemas.openxmlformats.org/officeDocument/2006/relationships/worksheet" Target="/xl/worksheets/sheet6.xml" Id="R5057aaa6bd434b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765fc6d9224c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Pilot Projects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cat>
            <c:strRef>
              <c:f>'Pilot Summary'!$A$5:$A$6</c:f>
              <c:strCache>
                <c:ptCount val="0"/>
              </c:strCache>
            </c:strRef>
          </c:cat>
          <c:val>
            <c:numRef>
              <c:f>'Pilot Summary'!$B$5:$B$6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765fc6d9224c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74417f66749408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4" hidden="0" customWidth="1"/>
    <x:col min="3" max="3" width="16" hidden="0" customWidth="1"/>
    <x:col min="4" max="4" width="4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28" customHeight="1">
      <x:c r="A1" s="4" t="str">
        <x:v>Minor-Pilot Planning Rate Card and Bank Assumptions</x:v>
      </x:c>
      <x:c r="B1" s="4"/>
      <x:c r="C1" s="4"/>
      <x:c r="D1" s="4"/>
      <x:c r="E1" s="4"/>
      <x:c r="F1" s="4"/>
      <x:c r="G1" s="4"/>
      <x:c r="H1" s="4"/>
    </x:row>
    <x:row r="3" ht="34" customHeight="1">
      <x:c r="A3" s="12" t="str">
        <x:v>Line Item</x:v>
      </x:c>
      <x:c r="B3" s="12" t="str">
        <x:v>Planning Unit</x:v>
      </x:c>
      <x:c r="C3" s="12" t="str">
        <x:v>Indicative Rate</x:v>
      </x:c>
      <x:c r="D3" s="12" t="str">
        <x:v>Scope / Limitation</x:v>
      </x:c>
      <x:c r="E3" s="12" t="str">
        <x:v>Rate Status</x:v>
      </x:c>
      <x:c r="F3" s="12" t="str">
        <x:v>Quotation Required?</x:v>
      </x:c>
      <x:c r="G3" s="12" t="str">
        <x:v>Source / Basis</x:v>
      </x:c>
      <x:c r="H3" s="12" t="str">
        <x:v>Bank Treatment</x:v>
      </x:c>
    </x:row>
    <x:row r="4">
      <x:c r="A4" s="22" t="str">
        <x:v>Water Purifier</x:v>
      </x:c>
      <x:c r="B4" s="22" t="str">
        <x:v>Number</x:v>
      </x:c>
      <x:c r="C4" s="23" t="n">
        <x:v>1400</x:v>
      </x:c>
      <x:c r="D4" s="22" t="str">
        <x:v>Low-cost purifier/filter unit; technical specification must be frozen before purchase.</x:v>
      </x:c>
      <x:c r="E4" s="22" t="str">
        <x:v>Internal planning estimate only</x:v>
      </x:c>
      <x:c r="F4" s="22" t="str">
        <x:v>Yes—minimum 3 current quotations</x:v>
      </x:c>
      <x:c r="G4" s="22" t="str">
        <x:v>User-provided pilot estimate / internal cost model</x:v>
      </x:c>
      <x:c r="H4" s="22" t="str">
        <x:v>Actual drawdown limited to accepted pro-forma invoice / purchase order</x:v>
      </x:c>
    </x:row>
    <x:row r="5">
      <x:c r="A5" s="22" t="str">
        <x:v>Games</x:v>
      </x:c>
      <x:c r="B5" s="22" t="str">
        <x:v>Number</x:v>
      </x:c>
      <x:c r="C5" s="23" t="n">
        <x:v>300</x:v>
      </x:c>
      <x:c r="D5" s="22" t="str">
        <x:v>Age-appropriate ECCE game item/kit unit.</x:v>
      </x:c>
      <x:c r="E5" s="22" t="str">
        <x:v>Internal planning estimate only</x:v>
      </x:c>
      <x:c r="F5" s="22" t="str">
        <x:v>Yes—minimum 3 current quotations</x:v>
      </x:c>
      <x:c r="G5" s="22" t="str">
        <x:v>User-provided pilot estimate / internal cost model</x:v>
      </x:c>
      <x:c r="H5" s="22" t="str">
        <x:v>Actual drawdown limited to accepted pro-forma invoice / purchase order</x:v>
      </x:c>
    </x:row>
    <x:row r="6">
      <x:c r="A6" s="22" t="str">
        <x:v>Cooking Equipments</x:v>
      </x:c>
      <x:c r="B6" s="22" t="str">
        <x:v>Number</x:v>
      </x:c>
      <x:c r="C6" s="23" t="n">
        <x:v>15400</x:v>
      </x:c>
      <x:c r="D6" s="22" t="str">
        <x:v>Basic cooking equipment package per recorded unit.</x:v>
      </x:c>
      <x:c r="E6" s="22" t="str">
        <x:v>Internal planning estimate only</x:v>
      </x:c>
      <x:c r="F6" s="22" t="str">
        <x:v>Yes—minimum 3 current quotations</x:v>
      </x:c>
      <x:c r="G6" s="22" t="str">
        <x:v>User-provided pilot estimate / internal cost model</x:v>
      </x:c>
      <x:c r="H6" s="22" t="str">
        <x:v>Actual drawdown limited to accepted pro-forma invoice / purchase order</x:v>
      </x:c>
    </x:row>
    <x:row r="7">
      <x:c r="A7" s="22" t="str">
        <x:v>Toys</x:v>
      </x:c>
      <x:c r="B7" s="22" t="str">
        <x:v>Number</x:v>
      </x:c>
      <x:c r="C7" s="23" t="n">
        <x:v>300</x:v>
      </x:c>
      <x:c r="D7" s="22" t="str">
        <x:v>Age-appropriate toy item/kit unit.</x:v>
      </x:c>
      <x:c r="E7" s="22" t="str">
        <x:v>Internal planning estimate only</x:v>
      </x:c>
      <x:c r="F7" s="22" t="str">
        <x:v>Yes—minimum 3 current quotations</x:v>
      </x:c>
      <x:c r="G7" s="22" t="str">
        <x:v>User-provided pilot estimate / internal cost model</x:v>
      </x:c>
      <x:c r="H7" s="22" t="str">
        <x:v>Actual drawdown limited to accepted pro-forma invoice / purchase order</x:v>
      </x:c>
    </x:row>
    <x:row r="8">
      <x:c r="A8" s="22" t="str">
        <x:v>Balls</x:v>
      </x:c>
      <x:c r="B8" s="22" t="str">
        <x:v>Number</x:v>
      </x:c>
      <x:c r="C8" s="23" t="n">
        <x:v>200</x:v>
      </x:c>
      <x:c r="D8" s="22" t="str">
        <x:v>Child-safe play ball.</x:v>
      </x:c>
      <x:c r="E8" s="22" t="str">
        <x:v>Internal planning estimate only</x:v>
      </x:c>
      <x:c r="F8" s="22" t="str">
        <x:v>Yes—minimum 3 current quotations</x:v>
      </x:c>
      <x:c r="G8" s="22" t="str">
        <x:v>User-provided pilot estimate / internal cost model</x:v>
      </x:c>
      <x:c r="H8" s="22" t="str">
        <x:v>Actual drawdown limited to accepted pro-forma invoice / purchase order</x:v>
      </x:c>
    </x:row>
    <x:row r="9">
      <x:c r="A9" s="22" t="str">
        <x:v>Bats</x:v>
      </x:c>
      <x:c r="B9" s="22" t="str">
        <x:v>Number</x:v>
      </x:c>
      <x:c r="C9" s="23" t="n">
        <x:v>300</x:v>
      </x:c>
      <x:c r="D9" s="22" t="str">
        <x:v>Lightweight child-safe bat.</x:v>
      </x:c>
      <x:c r="E9" s="22" t="str">
        <x:v>Internal planning estimate only</x:v>
      </x:c>
      <x:c r="F9" s="22" t="str">
        <x:v>Yes—minimum 3 current quotations</x:v>
      </x:c>
      <x:c r="G9" s="22" t="str">
        <x:v>User-provided pilot estimate / internal cost model</x:v>
      </x:c>
      <x:c r="H9" s="22" t="str">
        <x:v>Actual drawdown limited to accepted pro-forma invoice / purchase order</x:v>
      </x:c>
    </x:row>
    <x:row r="10">
      <x:c r="A10" s="22" t="str">
        <x:v>Seeds</x:v>
      </x:c>
      <x:c r="B10" s="22" t="str">
        <x:v>Number</x:v>
      </x:c>
      <x:c r="C10" s="23" t="n">
        <x:v>200</x:v>
      </x:c>
      <x:c r="D10" s="22" t="str">
        <x:v>Seasonal seed/sapling input unit.</x:v>
      </x:c>
      <x:c r="E10" s="22" t="str">
        <x:v>Internal planning estimate only</x:v>
      </x:c>
      <x:c r="F10" s="22" t="str">
        <x:v>Yes—minimum 3 current quotations</x:v>
      </x:c>
      <x:c r="G10" s="22" t="str">
        <x:v>User-provided pilot estimate / internal cost model</x:v>
      </x:c>
      <x:c r="H10" s="22" t="str">
        <x:v>Actual drawdown limited to accepted pro-forma invoice / purchase order</x:v>
      </x:c>
    </x:row>
    <x:row r="11">
      <x:c r="A11" s="22" t="str">
        <x:v>Gardening Equipment</x:v>
      </x:c>
      <x:c r="B11" s="22" t="str">
        <x:v>Number</x:v>
      </x:c>
      <x:c r="C11" s="23" t="n">
        <x:v>1500</x:v>
      </x:c>
      <x:c r="D11" s="22" t="str">
        <x:v>Basic garden tool package.</x:v>
      </x:c>
      <x:c r="E11" s="22" t="str">
        <x:v>Internal planning estimate only</x:v>
      </x:c>
      <x:c r="F11" s="22" t="str">
        <x:v>Yes—minimum 3 current quotations</x:v>
      </x:c>
      <x:c r="G11" s="22" t="str">
        <x:v>User-provided pilot estimate / internal cost model</x:v>
      </x:c>
      <x:c r="H11" s="22" t="str">
        <x:v>Actual drawdown limited to accepted pro-forma invoice / purchase order</x:v>
      </x:c>
    </x:row>
    <x:row r="12">
      <x:c r="A12" s="22" t="str">
        <x:v>Other resources</x:v>
      </x:c>
      <x:c r="B12" s="22" t="str">
        <x:v>Number / Sq. Feet</x:v>
      </x:c>
      <x:c r="C12" s="23" t="n">
        <x:v>2500</x:v>
      </x:c>
      <x:c r="D12" s="22" t="str">
        <x:v>Placeholder package rate; exact item list must be approved.</x:v>
      </x:c>
      <x:c r="E12" s="22" t="str">
        <x:v>Internal planning estimate only</x:v>
      </x:c>
      <x:c r="F12" s="22" t="str">
        <x:v>Yes—minimum 3 current quotations</x:v>
      </x:c>
      <x:c r="G12" s="22" t="str">
        <x:v>User-provided pilot estimate / internal cost model</x:v>
      </x:c>
      <x:c r="H12" s="22" t="str">
        <x:v>Actual drawdown limited to accepted pro-forma invoice / purchase order</x:v>
      </x:c>
    </x:row>
    <x:row r="13">
      <x:c r="A13" s="22" t="str">
        <x:v>Swing sets</x:v>
      </x:c>
      <x:c r="B13" s="22" t="str">
        <x:v>Number</x:v>
      </x:c>
      <x:c r="C13" s="23" t="n">
        <x:v>21500</x:v>
      </x:c>
      <x:c r="D13" s="22" t="str">
        <x:v>Installed child-safe swing unit; requires site and safety verification.</x:v>
      </x:c>
      <x:c r="E13" s="22" t="str">
        <x:v>Internal planning estimate only</x:v>
      </x:c>
      <x:c r="F13" s="22" t="str">
        <x:v>Yes—minimum 3 current quotations</x:v>
      </x:c>
      <x:c r="G13" s="22" t="str">
        <x:v>User-provided pilot estimate / internal cost model</x:v>
      </x:c>
      <x:c r="H13" s="22" t="str">
        <x:v>Actual drawdown limited to accepted pro-forma invoice / purchase order</x:v>
      </x:c>
    </x:row>
    <x:row r="16">
      <x:c r="A16" s="26" t="str">
        <x:v>KEY ASSUMPTIONS TO UPDATE BEFORE BANK SUBMISSION</x:v>
      </x:c>
      <x:c r="B16" s="26"/>
      <x:c r="C16" s="26"/>
      <x:c r="D16" s="26"/>
      <x:c r="E16" s="26"/>
      <x:c r="F16" s="26"/>
      <x:c r="G16" s="26"/>
      <x:c r="H16" s="26"/>
    </x:row>
    <x:row r="17">
      <x:c r="A17" s="29" t="str">
        <x:v>Applicant / Borrower</x:v>
      </x:c>
      <x:c r="B17" s="34" t="str">
        <x:v>Synergy India Foundation</x:v>
      </x:c>
    </x:row>
    <x:row r="18">
      <x:c r="A18" s="29" t="str">
        <x:v>Named CSR / funding source</x:v>
      </x:c>
      <x:c r="B18" s="34" t="str">
        <x:v>[UPDATE BEFORE SUBMISSION]</x:v>
      </x:c>
    </x:row>
    <x:row r="19">
      <x:c r="A19" s="29" t="str">
        <x:v>Expected receipt date</x:v>
      </x:c>
      <x:c r="B19" s="34" t="str">
        <x:v>[UPDATE BEFORE SUBMISSION]</x:v>
      </x:c>
    </x:row>
    <x:row r="20">
      <x:c r="A20" s="29" t="str">
        <x:v>Proposed lending bank / branch</x:v>
      </x:c>
      <x:c r="B20" s="34" t="str">
        <x:v>[UPDATE BEFORE SUBMISSION]</x:v>
      </x:c>
    </x:row>
    <x:row r="21">
      <x:c r="A21" s="29" t="str">
        <x:v>Facility type requested</x:v>
      </x:c>
      <x:c r="B21" s="34" t="str">
        <x:v>Working Capital OD / Cash Credit / Short-Term Bridge Finance</x:v>
      </x:c>
    </x:row>
    <x:row r="22">
      <x:c r="A22" s="29" t="str">
        <x:v>Pilot commencement</x:v>
      </x:c>
      <x:c r="B22" s="34" t="str">
        <x:v>After bank sanction, project validation and vendor quotation approval</x:v>
      </x:c>
    </x:row>
  </x:sheetData>
  <x:mergeCells>
    <x:mergeCell ref="A1:H1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32" hidden="0" customWidth="1"/>
    <x:col min="5" max="5" width="42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17" hidden="0" customWidth="1"/>
    <x:col min="11" max="11" width="15" hidden="0" customWidth="1"/>
    <x:col min="12" max="12" width="31" hidden="0" customWidth="1"/>
    <x:col min="13" max="13" width="40" hidden="0" customWidth="1"/>
    <x:col min="14" max="14" width="32" hidden="0" customWidth="1"/>
  </x:cols>
  <x:sheetData>
    <x:row r="1" ht="28" customHeight="1">
      <x:c r="A1" s="4" t="str">
        <x:v>Tier A — 37 Single-Item Water-Purifier Projects (38 Units)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38" t="str">
        <x:v>Recommended use: first pilot. Draw only for projects whose centre details and project scope are verified. Current planning cost is indicative and must be replaced with accepted vendor quotations.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4" ht="34" customHeight="1">
      <x:c r="A4" s="12" t="str">
        <x:v>S.No</x:v>
      </x:c>
      <x:c r="B4" s="12" t="str">
        <x:v>Project UID</x:v>
      </x:c>
      <x:c r="C4" s="12" t="str">
        <x:v>Project ID</x:v>
      </x:c>
      <x:c r="D4" s="12" t="str">
        <x:v>Project Title</x:v>
      </x:c>
      <x:c r="E4" s="12" t="str">
        <x:v>Anganwadi Centre(s)</x:v>
      </x:c>
      <x:c r="F4" s="12" t="str">
        <x:v># Centres</x:v>
      </x:c>
      <x:c r="G4" s="12" t="str">
        <x:v>Beneficiaries</x:v>
      </x:c>
      <x:c r="H4" s="12" t="str">
        <x:v>Purifier Qty</x:v>
      </x:c>
      <x:c r="I4" s="12" t="str">
        <x:v>Planning Rate</x:v>
      </x:c>
      <x:c r="J4" s="12" t="str">
        <x:v>Estimated Direct Cost</x:v>
      </x:c>
      <x:c r="K4" s="12" t="str">
        <x:v>Partial Contribution</x:v>
      </x:c>
      <x:c r="L4" s="12" t="str">
        <x:v>Bank Readiness</x:v>
      </x:c>
      <x:c r="M4" s="12" t="str">
        <x:v>Data / Scope Flag</x:v>
      </x:c>
      <x:c r="N4" s="12" t="str">
        <x:v>Recommended Pilot Action</x:v>
      </x:c>
    </x:row>
    <x:row r="5">
      <x:c r="A5" s="22" t="n">
        <x:v>1</x:v>
      </x:c>
      <x:c r="B5" s="22" t="str">
        <x:v>PRJ-2026-0001481</x:v>
      </x:c>
      <x:c r="C5" s="22" t="n">
        <x:v>1481</x:v>
      </x:c>
      <x:c r="D5" s="22" t="str">
        <x:v>Proposal for water filter</x:v>
      </x:c>
      <x:c r="E5" s="22" t="str">
        <x:v>Bazarwadi -3 (36699010109)</x:v>
      </x:c>
      <x:c r="F5" s="22" t="n">
        <x:v>1</x:v>
      </x:c>
      <x:c r="G5" s="22" t="n">
        <x:v>55</x:v>
      </x:c>
      <x:c r="H5" s="22" t="n">
        <x:v>1</x:v>
      </x:c>
      <x:c r="I5" s="42" t="n">
        <x:f>'Rate Card &amp; Assumptions'!$C$4</x:f>
        <x:v>1400</x:v>
      </x:c>
      <x:c r="J5" s="43" t="n">
        <x:f>H5*I5</x:f>
        <x:v>1400</x:v>
      </x:c>
      <x:c r="K5" s="22" t="str">
        <x:v>No</x:v>
      </x:c>
      <x:c r="L5" s="22" t="str">
        <x:v>Ready for bank-funded execution</x:v>
      </x:c>
      <x:c r="M5" s="22"/>
      <x:c r="N5" s="22" t="str">
        <x:v>Include in first drawdown</x:v>
      </x:c>
    </x:row>
    <x:row r="6">
      <x:c r="A6" s="22" t="n">
        <x:v>2</x:v>
      </x:c>
      <x:c r="B6" s="22" t="str">
        <x:v>PRJ-2026-0001530</x:v>
      </x:c>
      <x:c r="C6" s="22" t="n">
        <x:v>1530</x:v>
      </x:c>
      <x:c r="D6" s="22" t="str">
        <x:v>Proposal for water filter</x:v>
      </x:c>
      <x:c r="E6" s="22" t="str">
        <x:v>Bazarwadi -2 (36699010108)</x:v>
      </x:c>
      <x:c r="F6" s="22" t="n">
        <x:v>1</x:v>
      </x:c>
      <x:c r="G6" s="22" t="n">
        <x:v>65</x:v>
      </x:c>
      <x:c r="H6" s="22" t="n">
        <x:v>1</x:v>
      </x:c>
      <x:c r="I6" s="42" t="n">
        <x:f>'Rate Card &amp; Assumptions'!$C$4</x:f>
        <x:v>1400</x:v>
      </x:c>
      <x:c r="J6" s="43" t="n">
        <x:f>H6*I6</x:f>
        <x:v>1400</x:v>
      </x:c>
      <x:c r="K6" s="22" t="str">
        <x:v>No</x:v>
      </x:c>
      <x:c r="L6" s="22" t="str">
        <x:v>Ready for bank-funded execution</x:v>
      </x:c>
      <x:c r="M6" s="22"/>
      <x:c r="N6" s="22" t="str">
        <x:v>Include in first drawdown</x:v>
      </x:c>
    </x:row>
    <x:row r="7">
      <x:c r="A7" s="22" t="n">
        <x:v>3</x:v>
      </x:c>
      <x:c r="B7" s="22" t="str">
        <x:v>PRJ-2026-0001619</x:v>
      </x:c>
      <x:c r="C7" s="22" t="n">
        <x:v>1619</x:v>
      </x:c>
      <x:c r="D7" s="22" t="str">
        <x:v>Proposal for water filter</x:v>
      </x:c>
      <x:c r="E7" s="22" t="str">
        <x:v>Bapunagar (36699010105)</x:v>
      </x:c>
      <x:c r="F7" s="22" t="n">
        <x:v>1</x:v>
      </x:c>
      <x:c r="G7" s="22" t="n">
        <x:v>58</x:v>
      </x:c>
      <x:c r="H7" s="22" t="n">
        <x:v>1</x:v>
      </x:c>
      <x:c r="I7" s="42" t="n">
        <x:f>'Rate Card &amp; Assumptions'!$C$4</x:f>
        <x:v>1400</x:v>
      </x:c>
      <x:c r="J7" s="43" t="n">
        <x:f>H7*I7</x:f>
        <x:v>1400</x:v>
      </x:c>
      <x:c r="K7" s="22" t="str">
        <x:v>No</x:v>
      </x:c>
      <x:c r="L7" s="22" t="str">
        <x:v>Ready for bank-funded execution</x:v>
      </x:c>
      <x:c r="M7" s="22"/>
      <x:c r="N7" s="22" t="str">
        <x:v>Include in first drawdown</x:v>
      </x:c>
    </x:row>
    <x:row r="8">
      <x:c r="A8" s="22" t="n">
        <x:v>4</x:v>
      </x:c>
      <x:c r="B8" s="22" t="str">
        <x:v>PRJ-2026-0001655</x:v>
      </x:c>
      <x:c r="C8" s="22" t="n">
        <x:v>1655</x:v>
      </x:c>
      <x:c r="D8" s="22" t="str">
        <x:v>Proposal for water filter</x:v>
      </x:c>
      <x:c r="E8" s="22" t="str">
        <x:v>Asifabad -2 (36699010102)</x:v>
      </x:c>
      <x:c r="F8" s="22" t="n">
        <x:v>1</x:v>
      </x:c>
      <x:c r="G8" s="22" t="n">
        <x:v>60</x:v>
      </x:c>
      <x:c r="H8" s="22" t="n">
        <x:v>1</x:v>
      </x:c>
      <x:c r="I8" s="42" t="n">
        <x:f>'Rate Card &amp; Assumptions'!$C$4</x:f>
        <x:v>1400</x:v>
      </x:c>
      <x:c r="J8" s="43" t="n">
        <x:f>H8*I8</x:f>
        <x:v>1400</x:v>
      </x:c>
      <x:c r="K8" s="22" t="str">
        <x:v>No</x:v>
      </x:c>
      <x:c r="L8" s="22" t="str">
        <x:v>Ready for bank-funded execution</x:v>
      </x:c>
      <x:c r="M8" s="22"/>
      <x:c r="N8" s="22" t="str">
        <x:v>Include in first drawdown</x:v>
      </x:c>
    </x:row>
    <x:row r="9">
      <x:c r="A9" s="22" t="n">
        <x:v>5</x:v>
      </x:c>
      <x:c r="B9" s="22" t="str">
        <x:v>PRJ-2026-0001700</x:v>
      </x:c>
      <x:c r="C9" s="22" t="n">
        <x:v>1700</x:v>
      </x:c>
      <x:c r="D9" s="22" t="str">
        <x:v>Proposal for water filter</x:v>
      </x:c>
      <x:c r="E9" s="22" t="str">
        <x:v>Mazidwada (36699010123)</x:v>
      </x:c>
      <x:c r="F9" s="22" t="n">
        <x:v>1</x:v>
      </x:c>
      <x:c r="G9" s="22" t="n">
        <x:v>60</x:v>
      </x:c>
      <x:c r="H9" s="22" t="n">
        <x:v>1</x:v>
      </x:c>
      <x:c r="I9" s="42" t="n">
        <x:f>'Rate Card &amp; Assumptions'!$C$4</x:f>
        <x:v>1400</x:v>
      </x:c>
      <x:c r="J9" s="43" t="n">
        <x:f>H9*I9</x:f>
        <x:v>1400</x:v>
      </x:c>
      <x:c r="K9" s="22" t="str">
        <x:v>No</x:v>
      </x:c>
      <x:c r="L9" s="22" t="str">
        <x:v>Ready for bank-funded execution</x:v>
      </x:c>
      <x:c r="M9" s="22"/>
      <x:c r="N9" s="22" t="str">
        <x:v>Include in first drawdown</x:v>
      </x:c>
    </x:row>
    <x:row r="10">
      <x:c r="A10" s="22" t="n">
        <x:v>6</x:v>
      </x:c>
      <x:c r="B10" s="22" t="str">
        <x:v>PRJ-2026-0001962</x:v>
      </x:c>
      <x:c r="C10" s="22" t="n">
        <x:v>1962</x:v>
      </x:c>
      <x:c r="D10" s="22" t="str">
        <x:v>requirement of anganwadi fecilitices</x:v>
      </x:c>
      <x:c r="E10" s="22" t="str">
        <x:v>Amargonda (36699030201)</x:v>
      </x:c>
      <x:c r="F10" s="22" t="n">
        <x:v>1</x:v>
      </x:c>
      <x:c r="G10" s="22" t="n">
        <x:v>26</x:v>
      </x:c>
      <x:c r="H10" s="22" t="n">
        <x:v>1</x:v>
      </x:c>
      <x:c r="I10" s="42" t="n">
        <x:f>'Rate Card &amp; Assumptions'!$C$4</x:f>
        <x:v>1400</x:v>
      </x:c>
      <x:c r="J10" s="43" t="n">
        <x:f>H10*I10</x:f>
        <x:v>1400</x:v>
      </x:c>
      <x:c r="K10" s="22" t="str">
        <x:v>No</x:v>
      </x:c>
      <x:c r="L10" s="22" t="str">
        <x:v>Ready for bank-funded execution</x:v>
      </x:c>
      <x:c r="M10" s="22"/>
      <x:c r="N10" s="22" t="str">
        <x:v>Include in first drawdown</x:v>
      </x:c>
    </x:row>
    <x:row r="11">
      <x:c r="A11" s="22" t="n">
        <x:v>7</x:v>
      </x:c>
      <x:c r="B11" s="22" t="str">
        <x:v>PRJ-2026-0002002</x:v>
      </x:c>
      <x:c r="C11" s="22" t="n">
        <x:v>2002</x:v>
      </x:c>
      <x:c r="D11" s="22" t="str">
        <x:v>requirement of anganwadi facilities</x:v>
      </x:c>
      <x:c r="E11" s="22" t="str">
        <x:v>Bamanagar (36699030202)</x:v>
      </x:c>
      <x:c r="F11" s="22" t="n">
        <x:v>1</x:v>
      </x:c>
      <x:c r="G11" s="22" t="n">
        <x:v>30</x:v>
      </x:c>
      <x:c r="H11" s="22" t="n">
        <x:v>1</x:v>
      </x:c>
      <x:c r="I11" s="42" t="n">
        <x:f>'Rate Card &amp; Assumptions'!$C$4</x:f>
        <x:v>1400</x:v>
      </x:c>
      <x:c r="J11" s="43" t="n">
        <x:f>H11*I11</x:f>
        <x:v>1400</x:v>
      </x:c>
      <x:c r="K11" s="22" t="str">
        <x:v>No</x:v>
      </x:c>
      <x:c r="L11" s="22" t="str">
        <x:v>Ready for bank-funded execution</x:v>
      </x:c>
      <x:c r="M11" s="22"/>
      <x:c r="N11" s="22" t="str">
        <x:v>Include in first drawdown</x:v>
      </x:c>
    </x:row>
    <x:row r="12">
      <x:c r="A12" s="22" t="n">
        <x:v>8</x:v>
      </x:c>
      <x:c r="B12" s="22" t="str">
        <x:v>PRJ-2026-0002431</x:v>
      </x:c>
      <x:c r="C12" s="22" t="n">
        <x:v>2431</x:v>
      </x:c>
      <x:c r="D12" s="22" t="str">
        <x:v>requirement of anganwadi  facilties</x:v>
      </x:c>
      <x:c r="E12" s="22" t="str">
        <x:v>Chandrapally - 1 (36699030204)</x:v>
      </x:c>
      <x:c r="F12" s="22" t="n">
        <x:v>1</x:v>
      </x:c>
      <x:c r="G12" s="22" t="n">
        <x:v>30</x:v>
      </x:c>
      <x:c r="H12" s="22" t="n">
        <x:v>1</x:v>
      </x:c>
      <x:c r="I12" s="42" t="n">
        <x:f>'Rate Card &amp; Assumptions'!$C$4</x:f>
        <x:v>1400</x:v>
      </x:c>
      <x:c r="J12" s="43" t="n">
        <x:f>H12*I12</x:f>
        <x:v>1400</x:v>
      </x:c>
      <x:c r="K12" s="22" t="str">
        <x:v>No</x:v>
      </x:c>
      <x:c r="L12" s="22" t="str">
        <x:v>Ready for bank-funded execution</x:v>
      </x:c>
      <x:c r="M12" s="22"/>
      <x:c r="N12" s="22" t="str">
        <x:v>Include in first drawdown</x:v>
      </x:c>
    </x:row>
    <x:row r="13">
      <x:c r="A13" s="22" t="n">
        <x:v>9</x:v>
      </x:c>
      <x:c r="B13" s="22" t="str">
        <x:v>PRJ-2026-0003208</x:v>
      </x:c>
      <x:c r="C13" s="22" t="n">
        <x:v>3208</x:v>
      </x:c>
      <x:c r="D13" s="22" t="str">
        <x:v>water filter</x:v>
      </x:c>
      <x:c r="E13" s="22" t="str">
        <x:v>Girivelly - 2 (36699030209)</x:v>
      </x:c>
      <x:c r="F13" s="22" t="n">
        <x:v>1</x:v>
      </x:c>
      <x:c r="G13" s="22" t="n">
        <x:v>32</x:v>
      </x:c>
      <x:c r="H13" s="22" t="n">
        <x:v>1</x:v>
      </x:c>
      <x:c r="I13" s="42" t="n">
        <x:f>'Rate Card &amp; Assumptions'!$C$4</x:f>
        <x:v>1400</x:v>
      </x:c>
      <x:c r="J13" s="43" t="n">
        <x:f>H13*I13</x:f>
        <x:v>1400</x:v>
      </x:c>
      <x:c r="K13" s="22" t="str">
        <x:v>No</x:v>
      </x:c>
      <x:c r="L13" s="22" t="str">
        <x:v>Ready for bank-funded execution</x:v>
      </x:c>
      <x:c r="M13" s="22"/>
      <x:c r="N13" s="22" t="str">
        <x:v>Include in first drawdown</x:v>
      </x:c>
    </x:row>
    <x:row r="14">
      <x:c r="A14" s="22" t="n">
        <x:v>10</x:v>
      </x:c>
      <x:c r="B14" s="22" t="str">
        <x:v>PRJ-2026-0003245</x:v>
      </x:c>
      <x:c r="C14" s="22" t="n">
        <x:v>3245</x:v>
      </x:c>
      <x:c r="D14" s="22" t="str">
        <x:v>water filter</x:v>
      </x:c>
      <x:c r="E14" s="22" t="str">
        <x:v>Gudem (36699030210)</x:v>
      </x:c>
      <x:c r="F14" s="22" t="n">
        <x:v>1</x:v>
      </x:c>
      <x:c r="G14" s="22" t="n">
        <x:v>34</x:v>
      </x:c>
      <x:c r="H14" s="22" t="n">
        <x:v>1</x:v>
      </x:c>
      <x:c r="I14" s="42" t="n">
        <x:f>'Rate Card &amp; Assumptions'!$C$4</x:f>
        <x:v>1400</x:v>
      </x:c>
      <x:c r="J14" s="43" t="n">
        <x:f>H14*I14</x:f>
        <x:v>1400</x:v>
      </x:c>
      <x:c r="K14" s="22" t="str">
        <x:v>No</x:v>
      </x:c>
      <x:c r="L14" s="22" t="str">
        <x:v>Ready for bank-funded execution</x:v>
      </x:c>
      <x:c r="M14" s="22"/>
      <x:c r="N14" s="22" t="str">
        <x:v>Include in first drawdown</x:v>
      </x:c>
    </x:row>
    <x:row r="15">
      <x:c r="A15" s="22" t="n">
        <x:v>11</x:v>
      </x:c>
      <x:c r="B15" s="22" t="str">
        <x:v>PRJ-2026-0003859</x:v>
      </x:c>
      <x:c r="C15" s="22" t="n">
        <x:v>3859</x:v>
      </x:c>
      <x:c r="D15" s="22" t="str">
        <x:v>requirement of anganwadi facilities</x:v>
      </x:c>
      <x:c r="E15" s="22" t="str">
        <x:v>Kalwada (36699030211)</x:v>
      </x:c>
      <x:c r="F15" s="22" t="n">
        <x:v>1</x:v>
      </x:c>
      <x:c r="G15" s="22" t="n">
        <x:v>35</x:v>
      </x:c>
      <x:c r="H15" s="22" t="n">
        <x:v>1</x:v>
      </x:c>
      <x:c r="I15" s="42" t="n">
        <x:f>'Rate Card &amp; Assumptions'!$C$4</x:f>
        <x:v>1400</x:v>
      </x:c>
      <x:c r="J15" s="43" t="n">
        <x:f>H15*I15</x:f>
        <x:v>1400</x:v>
      </x:c>
      <x:c r="K15" s="22" t="str">
        <x:v>No</x:v>
      </x:c>
      <x:c r="L15" s="22" t="str">
        <x:v>Ready for bank-funded execution</x:v>
      </x:c>
      <x:c r="M15" s="22"/>
      <x:c r="N15" s="22" t="str">
        <x:v>Include in first drawdown</x:v>
      </x:c>
    </x:row>
    <x:row r="16">
      <x:c r="A16" s="22" t="n">
        <x:v>12</x:v>
      </x:c>
      <x:c r="B16" s="22" t="str">
        <x:v>PRJ-2026-0004105</x:v>
      </x:c>
      <x:c r="C16" s="22" t="n">
        <x:v>4105</x:v>
      </x:c>
      <x:c r="D16" s="22" t="str">
        <x:v>water filter</x:v>
      </x:c>
      <x:c r="E16" s="22" t="str">
        <x:v>Konchavelly - 2 (36699030214)</x:v>
      </x:c>
      <x:c r="F16" s="22" t="n">
        <x:v>1</x:v>
      </x:c>
      <x:c r="G16" s="22" t="n">
        <x:v>30</x:v>
      </x:c>
      <x:c r="H16" s="22" t="n">
        <x:v>1</x:v>
      </x:c>
      <x:c r="I16" s="42" t="n">
        <x:f>'Rate Card &amp; Assumptions'!$C$4</x:f>
        <x:v>1400</x:v>
      </x:c>
      <x:c r="J16" s="43" t="n">
        <x:f>H16*I16</x:f>
        <x:v>1400</x:v>
      </x:c>
      <x:c r="K16" s="22" t="str">
        <x:v>No</x:v>
      </x:c>
      <x:c r="L16" s="22" t="str">
        <x:v>Ready for bank-funded execution</x:v>
      </x:c>
      <x:c r="M16" s="22"/>
      <x:c r="N16" s="22" t="str">
        <x:v>Include in first drawdown</x:v>
      </x:c>
    </x:row>
    <x:row r="17">
      <x:c r="A17" s="22" t="n">
        <x:v>13</x:v>
      </x:c>
      <x:c r="B17" s="22" t="str">
        <x:v>PRJ-2026-0004137</x:v>
      </x:c>
      <x:c r="C17" s="22" t="n">
        <x:v>4137</x:v>
      </x:c>
      <x:c r="D17" s="22" t="str">
        <x:v>water filter</x:v>
      </x:c>
      <x:c r="E17" s="22" t="str">
        <x:v>Konchavelly - 3 (36699030215)</x:v>
      </x:c>
      <x:c r="F17" s="22" t="n">
        <x:v>1</x:v>
      </x:c>
      <x:c r="G17" s="22" t="n">
        <x:v>30</x:v>
      </x:c>
      <x:c r="H17" s="22" t="n">
        <x:v>1</x:v>
      </x:c>
      <x:c r="I17" s="42" t="n">
        <x:f>'Rate Card &amp; Assumptions'!$C$4</x:f>
        <x:v>1400</x:v>
      </x:c>
      <x:c r="J17" s="43" t="n">
        <x:f>H17*I17</x:f>
        <x:v>1400</x:v>
      </x:c>
      <x:c r="K17" s="22" t="str">
        <x:v>No</x:v>
      </x:c>
      <x:c r="L17" s="22" t="str">
        <x:v>Ready for bank-funded execution</x:v>
      </x:c>
      <x:c r="M17" s="22"/>
      <x:c r="N17" s="22" t="str">
        <x:v>Include in first drawdown</x:v>
      </x:c>
    </x:row>
    <x:row r="18">
      <x:c r="A18" s="22" t="n">
        <x:v>14</x:v>
      </x:c>
      <x:c r="B18" s="22" t="str">
        <x:v>PRJ-2026-0004191</x:v>
      </x:c>
      <x:c r="C18" s="22" t="n">
        <x:v>4191</x:v>
      </x:c>
      <x:c r="D18" s="22" t="str">
        <x:v>water filter</x:v>
      </x:c>
      <x:c r="E18" s="22" t="str">
        <x:v>Motlaguda (36699030217)</x:v>
      </x:c>
      <x:c r="F18" s="22" t="n">
        <x:v>1</x:v>
      </x:c>
      <x:c r="G18" s="22" t="n">
        <x:v>32</x:v>
      </x:c>
      <x:c r="H18" s="22" t="n">
        <x:v>1</x:v>
      </x:c>
      <x:c r="I18" s="42" t="n">
        <x:f>'Rate Card &amp; Assumptions'!$C$4</x:f>
        <x:v>1400</x:v>
      </x:c>
      <x:c r="J18" s="43" t="n">
        <x:f>H18*I18</x:f>
        <x:v>1400</x:v>
      </x:c>
      <x:c r="K18" s="22" t="str">
        <x:v>No</x:v>
      </x:c>
      <x:c r="L18" s="22" t="str">
        <x:v>Ready for bank-funded execution</x:v>
      </x:c>
      <x:c r="M18" s="22"/>
      <x:c r="N18" s="22" t="str">
        <x:v>Include in first drawdown</x:v>
      </x:c>
    </x:row>
    <x:row r="19">
      <x:c r="A19" s="22" t="n">
        <x:v>15</x:v>
      </x:c>
      <x:c r="B19" s="22" t="str">
        <x:v>PRJ-2026-0004303</x:v>
      </x:c>
      <x:c r="C19" s="22" t="n">
        <x:v>4303</x:v>
      </x:c>
      <x:c r="D19" s="22" t="str">
        <x:v>Provision of water suppliers</x:v>
      </x:c>
      <x:c r="E19" s="22" t="str">
        <x:v>Banglawada (36699010303)</x:v>
      </x:c>
      <x:c r="F19" s="22" t="n">
        <x:v>1</x:v>
      </x:c>
      <x:c r="G19" s="22" t="n">
        <x:v>48</x:v>
      </x:c>
      <x:c r="H19" s="22" t="n">
        <x:v>1</x:v>
      </x:c>
      <x:c r="I19" s="42" t="n">
        <x:f>'Rate Card &amp; Assumptions'!$C$4</x:f>
        <x:v>1400</x:v>
      </x:c>
      <x:c r="J19" s="43" t="n">
        <x:f>H19*I19</x:f>
        <x:v>1400</x:v>
      </x:c>
      <x:c r="K19" s="22" t="str">
        <x:v>No</x:v>
      </x:c>
      <x:c r="L19" s="22" t="str">
        <x:v>Ready for bank-funded execution</x:v>
      </x:c>
      <x:c r="M19" s="22"/>
      <x:c r="N19" s="22" t="str">
        <x:v>Include in first drawdown</x:v>
      </x:c>
    </x:row>
    <x:row r="20">
      <x:c r="A20" s="22" t="n">
        <x:v>16</x:v>
      </x:c>
      <x:c r="B20" s="22" t="str">
        <x:v>PRJ-2026-0004379</x:v>
      </x:c>
      <x:c r="C20" s="22" t="n">
        <x:v>4379</x:v>
      </x:c>
      <x:c r="D20" s="22" t="str">
        <x:v>provision of water suppliers</x:v>
      </x:c>
      <x:c r="E20" s="22" t="str">
        <x:v>Burguda-2 (36699010306)</x:v>
      </x:c>
      <x:c r="F20" s="22" t="n">
        <x:v>1</x:v>
      </x:c>
      <x:c r="G20" s="22" t="n">
        <x:v>29</x:v>
      </x:c>
      <x:c r="H20" s="22" t="n">
        <x:v>1</x:v>
      </x:c>
      <x:c r="I20" s="42" t="n">
        <x:f>'Rate Card &amp; Assumptions'!$C$4</x:f>
        <x:v>1400</x:v>
      </x:c>
      <x:c r="J20" s="43" t="n">
        <x:f>H20*I20</x:f>
        <x:v>1400</x:v>
      </x:c>
      <x:c r="K20" s="22" t="str">
        <x:v>No</x:v>
      </x:c>
      <x:c r="L20" s="22" t="str">
        <x:v>Ready for bank-funded execution</x:v>
      </x:c>
      <x:c r="M20" s="22"/>
      <x:c r="N20" s="22" t="str">
        <x:v>Include in first drawdown</x:v>
      </x:c>
    </x:row>
    <x:row r="21">
      <x:c r="A21" s="22" t="n">
        <x:v>17</x:v>
      </x:c>
      <x:c r="B21" s="22" t="str">
        <x:v>PRJ-2026-0004454</x:v>
      </x:c>
      <x:c r="C21" s="22" t="n">
        <x:v>4454</x:v>
      </x:c>
      <x:c r="D21" s="22" t="str">
        <x:v>provision of water supplier</x:v>
      </x:c>
      <x:c r="E21" s="22" t="str">
        <x:v>Chilatiguda (36699010308)</x:v>
      </x:c>
      <x:c r="F21" s="22" t="n">
        <x:v>1</x:v>
      </x:c>
      <x:c r="G21" s="22" t="n">
        <x:v>40</x:v>
      </x:c>
      <x:c r="H21" s="22" t="n">
        <x:v>1</x:v>
      </x:c>
      <x:c r="I21" s="42" t="n">
        <x:f>'Rate Card &amp; Assumptions'!$C$4</x:f>
        <x:v>1400</x:v>
      </x:c>
      <x:c r="J21" s="43" t="n">
        <x:f>H21*I21</x:f>
        <x:v>1400</x:v>
      </x:c>
      <x:c r="K21" s="22" t="str">
        <x:v>No</x:v>
      </x:c>
      <x:c r="L21" s="22" t="str">
        <x:v>Ready for bank-funded execution</x:v>
      </x:c>
      <x:c r="M21" s="22"/>
      <x:c r="N21" s="22" t="str">
        <x:v>Include in first drawdown</x:v>
      </x:c>
    </x:row>
    <x:row r="22">
      <x:c r="A22" s="22" t="n">
        <x:v>18</x:v>
      </x:c>
      <x:c r="B22" s="22" t="str">
        <x:v>PRJ-2026-0004522</x:v>
      </x:c>
      <x:c r="C22" s="22" t="n">
        <x:v>4522</x:v>
      </x:c>
      <x:c r="D22" s="22" t="str">
        <x:v>provision of water supplier</x:v>
      </x:c>
      <x:c r="E22" s="22" t="str">
        <x:v>Mothuguda -2 (36699010321)</x:v>
      </x:c>
      <x:c r="F22" s="22" t="n">
        <x:v>1</x:v>
      </x:c>
      <x:c r="G22" s="22" t="n">
        <x:v>56</x:v>
      </x:c>
      <x:c r="H22" s="22" t="n">
        <x:v>1</x:v>
      </x:c>
      <x:c r="I22" s="42" t="n">
        <x:f>'Rate Card &amp; Assumptions'!$C$4</x:f>
        <x:v>1400</x:v>
      </x:c>
      <x:c r="J22" s="43" t="n">
        <x:f>H22*I22</x:f>
        <x:v>1400</x:v>
      </x:c>
      <x:c r="K22" s="22" t="str">
        <x:v>No</x:v>
      </x:c>
      <x:c r="L22" s="22" t="str">
        <x:v>Ready for bank-funded execution</x:v>
      </x:c>
      <x:c r="M22" s="22"/>
      <x:c r="N22" s="22" t="str">
        <x:v>Include in first drawdown</x:v>
      </x:c>
    </x:row>
    <x:row r="23">
      <x:c r="A23" s="22" t="n">
        <x:v>19</x:v>
      </x:c>
      <x:c r="B23" s="22" t="str">
        <x:v>PRJ-2026-0006628</x:v>
      </x:c>
      <x:c r="C23" s="22" t="n">
        <x:v>6628</x:v>
      </x:c>
      <x:c r="D23" s="22" t="str">
        <x:v>Proposal for water filter</x:v>
      </x:c>
      <x:c r="E23" s="22" t="str">
        <x:v>Pullikuntaq  (36699010721)</x:v>
      </x:c>
      <x:c r="F23" s="22" t="n">
        <x:v>1</x:v>
      </x:c>
      <x:c r="G23" s="22" t="n">
        <x:v>70</x:v>
      </x:c>
      <x:c r="H23" s="22" t="n">
        <x:v>1</x:v>
      </x:c>
      <x:c r="I23" s="42" t="n">
        <x:f>'Rate Card &amp; Assumptions'!$C$4</x:f>
        <x:v>1400</x:v>
      </x:c>
      <x:c r="J23" s="43" t="n">
        <x:f>H23*I23</x:f>
        <x:v>1400</x:v>
      </x:c>
      <x:c r="K23" s="22" t="str">
        <x:v>No</x:v>
      </x:c>
      <x:c r="L23" s="22" t="str">
        <x:v>Ready for bank-funded execution</x:v>
      </x:c>
      <x:c r="M23" s="22"/>
      <x:c r="N23" s="22" t="str">
        <x:v>Include in first drawdown</x:v>
      </x:c>
    </x:row>
    <x:row r="24">
      <x:c r="A24" s="22" t="n">
        <x:v>20</x:v>
      </x:c>
      <x:c r="B24" s="22" t="str">
        <x:v>PRJ-2026-0006634</x:v>
      </x:c>
      <x:c r="C24" s="22" t="n">
        <x:v>6634</x:v>
      </x:c>
      <x:c r="D24" s="22" t="str">
        <x:v>Proposal for water filter</x:v>
      </x:c>
      <x:c r="E24" s="22" t="str">
        <x:v>Pikajiguda  (36699010718)</x:v>
      </x:c>
      <x:c r="F24" s="22" t="n">
        <x:v>1</x:v>
      </x:c>
      <x:c r="G24" s="22" t="n">
        <x:v>65</x:v>
      </x:c>
      <x:c r="H24" s="22" t="n">
        <x:v>1</x:v>
      </x:c>
      <x:c r="I24" s="42" t="n">
        <x:f>'Rate Card &amp; Assumptions'!$C$4</x:f>
        <x:v>1400</x:v>
      </x:c>
      <x:c r="J24" s="43" t="n">
        <x:f>H24*I24</x:f>
        <x:v>1400</x:v>
      </x:c>
      <x:c r="K24" s="22" t="str">
        <x:v>No</x:v>
      </x:c>
      <x:c r="L24" s="22" t="str">
        <x:v>Ready for bank-funded execution</x:v>
      </x:c>
      <x:c r="M24" s="22"/>
      <x:c r="N24" s="22" t="str">
        <x:v>Include in first drawdown</x:v>
      </x:c>
    </x:row>
    <x:row r="25">
      <x:c r="A25" s="22" t="n">
        <x:v>21</x:v>
      </x:c>
      <x:c r="B25" s="22" t="str">
        <x:v>PRJ-2026-0006641</x:v>
      </x:c>
      <x:c r="C25" s="22" t="n">
        <x:v>6641</x:v>
      </x:c>
      <x:c r="D25" s="22" t="str">
        <x:v>Proposal for water filter</x:v>
      </x:c>
      <x:c r="E25" s="22" t="str">
        <x:v>Pasigaon (36699010717)</x:v>
      </x:c>
      <x:c r="F25" s="22" t="n">
        <x:v>1</x:v>
      </x:c>
      <x:c r="G25" s="22" t="n">
        <x:v>68</x:v>
      </x:c>
      <x:c r="H25" s="22" t="n">
        <x:v>1</x:v>
      </x:c>
      <x:c r="I25" s="42" t="n">
        <x:f>'Rate Card &amp; Assumptions'!$C$4</x:f>
        <x:v>1400</x:v>
      </x:c>
      <x:c r="J25" s="43" t="n">
        <x:f>H25*I25</x:f>
        <x:v>1400</x:v>
      </x:c>
      <x:c r="K25" s="22" t="str">
        <x:v>No</x:v>
      </x:c>
      <x:c r="L25" s="22" t="str">
        <x:v>Ready for bank-funded execution</x:v>
      </x:c>
      <x:c r="M25" s="22"/>
      <x:c r="N25" s="22" t="str">
        <x:v>Include in first drawdown</x:v>
      </x:c>
    </x:row>
    <x:row r="26">
      <x:c r="A26" s="22" t="n">
        <x:v>22</x:v>
      </x:c>
      <x:c r="B26" s="22" t="str">
        <x:v>PRJ-2026-0006645</x:v>
      </x:c>
      <x:c r="C26" s="22" t="n">
        <x:v>6645</x:v>
      </x:c>
      <x:c r="D26" s="22" t="str">
        <x:v>Proposal for water filter</x:v>
      </x:c>
      <x:c r="E26" s="22" t="str">
        <x:v>Narayanpur -3 (36699010716)</x:v>
      </x:c>
      <x:c r="F26" s="22" t="n">
        <x:v>1</x:v>
      </x:c>
      <x:c r="G26" s="22" t="n">
        <x:v>74</x:v>
      </x:c>
      <x:c r="H26" s="22" t="n">
        <x:v>1</x:v>
      </x:c>
      <x:c r="I26" s="42" t="n">
        <x:f>'Rate Card &amp; Assumptions'!$C$4</x:f>
        <x:v>1400</x:v>
      </x:c>
      <x:c r="J26" s="43" t="n">
        <x:f>H26*I26</x:f>
        <x:v>1400</x:v>
      </x:c>
      <x:c r="K26" s="22" t="str">
        <x:v>No</x:v>
      </x:c>
      <x:c r="L26" s="22" t="str">
        <x:v>Ready for bank-funded execution</x:v>
      </x:c>
      <x:c r="M26" s="22"/>
      <x:c r="N26" s="22" t="str">
        <x:v>Include in first drawdown</x:v>
      </x:c>
    </x:row>
    <x:row r="27">
      <x:c r="A27" s="22" t="n">
        <x:v>23</x:v>
      </x:c>
      <x:c r="B27" s="22" t="str">
        <x:v>PRJ-2026-0006649</x:v>
      </x:c>
      <x:c r="C27" s="22" t="n">
        <x:v>6649</x:v>
      </x:c>
      <x:c r="D27" s="22" t="str">
        <x:v>Proposal for water filter in AWC</x:v>
      </x:c>
      <x:c r="E27" s="22" t="str">
        <x:v>Nambala -2 (36699010710)</x:v>
      </x:c>
      <x:c r="F27" s="22" t="n">
        <x:v>1</x:v>
      </x:c>
      <x:c r="G27" s="22" t="n">
        <x:v>66</x:v>
      </x:c>
      <x:c r="H27" s="22" t="n">
        <x:v>1</x:v>
      </x:c>
      <x:c r="I27" s="42" t="n">
        <x:f>'Rate Card &amp; Assumptions'!$C$4</x:f>
        <x:v>1400</x:v>
      </x:c>
      <x:c r="J27" s="43" t="n">
        <x:f>H27*I27</x:f>
        <x:v>1400</x:v>
      </x:c>
      <x:c r="K27" s="22" t="str">
        <x:v>No</x:v>
      </x:c>
      <x:c r="L27" s="22" t="str">
        <x:v>Ready for bank-funded execution</x:v>
      </x:c>
      <x:c r="M27" s="22"/>
      <x:c r="N27" s="22" t="str">
        <x:v>Include in first drawdown</x:v>
      </x:c>
    </x:row>
    <x:row r="28">
      <x:c r="A28" s="22" t="n">
        <x:v>24</x:v>
      </x:c>
      <x:c r="B28" s="22" t="str">
        <x:v>PRJ-2026-0006659</x:v>
      </x:c>
      <x:c r="C28" s="22" t="n">
        <x:v>6659</x:v>
      </x:c>
      <x:c r="D28" s="22" t="str">
        <x:v>Proposal for water filter</x:v>
      </x:c>
      <x:c r="E28" s="22" t="str">
        <x:v>Kothaguda (36699010707)</x:v>
      </x:c>
      <x:c r="F28" s="22" t="n">
        <x:v>1</x:v>
      </x:c>
      <x:c r="G28" s="22" t="n">
        <x:v>65</x:v>
      </x:c>
      <x:c r="H28" s="22" t="n">
        <x:v>1</x:v>
      </x:c>
      <x:c r="I28" s="42" t="n">
        <x:f>'Rate Card &amp; Assumptions'!$C$4</x:f>
        <x:v>1400</x:v>
      </x:c>
      <x:c r="J28" s="43" t="n">
        <x:f>H28*I28</x:f>
        <x:v>1400</x:v>
      </x:c>
      <x:c r="K28" s="22" t="str">
        <x:v>No</x:v>
      </x:c>
      <x:c r="L28" s="22" t="str">
        <x:v>Ready for bank-funded execution</x:v>
      </x:c>
      <x:c r="M28" s="22"/>
      <x:c r="N28" s="22" t="str">
        <x:v>Include in first drawdown</x:v>
      </x:c>
    </x:row>
    <x:row r="29">
      <x:c r="A29" s="22" t="n">
        <x:v>25</x:v>
      </x:c>
      <x:c r="B29" s="22" t="str">
        <x:v>PRJ-2026-0006664</x:v>
      </x:c>
      <x:c r="C29" s="22" t="n">
        <x:v>6664</x:v>
      </x:c>
      <x:c r="D29" s="22" t="str">
        <x:v>Proposal for water filter</x:v>
      </x:c>
      <x:c r="E29" s="22" t="str">
        <x:v>Golemguda  (36699010706)</x:v>
      </x:c>
      <x:c r="F29" s="22" t="n">
        <x:v>1</x:v>
      </x:c>
      <x:c r="G29" s="22" t="n">
        <x:v>70</x:v>
      </x:c>
      <x:c r="H29" s="22" t="n">
        <x:v>1</x:v>
      </x:c>
      <x:c r="I29" s="42" t="n">
        <x:f>'Rate Card &amp; Assumptions'!$C$4</x:f>
        <x:v>1400</x:v>
      </x:c>
      <x:c r="J29" s="43" t="n">
        <x:f>H29*I29</x:f>
        <x:v>1400</x:v>
      </x:c>
      <x:c r="K29" s="22" t="str">
        <x:v>No</x:v>
      </x:c>
      <x:c r="L29" s="22" t="str">
        <x:v>Ready for bank-funded execution</x:v>
      </x:c>
      <x:c r="M29" s="22"/>
      <x:c r="N29" s="22" t="str">
        <x:v>Include in first drawdown</x:v>
      </x:c>
    </x:row>
    <x:row r="30">
      <x:c r="A30" s="22" t="n">
        <x:v>26</x:v>
      </x:c>
      <x:c r="B30" s="22" t="str">
        <x:v>PRJ-2026-0007329</x:v>
      </x:c>
      <x:c r="C30" s="22" t="n">
        <x:v>7329</x:v>
      </x:c>
      <x:c r="D30" s="22" t="str">
        <x:v>Water filter</x:v>
      </x:c>
      <x:c r="E30" s="22" t="str">
        <x:v>Dubbaguda (36699010803)</x:v>
      </x:c>
      <x:c r="F30" s="22" t="n">
        <x:v>1</x:v>
      </x:c>
      <x:c r="G30" s="22" t="n">
        <x:v>52</x:v>
      </x:c>
      <x:c r="H30" s="22" t="n">
        <x:v>1</x:v>
      </x:c>
      <x:c r="I30" s="42" t="n">
        <x:f>'Rate Card &amp; Assumptions'!$C$4</x:f>
        <x:v>1400</x:v>
      </x:c>
      <x:c r="J30" s="43" t="n">
        <x:f>H30*I30</x:f>
        <x:v>1400</x:v>
      </x:c>
      <x:c r="K30" s="22" t="str">
        <x:v>Yes</x:v>
      </x:c>
      <x:c r="L30" s="22" t="str">
        <x:v>Ready for bank-funded execution</x:v>
      </x:c>
      <x:c r="M30" s="22"/>
      <x:c r="N30" s="22" t="str">
        <x:v>Include in first drawdown</x:v>
      </x:c>
    </x:row>
    <x:row r="31">
      <x:c r="A31" s="22" t="n">
        <x:v>27</x:v>
      </x:c>
      <x:c r="B31" s="22" t="str">
        <x:v>PRJ-2026-0010044</x:v>
      </x:c>
      <x:c r="C31" s="22" t="n">
        <x:v>10044</x:v>
      </x:c>
      <x:c r="D31" s="22" t="str">
        <x:v>Water filter</x:v>
      </x:c>
      <x:c r="E31" s="22" t="str">
        <x:v>Devulaguda  (36699010802)</x:v>
      </x:c>
      <x:c r="F31" s="22" t="n">
        <x:v>1</x:v>
      </x:c>
      <x:c r="G31" s="22" t="n">
        <x:v>19</x:v>
      </x:c>
      <x:c r="H31" s="22" t="n">
        <x:v>1</x:v>
      </x:c>
      <x:c r="I31" s="42" t="n">
        <x:f>'Rate Card &amp; Assumptions'!$C$4</x:f>
        <x:v>1400</x:v>
      </x:c>
      <x:c r="J31" s="43" t="n">
        <x:f>H31*I31</x:f>
        <x:v>1400</x:v>
      </x:c>
      <x:c r="K31" s="22" t="str">
        <x:v>Yes</x:v>
      </x:c>
      <x:c r="L31" s="22" t="str">
        <x:v>Ready for bank-funded execution</x:v>
      </x:c>
      <x:c r="M31" s="22"/>
      <x:c r="N31" s="22" t="str">
        <x:v>Include in first drawdown</x:v>
      </x:c>
    </x:row>
    <x:row r="32">
      <x:c r="A32" s="22" t="n">
        <x:v>28</x:v>
      </x:c>
      <x:c r="B32" s="22" t="str">
        <x:v>PRJ-2026-0010183</x:v>
      </x:c>
      <x:c r="C32" s="22" t="n">
        <x:v>10183</x:v>
      </x:c>
      <x:c r="D32" s="22" t="str">
        <x:v>Water filter</x:v>
      </x:c>
      <x:c r="E32" s="22" t="str">
        <x:v>Rebbena -3 (36699010818)</x:v>
      </x:c>
      <x:c r="F32" s="22" t="n">
        <x:v>1</x:v>
      </x:c>
      <x:c r="G32" s="22" t="n">
        <x:v>43</x:v>
      </x:c>
      <x:c r="H32" s="22" t="n">
        <x:v>1</x:v>
      </x:c>
      <x:c r="I32" s="42" t="n">
        <x:f>'Rate Card &amp; Assumptions'!$C$4</x:f>
        <x:v>1400</x:v>
      </x:c>
      <x:c r="J32" s="43" t="n">
        <x:f>H32*I32</x:f>
        <x:v>1400</x:v>
      </x:c>
      <x:c r="K32" s="22" t="str">
        <x:v>Yes</x:v>
      </x:c>
      <x:c r="L32" s="22" t="str">
        <x:v>Ready for bank-funded execution</x:v>
      </x:c>
      <x:c r="M32" s="22"/>
      <x:c r="N32" s="22" t="str">
        <x:v>Include in first drawdown</x:v>
      </x:c>
    </x:row>
    <x:row r="33">
      <x:c r="A33" s="22" t="n">
        <x:v>29</x:v>
      </x:c>
      <x:c r="B33" s="22" t="str">
        <x:v>PRJ-2026-0005279</x:v>
      </x:c>
      <x:c r="C33" s="22" t="n">
        <x:v>5279</x:v>
      </x:c>
      <x:c r="D33" s="22" t="str">
        <x:v>Upgradation of Anganwadi</x:v>
      </x:c>
      <x:c r="E33" s="22" t="str">
        <x:v>Arewada (36699010502); Venkatapur (36699010520)</x:v>
      </x:c>
      <x:c r="F33" s="22" t="n">
        <x:v>2</x:v>
      </x:c>
      <x:c r="G33" s="22" t="n">
        <x:v>38</x:v>
      </x:c>
      <x:c r="H33" s="22" t="n">
        <x:v>2</x:v>
      </x:c>
      <x:c r="I33" s="42" t="n">
        <x:f>'Rate Card &amp; Assumptions'!$C$4</x:f>
        <x:v>1400</x:v>
      </x:c>
      <x:c r="J33" s="43" t="n">
        <x:f>H33*I33</x:f>
        <x:v>2800</x:v>
      </x:c>
      <x:c r="K33" s="22" t="str">
        <x:v>No</x:v>
      </x:c>
      <x:c r="L33" s="22" t="str">
        <x:v>Conditional—freeze reduced scope/BoQ first</x:v>
      </x:c>
      <x:c r="M33" s="22" t="str">
        <x:v>Multi-unit scope (2); ₹50K cannot cover all units</x:v>
      </x:c>
      <x:c r="N33" s="22" t="str">
        <x:v>Correct/verify project data before drawdown</x:v>
      </x:c>
    </x:row>
    <x:row r="34">
      <x:c r="A34" s="22" t="n">
        <x:v>30</x:v>
      </x:c>
      <x:c r="B34" s="22" t="str">
        <x:v>PRJ-2026-0006477</x:v>
      </x:c>
      <x:c r="C34" s="22" t="n">
        <x:v>6477</x:v>
      </x:c>
      <x:c r="D34" s="22" t="str">
        <x:v>Rain Water Harvesting System : Water Filter Kitchen Construction : Poshan Vat...</x:v>
      </x:c>
      <x:c r="E34" s="22" t="str">
        <x:v>Arjunloddi (36699011028)</x:v>
      </x:c>
      <x:c r="F34" s="22" t="n">
        <x:v>1</x:v>
      </x:c>
      <x:c r="G34" s="22" t="n">
        <x:v>7</x:v>
      </x:c>
      <x:c r="H34" s="22" t="n">
        <x:v>1</x:v>
      </x:c>
      <x:c r="I34" s="42" t="n">
        <x:f>'Rate Card &amp; Assumptions'!$C$4</x:f>
        <x:v>1400</x:v>
      </x:c>
      <x:c r="J34" s="43" t="n">
        <x:f>H34*I34</x:f>
        <x:v>1400</x:v>
      </x:c>
      <x:c r="K34" s="22" t="str">
        <x:v>Yes</x:v>
      </x:c>
      <x:c r="L34" s="22" t="str">
        <x:v>Hold—convergence or data correction required</x:v>
      </x:c>
      <x:c r="M34" s="22" t="str">
        <x:v>Title mentions Cooking Equipment, but the activity line is missing; Title men...</x:v>
      </x:c>
      <x:c r="N34" s="22" t="str">
        <x:v>Correct/verify project data before drawdown</x:v>
      </x:c>
    </x:row>
    <x:row r="35">
      <x:c r="A35" s="22" t="n">
        <x:v>31</x:v>
      </x:c>
      <x:c r="B35" s="22" t="str">
        <x:v>PRJ-2026-0008229</x:v>
      </x:c>
      <x:c r="C35" s="22" t="n">
        <x:v>8229</x:v>
      </x:c>
      <x:c r="D35" s="22" t="str">
        <x:v>Rain Water Harvesting System : Water Filter Kitchen Construction : Poshan Vat...</x:v>
      </x:c>
      <x:c r="E35" s="22" t="str">
        <x:v>Gopera (36699011008)</x:v>
      </x:c>
      <x:c r="F35" s="22" t="n">
        <x:v>1</x:v>
      </x:c>
      <x:c r="G35" s="22" t="n">
        <x:v>53</x:v>
      </x:c>
      <x:c r="H35" s="22" t="n">
        <x:v>1</x:v>
      </x:c>
      <x:c r="I35" s="42" t="n">
        <x:f>'Rate Card &amp; Assumptions'!$C$4</x:f>
        <x:v>1400</x:v>
      </x:c>
      <x:c r="J35" s="43" t="n">
        <x:f>H35*I35</x:f>
        <x:v>1400</x:v>
      </x:c>
      <x:c r="K35" s="22" t="str">
        <x:v>Yes</x:v>
      </x:c>
      <x:c r="L35" s="22" t="str">
        <x:v>Hold—convergence or data correction required</x:v>
      </x:c>
      <x:c r="M35" s="22" t="str">
        <x:v>Title mentions Cooking Equipment, but the activity line is missing; Title men...</x:v>
      </x:c>
      <x:c r="N35" s="22" t="str">
        <x:v>Correct/verify project data before drawdown</x:v>
      </x:c>
    </x:row>
    <x:row r="36">
      <x:c r="A36" s="22" t="n">
        <x:v>32</x:v>
      </x:c>
      <x:c r="B36" s="22" t="str">
        <x:v>PRJ-2026-0008258</x:v>
      </x:c>
      <x:c r="C36" s="22" t="n">
        <x:v>8258</x:v>
      </x:c>
      <x:c r="D36" s="22" t="str">
        <x:v>Rain Water Harvesting System : Water Filter Kitchen Construction : Poshan Vat...</x:v>
      </x:c>
      <x:c r="E36" s="22" t="str">
        <x:v>Gundala (36699011009)</x:v>
      </x:c>
      <x:c r="F36" s="22" t="n">
        <x:v>1</x:v>
      </x:c>
      <x:c r="G36" s="22" t="n">
        <x:v>16</x:v>
      </x:c>
      <x:c r="H36" s="22" t="n">
        <x:v>1</x:v>
      </x:c>
      <x:c r="I36" s="42" t="n">
        <x:f>'Rate Card &amp; Assumptions'!$C$4</x:f>
        <x:v>1400</x:v>
      </x:c>
      <x:c r="J36" s="43" t="n">
        <x:f>H36*I36</x:f>
        <x:v>1400</x:v>
      </x:c>
      <x:c r="K36" s="22" t="str">
        <x:v>Yes</x:v>
      </x:c>
      <x:c r="L36" s="22" t="str">
        <x:v>Hold—convergence or data correction required</x:v>
      </x:c>
      <x:c r="M36" s="22" t="str">
        <x:v>Title mentions Cooking Equipment, but the activity line is missing; Title men...</x:v>
      </x:c>
      <x:c r="N36" s="22" t="str">
        <x:v>Correct/verify project data before drawdown</x:v>
      </x:c>
    </x:row>
    <x:row r="37">
      <x:c r="A37" s="22" t="n">
        <x:v>33</x:v>
      </x:c>
      <x:c r="B37" s="22" t="str">
        <x:v>PRJ-2026-0008283</x:v>
      </x:c>
      <x:c r="C37" s="22" t="n">
        <x:v>8283</x:v>
      </x:c>
      <x:c r="D37" s="22" t="str">
        <x:v>Rain Water Harvesting System : Water Filter Kitchen Construction : Poshan Vat...</x:v>
      </x:c>
      <x:c r="E37" s="22" t="str">
        <x:v>kolamguda  manikyapur (36699011027)</x:v>
      </x:c>
      <x:c r="F37" s="22" t="n">
        <x:v>1</x:v>
      </x:c>
      <x:c r="G37" s="22" t="n">
        <x:v>9</x:v>
      </x:c>
      <x:c r="H37" s="22" t="n">
        <x:v>1</x:v>
      </x:c>
      <x:c r="I37" s="42" t="n">
        <x:f>'Rate Card &amp; Assumptions'!$C$4</x:f>
        <x:v>1400</x:v>
      </x:c>
      <x:c r="J37" s="43" t="n">
        <x:f>H37*I37</x:f>
        <x:v>1400</x:v>
      </x:c>
      <x:c r="K37" s="22" t="str">
        <x:v>Yes</x:v>
      </x:c>
      <x:c r="L37" s="22" t="str">
        <x:v>Hold—convergence or data correction required</x:v>
      </x:c>
      <x:c r="M37" s="22" t="str">
        <x:v>Title mentions Cooking Equipment, but the activity line is missing; Title men...</x:v>
      </x:c>
      <x:c r="N37" s="22" t="str">
        <x:v>Correct/verify project data before drawdown</x:v>
      </x:c>
    </x:row>
    <x:row r="38">
      <x:c r="A38" s="22" t="n">
        <x:v>34</x:v>
      </x:c>
      <x:c r="B38" s="22" t="str">
        <x:v>PRJ-2026-0008314</x:v>
      </x:c>
      <x:c r="C38" s="22" t="n">
        <x:v>8314</x:v>
      </x:c>
      <x:c r="D38" s="22" t="str">
        <x:v>Rain Water Harvesting System : Water Filter Kitchen Construction : Poshan Vat...</x:v>
      </x:c>
      <x:c r="E38" s="22" t="str">
        <x:v>Kolamguda Rompally (36699011025)</x:v>
      </x:c>
      <x:c r="F38" s="22" t="n">
        <x:v>1</x:v>
      </x:c>
      <x:c r="G38" s="22" t="n">
        <x:v>11</x:v>
      </x:c>
      <x:c r="H38" s="22" t="n">
        <x:v>1</x:v>
      </x:c>
      <x:c r="I38" s="42" t="n">
        <x:f>'Rate Card &amp; Assumptions'!$C$4</x:f>
        <x:v>1400</x:v>
      </x:c>
      <x:c r="J38" s="43" t="n">
        <x:f>H38*I38</x:f>
        <x:v>1400</x:v>
      </x:c>
      <x:c r="K38" s="22" t="str">
        <x:v>Yes</x:v>
      </x:c>
      <x:c r="L38" s="22" t="str">
        <x:v>Hold—convergence or data correction required</x:v>
      </x:c>
      <x:c r="M38" s="22" t="str">
        <x:v>Title mentions Cooking Equipment, but the activity line is missing; Title men...</x:v>
      </x:c>
      <x:c r="N38" s="22" t="str">
        <x:v>Correct/verify project data before drawdown</x:v>
      </x:c>
    </x:row>
    <x:row r="39">
      <x:c r="A39" s="22" t="n">
        <x:v>35</x:v>
      </x:c>
      <x:c r="B39" s="22" t="str">
        <x:v>PRJ-2026-0008329</x:v>
      </x:c>
      <x:c r="C39" s="22" t="n">
        <x:v>8329</x:v>
      </x:c>
      <x:c r="D39" s="22" t="str">
        <x:v>Rain Water Harvesting System : Water Filter Kitchen Construction : Poshan Vat...</x:v>
      </x:c>
      <x:c r="E39" s="22" t="str">
        <x:v>Gangapur (36699011007)</x:v>
      </x:c>
      <x:c r="F39" s="22" t="n">
        <x:v>1</x:v>
      </x:c>
      <x:c r="G39" s="22" t="n">
        <x:v>9</x:v>
      </x:c>
      <x:c r="H39" s="22" t="n">
        <x:v>1</x:v>
      </x:c>
      <x:c r="I39" s="42" t="n">
        <x:f>'Rate Card &amp; Assumptions'!$C$4</x:f>
        <x:v>1400</x:v>
      </x:c>
      <x:c r="J39" s="43" t="n">
        <x:f>H39*I39</x:f>
        <x:v>1400</x:v>
      </x:c>
      <x:c r="K39" s="22" t="str">
        <x:v>Yes</x:v>
      </x:c>
      <x:c r="L39" s="22" t="str">
        <x:v>Hold—convergence or data correction required</x:v>
      </x:c>
      <x:c r="M39" s="22" t="str">
        <x:v>Title mentions Cooking Equipment, but the activity line is missing; Title men...</x:v>
      </x:c>
      <x:c r="N39" s="22" t="str">
        <x:v>Correct/verify project data before drawdown</x:v>
      </x:c>
    </x:row>
    <x:row r="40">
      <x:c r="A40" s="22" t="n">
        <x:v>36</x:v>
      </x:c>
      <x:c r="B40" s="22" t="str">
        <x:v>PRJ-2026-0008367</x:v>
      </x:c>
      <x:c r="C40" s="22" t="n">
        <x:v>8367</x:v>
      </x:c>
      <x:c r="D40" s="22" t="str">
        <x:v>Rain Water Harvesting System : Water Filter Kitchen Construction : Poshan Vat...</x:v>
      </x:c>
      <x:c r="E40" s="22" t="str">
        <x:v>Tiryani-III (36699011023)</x:v>
      </x:c>
      <x:c r="F40" s="22" t="n">
        <x:v>1</x:v>
      </x:c>
      <x:c r="G40" s="22" t="n">
        <x:v>38</x:v>
      </x:c>
      <x:c r="H40" s="22" t="n">
        <x:v>1</x:v>
      </x:c>
      <x:c r="I40" s="42" t="n">
        <x:f>'Rate Card &amp; Assumptions'!$C$4</x:f>
        <x:v>1400</x:v>
      </x:c>
      <x:c r="J40" s="43" t="n">
        <x:f>H40*I40</x:f>
        <x:v>1400</x:v>
      </x:c>
      <x:c r="K40" s="22" t="str">
        <x:v>Yes</x:v>
      </x:c>
      <x:c r="L40" s="22" t="str">
        <x:v>Hold—convergence or data correction required</x:v>
      </x:c>
      <x:c r="M40" s="22" t="str">
        <x:v>Title mentions Cooking Equipment, but the activity line is missing; Title men...</x:v>
      </x:c>
      <x:c r="N40" s="22" t="str">
        <x:v>Correct/verify project data before drawdown</x:v>
      </x:c>
    </x:row>
    <x:row r="41">
      <x:c r="A41" s="22" t="n">
        <x:v>37</x:v>
      </x:c>
      <x:c r="B41" s="22" t="str">
        <x:v>PRJ-2026-0010279</x:v>
      </x:c>
      <x:c r="C41" s="22" t="n">
        <x:v>10279</x:v>
      </x:c>
      <x:c r="D41" s="22" t="str">
        <x:v>Rain Water Harvesting System : Water Filter Kitchen Construction : Poshan Vatika  kitchen Shelves : Gas stove, regulator : Solar Panel : Civil Repair : Toilet</x:v>
      </x:c>
      <x:c r="E41" s="22" t="str">
        <x:v>Gopera (36699011008)</x:v>
      </x:c>
      <x:c r="F41" s="22" t="n">
        <x:v>1</x:v>
      </x:c>
      <x:c r="G41" s="22" t="n">
        <x:v>53</x:v>
      </x:c>
      <x:c r="H41" s="22" t="n">
        <x:v>1</x:v>
      </x:c>
      <x:c r="I41" s="42" t="n">
        <x:f>'Rate Card &amp; Assumptions'!$C$4</x:f>
        <x:v>1400</x:v>
      </x:c>
      <x:c r="J41" s="43" t="n">
        <x:f>H41*I41</x:f>
        <x:v>1400</x:v>
      </x:c>
      <x:c r="K41" s="22" t="str">
        <x:v>Yes</x:v>
      </x:c>
      <x:c r="L41" s="22" t="str">
        <x:v>Hold—convergence or data correction required</x:v>
      </x:c>
      <x:c r="M41" s="22" t="str">
        <x:v>Title mentions Cooking Equipment, but the activity line is missing; Title men...</x:v>
      </x:c>
      <x:c r="N41" s="22" t="str">
        <x:v>Correct/verify project data before drawdown</x:v>
      </x:c>
    </x:row>
  </x:sheetData>
  <x:mergeCells>
    <x:mergeCell ref="A1:N1"/>
    <x:mergeCell ref="A2:N2"/>
  </x:mergeCells>
  <x:conditionalFormatting sqref="L5:L41">
    <x:cfRule type="expression" dxfId="0" priority="1">
      <x:formula>L5="Ready for bank-funded execution"</x:formula>
    </x:cfRule>
    <x:cfRule type="expression" dxfId="1" priority="2">
      <x:formula>L5&lt;&gt;"Ready for bank-funded execution"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35" hidden="0" customWidth="1"/>
    <x:col min="5" max="5" width="42" hidden="0" customWidth="1"/>
    <x:col min="6" max="6" width="12" hidden="0" customWidth="1"/>
    <x:col min="7" max="7" width="28" hidden="0" customWidth="1"/>
    <x:col min="8" max="8" width="11" hidden="0" customWidth="1"/>
    <x:col min="9" max="9" width="11" hidden="0" customWidth="1"/>
    <x:col min="10" max="10" width="17" hidden="0" customWidth="1"/>
    <x:col min="11" max="11" width="17" hidden="0" customWidth="1"/>
    <x:col min="12" max="12" width="31" hidden="0" customWidth="1"/>
    <x:col min="13" max="13" width="42" hidden="0" customWidth="1"/>
    <x:col min="14" max="14" width="42" hidden="0" customWidth="1"/>
    <x:col min="15" max="15" width="15" hidden="0" customWidth="1"/>
  </x:cols>
  <x:sheetData>
    <x:row r="1" ht="28" customHeight="1">
      <x:c r="A1" s="4" t="str">
        <x:v>Tier B Expansion — 8 Additional Non-Civil / Equipment Projects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6" t="str">
        <x:v>These eight projects expand the pilot to 45 projects. They are second-tranche items only: scope/title alignment, centre quantities and complete vendor packages must be frozen before drawdown.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</x:row>
    <x:row r="4" ht="34" customHeight="1">
      <x:c r="A4" s="12" t="str">
        <x:v>S.No</x:v>
      </x:c>
      <x:c r="B4" s="12" t="str">
        <x:v>Project UID</x:v>
      </x:c>
      <x:c r="C4" s="12" t="str">
        <x:v>Project ID</x:v>
      </x:c>
      <x:c r="D4" s="12" t="str">
        <x:v>Project Title</x:v>
      </x:c>
      <x:c r="E4" s="12" t="str">
        <x:v>Centre(s)</x:v>
      </x:c>
      <x:c r="F4" s="12" t="str">
        <x:v>Beneficiaries</x:v>
      </x:c>
      <x:c r="G4" s="12" t="str">
        <x:v>Line Item</x:v>
      </x:c>
      <x:c r="H4" s="12" t="str">
        <x:v>Quantity</x:v>
      </x:c>
      <x:c r="I4" s="12" t="str">
        <x:v>Unit</x:v>
      </x:c>
      <x:c r="J4" s="12" t="str">
        <x:v>Planning Rate</x:v>
      </x:c>
      <x:c r="K4" s="12" t="str">
        <x:v>Estimated Cost</x:v>
      </x:c>
      <x:c r="L4" s="12" t="str">
        <x:v>Bank Readiness</x:v>
      </x:c>
      <x:c r="M4" s="12" t="str">
        <x:v>Data / Scope Flag</x:v>
      </x:c>
      <x:c r="N4" s="12" t="str">
        <x:v>Project Action</x:v>
      </x:c>
      <x:c r="O4" s="12" t="str">
        <x:v>Partial Contribution</x:v>
      </x:c>
    </x:row>
    <x:row r="5">
      <x:c r="A5" s="22" t="n">
        <x:v>1</x:v>
      </x:c>
      <x:c r="B5" s="22" t="str">
        <x:v>PRJ-2026-0010282</x:v>
      </x:c>
      <x:c r="C5" s="22" t="n">
        <x:v>10282</x:v>
      </x:c>
      <x:c r="D5" s="22" t="str">
        <x:v>Water filter, gas stove, ECCE metirial</x:v>
      </x:c>
      <x:c r="E5" s="22" t="str">
        <x:v>Rebbena -1 (36699010816)</x:v>
      </x:c>
      <x:c r="F5" s="22" t="n">
        <x:v>69</x:v>
      </x:c>
      <x:c r="G5" s="22" t="str">
        <x:v>Water Purifier</x:v>
      </x:c>
      <x:c r="H5" s="22" t="n">
        <x:v>1</x:v>
      </x:c>
      <x:c r="I5" s="22" t="str">
        <x:v>Number</x:v>
      </x:c>
      <x:c r="J5" s="42" t="n">
        <x:f>IFERROR(VLOOKUP(G5,'Rate Card &amp; Assumptions'!$A$4:$C$13,3,FALSE),0)</x:f>
        <x:v>1400</x:v>
      </x:c>
      <x:c r="K5" s="43" t="n">
        <x:f>H5*J5</x:f>
        <x:v>1400</x:v>
      </x:c>
      <x:c r="L5" s="22" t="str">
        <x:v>Hold—convergence or data correction required</x:v>
      </x:c>
      <x:c r="M5" s="22" t="str">
        <x:v>Title mentions Cooking Equipment, but the activity line is missing</x:v>
      </x:c>
      <x:c r="N5" s="22" t="str">
        <x:v>Freeze corrected line-item BoQ and verify complete deliverable before second drawdown</x:v>
      </x:c>
      <x:c r="O5" s="22" t="str">
        <x:v>Yes</x:v>
      </x:c>
    </x:row>
    <x:row r="6">
      <x:c r="A6" s="22" t="n">
        <x:v>2</x:v>
      </x:c>
      <x:c r="B6" s="22" t="str">
        <x:v>PRJ-2026-0010282</x:v>
      </x:c>
      <x:c r="C6" s="22" t="n">
        <x:v>10282</x:v>
      </x:c>
      <x:c r="D6" s="22" t="str">
        <x:v>Water filter, gas stove, ECCE metirial</x:v>
      </x:c>
      <x:c r="E6" s="22" t="str">
        <x:v>Rebbena -1 (36699010816)</x:v>
      </x:c>
      <x:c r="F6" s="22" t="n">
        <x:v>69</x:v>
      </x:c>
      <x:c r="G6" s="22" t="str">
        <x:v>Games</x:v>
      </x:c>
      <x:c r="H6" s="22" t="n">
        <x:v>1</x:v>
      </x:c>
      <x:c r="I6" s="22" t="str">
        <x:v>Number</x:v>
      </x:c>
      <x:c r="J6" s="42" t="n">
        <x:f>IFERROR(VLOOKUP(G6,'Rate Card &amp; Assumptions'!$A$4:$C$13,3,FALSE),0)</x:f>
        <x:v>300</x:v>
      </x:c>
      <x:c r="K6" s="43" t="n">
        <x:f>H6*J6</x:f>
        <x:v>300</x:v>
      </x:c>
      <x:c r="L6" s="22" t="str">
        <x:v>Hold—convergence or data correction required</x:v>
      </x:c>
      <x:c r="M6" s="22" t="str">
        <x:v>Title mentions Cooking Equipment, but the activity line is missing</x:v>
      </x:c>
      <x:c r="N6" s="22" t="str">
        <x:v>Freeze corrected line-item BoQ and verify complete deliverable before second drawdown</x:v>
      </x:c>
      <x:c r="O6" s="22" t="str">
        <x:v>Yes</x:v>
      </x:c>
    </x:row>
    <x:row r="7">
      <x:c r="A7" s="22" t="n">
        <x:v>3</x:v>
      </x:c>
      <x:c r="B7" s="22" t="str">
        <x:v>PRJ-2026-0006705</x:v>
      </x:c>
      <x:c r="C7" s="22" t="n">
        <x:v>6705</x:v>
      </x:c>
      <x:c r="D7" s="22" t="str">
        <x:v>AWC Upgradation</x:v>
      </x:c>
      <x:c r="E7" s="22" t="str">
        <x:v>Rambaiguda (36699010916); Mangi (36699010912)</x:v>
      </x:c>
      <x:c r="F7" s="22" t="n">
        <x:v>2</x:v>
      </x:c>
      <x:c r="G7" s="22" t="str">
        <x:v>Water Purifier</x:v>
      </x:c>
      <x:c r="H7" s="22" t="n">
        <x:v>1</x:v>
      </x:c>
      <x:c r="I7" s="22" t="str">
        <x:v>Number</x:v>
      </x:c>
      <x:c r="J7" s="42" t="n">
        <x:f>IFERROR(VLOOKUP(G7,'Rate Card &amp; Assumptions'!$A$4:$C$13,3,FALSE),0)</x:f>
        <x:v>1400</x:v>
      </x:c>
      <x:c r="K7" s="43" t="n">
        <x:f>H7*J7</x:f>
        <x:v>1400</x:v>
      </x:c>
      <x:c r="L7" s="22" t="str">
        <x:v>Conditional—freeze reduced scope/BoQ first</x:v>
      </x:c>
      <x:c r="M7" s="22" t="str">
        <x:v>Multi-unit scope (2); ₹50K cannot cover all units</x:v>
      </x:c>
      <x:c r="N7" s="22" t="str">
        <x:v>Freeze corrected line-item BoQ and verify complete deliverable before second drawdown</x:v>
      </x:c>
      <x:c r="O7" s="22" t="str">
        <x:v>No</x:v>
      </x:c>
    </x:row>
    <x:row r="8">
      <x:c r="A8" s="22" t="n">
        <x:v>4</x:v>
      </x:c>
      <x:c r="B8" s="22" t="str">
        <x:v>PRJ-2026-0006705</x:v>
      </x:c>
      <x:c r="C8" s="22" t="n">
        <x:v>6705</x:v>
      </x:c>
      <x:c r="D8" s="22" t="str">
        <x:v>AWC Upgradation</x:v>
      </x:c>
      <x:c r="E8" s="22" t="str">
        <x:v>Rambaiguda (36699010916); Mangi (36699010912)</x:v>
      </x:c>
      <x:c r="F8" s="22" t="n">
        <x:v>2</x:v>
      </x:c>
      <x:c r="G8" s="22" t="str">
        <x:v>Cooking Equipments</x:v>
      </x:c>
      <x:c r="H8" s="22" t="n">
        <x:v>2</x:v>
      </x:c>
      <x:c r="I8" s="22" t="str">
        <x:v>Number</x:v>
      </x:c>
      <x:c r="J8" s="42" t="n">
        <x:f>IFERROR(VLOOKUP(G8,'Rate Card &amp; Assumptions'!$A$4:$C$13,3,FALSE),0)</x:f>
        <x:v>15400</x:v>
      </x:c>
      <x:c r="K8" s="43" t="n">
        <x:f>H8*J8</x:f>
        <x:v>30800</x:v>
      </x:c>
      <x:c r="L8" s="22" t="str">
        <x:v>Conditional—freeze reduced scope/BoQ first</x:v>
      </x:c>
      <x:c r="M8" s="22" t="str">
        <x:v>Multi-unit scope (2); ₹50K cannot cover all units</x:v>
      </x:c>
      <x:c r="N8" s="22" t="str">
        <x:v>Freeze corrected line-item BoQ and verify complete deliverable before second drawdown</x:v>
      </x:c>
      <x:c r="O8" s="22" t="str">
        <x:v>No</x:v>
      </x:c>
    </x:row>
    <x:row r="9">
      <x:c r="A9" s="22" t="n">
        <x:v>5</x:v>
      </x:c>
      <x:c r="B9" s="22" t="str">
        <x:v>PRJ-2026-0006705</x:v>
      </x:c>
      <x:c r="C9" s="22" t="n">
        <x:v>6705</x:v>
      </x:c>
      <x:c r="D9" s="22" t="str">
        <x:v>AWC Upgradation</x:v>
      </x:c>
      <x:c r="E9" s="22" t="str">
        <x:v>Rambaiguda (36699010916); Mangi (36699010912)</x:v>
      </x:c>
      <x:c r="F9" s="22" t="n">
        <x:v>2</x:v>
      </x:c>
      <x:c r="G9" s="22" t="str">
        <x:v>Toys</x:v>
      </x:c>
      <x:c r="H9" s="22" t="n">
        <x:v>5</x:v>
      </x:c>
      <x:c r="I9" s="22" t="str">
        <x:v>Number</x:v>
      </x:c>
      <x:c r="J9" s="42" t="n">
        <x:f>IFERROR(VLOOKUP(G9,'Rate Card &amp; Assumptions'!$A$4:$C$13,3,FALSE),0)</x:f>
        <x:v>300</x:v>
      </x:c>
      <x:c r="K9" s="43" t="n">
        <x:f>H9*J9</x:f>
        <x:v>1500</x:v>
      </x:c>
      <x:c r="L9" s="22" t="str">
        <x:v>Conditional—freeze reduced scope/BoQ first</x:v>
      </x:c>
      <x:c r="M9" s="22" t="str">
        <x:v>Multi-unit scope (2); ₹50K cannot cover all units</x:v>
      </x:c>
      <x:c r="N9" s="22" t="str">
        <x:v>Freeze corrected line-item BoQ and verify complete deliverable before second drawdown</x:v>
      </x:c>
      <x:c r="O9" s="22" t="str">
        <x:v>No</x:v>
      </x:c>
    </x:row>
    <x:row r="10">
      <x:c r="A10" s="22" t="n">
        <x:v>6</x:v>
      </x:c>
      <x:c r="B10" s="22" t="str">
        <x:v>PRJ-2026-0006705</x:v>
      </x:c>
      <x:c r="C10" s="22" t="n">
        <x:v>6705</x:v>
      </x:c>
      <x:c r="D10" s="22" t="str">
        <x:v>AWC Upgradation</x:v>
      </x:c>
      <x:c r="E10" s="22" t="str">
        <x:v>Rambaiguda (36699010916); Mangi (36699010912)</x:v>
      </x:c>
      <x:c r="F10" s="22" t="n">
        <x:v>2</x:v>
      </x:c>
      <x:c r="G10" s="22" t="str">
        <x:v>Games</x:v>
      </x:c>
      <x:c r="H10" s="22" t="n">
        <x:v>10</x:v>
      </x:c>
      <x:c r="I10" s="22" t="str">
        <x:v>Number</x:v>
      </x:c>
      <x:c r="J10" s="42" t="n">
        <x:f>IFERROR(VLOOKUP(G10,'Rate Card &amp; Assumptions'!$A$4:$C$13,3,FALSE),0)</x:f>
        <x:v>300</x:v>
      </x:c>
      <x:c r="K10" s="43" t="n">
        <x:f>H10*J10</x:f>
        <x:v>3000</x:v>
      </x:c>
      <x:c r="L10" s="22" t="str">
        <x:v>Conditional—freeze reduced scope/BoQ first</x:v>
      </x:c>
      <x:c r="M10" s="22" t="str">
        <x:v>Multi-unit scope (2); ₹50K cannot cover all units</x:v>
      </x:c>
      <x:c r="N10" s="22" t="str">
        <x:v>Freeze corrected line-item BoQ and verify complete deliverable before second drawdown</x:v>
      </x:c>
      <x:c r="O10" s="22" t="str">
        <x:v>No</x:v>
      </x:c>
    </x:row>
    <x:row r="11">
      <x:c r="A11" s="22" t="n">
        <x:v>7</x:v>
      </x:c>
      <x:c r="B11" s="22" t="str">
        <x:v>PRJ-2026-0006705</x:v>
      </x:c>
      <x:c r="C11" s="22" t="n">
        <x:v>6705</x:v>
      </x:c>
      <x:c r="D11" s="22" t="str">
        <x:v>AWC Upgradation</x:v>
      </x:c>
      <x:c r="E11" s="22" t="str">
        <x:v>Rambaiguda (36699010916); Mangi (36699010912)</x:v>
      </x:c>
      <x:c r="F11" s="22" t="n">
        <x:v>2</x:v>
      </x:c>
      <x:c r="G11" s="22" t="str">
        <x:v>Balls</x:v>
      </x:c>
      <x:c r="H11" s="22" t="n">
        <x:v>10</x:v>
      </x:c>
      <x:c r="I11" s="22" t="str">
        <x:v>Number</x:v>
      </x:c>
      <x:c r="J11" s="42" t="n">
        <x:f>IFERROR(VLOOKUP(G11,'Rate Card &amp; Assumptions'!$A$4:$C$13,3,FALSE),0)</x:f>
        <x:v>200</x:v>
      </x:c>
      <x:c r="K11" s="43" t="n">
        <x:f>H11*J11</x:f>
        <x:v>2000</x:v>
      </x:c>
      <x:c r="L11" s="22" t="str">
        <x:v>Conditional—freeze reduced scope/BoQ first</x:v>
      </x:c>
      <x:c r="M11" s="22" t="str">
        <x:v>Multi-unit scope (2); ₹50K cannot cover all units</x:v>
      </x:c>
      <x:c r="N11" s="22" t="str">
        <x:v>Freeze corrected line-item BoQ and verify complete deliverable before second drawdown</x:v>
      </x:c>
      <x:c r="O11" s="22" t="str">
        <x:v>No</x:v>
      </x:c>
    </x:row>
    <x:row r="12">
      <x:c r="A12" s="22" t="n">
        <x:v>8</x:v>
      </x:c>
      <x:c r="B12" s="22" t="str">
        <x:v>PRJ-2026-0006705</x:v>
      </x:c>
      <x:c r="C12" s="22" t="n">
        <x:v>6705</x:v>
      </x:c>
      <x:c r="D12" s="22" t="str">
        <x:v>AWC Upgradation</x:v>
      </x:c>
      <x:c r="E12" s="22" t="str">
        <x:v>Rambaiguda (36699010916); Mangi (36699010912)</x:v>
      </x:c>
      <x:c r="F12" s="22" t="n">
        <x:v>2</x:v>
      </x:c>
      <x:c r="G12" s="22" t="str">
        <x:v>Bats</x:v>
      </x:c>
      <x:c r="H12" s="22" t="n">
        <x:v>10</x:v>
      </x:c>
      <x:c r="I12" s="22" t="str">
        <x:v>Number</x:v>
      </x:c>
      <x:c r="J12" s="42" t="n">
        <x:f>IFERROR(VLOOKUP(G12,'Rate Card &amp; Assumptions'!$A$4:$C$13,3,FALSE),0)</x:f>
        <x:v>300</x:v>
      </x:c>
      <x:c r="K12" s="43" t="n">
        <x:f>H12*J12</x:f>
        <x:v>3000</x:v>
      </x:c>
      <x:c r="L12" s="22" t="str">
        <x:v>Conditional—freeze reduced scope/BoQ first</x:v>
      </x:c>
      <x:c r="M12" s="22" t="str">
        <x:v>Multi-unit scope (2); ₹50K cannot cover all units</x:v>
      </x:c>
      <x:c r="N12" s="22" t="str">
        <x:v>Freeze corrected line-item BoQ and verify complete deliverable before second drawdown</x:v>
      </x:c>
      <x:c r="O12" s="22" t="str">
        <x:v>No</x:v>
      </x:c>
    </x:row>
    <x:row r="13">
      <x:c r="A13" s="22" t="n">
        <x:v>9</x:v>
      </x:c>
      <x:c r="B13" s="22" t="str">
        <x:v>PRJ-2026-0006536</x:v>
      </x:c>
      <x:c r="C13" s="22" t="n">
        <x:v>6536</x:v>
      </x:c>
      <x:c r="D13" s="22" t="str">
        <x:v>Rain Water Harvesting System : Water Filter Kitchen Construction : Poshan Vat...</x:v>
      </x:c>
      <x:c r="E13" s="22" t="str">
        <x:v>Manneguda I (36699010225)</x:v>
      </x:c>
      <x:c r="F13" s="22" t="n">
        <x:v>26</x:v>
      </x:c>
      <x:c r="G13" s="22" t="str">
        <x:v>Cooking Equipments</x:v>
      </x:c>
      <x:c r="H13" s="22" t="n">
        <x:v>1</x:v>
      </x:c>
      <x:c r="I13" s="22" t="str">
        <x:v>Number</x:v>
      </x:c>
      <x:c r="J13" s="42" t="n">
        <x:f>IFERROR(VLOOKUP(G13,'Rate Card &amp; Assumptions'!$A$4:$C$13,3,FALSE),0)</x:f>
        <x:v>15400</x:v>
      </x:c>
      <x:c r="K13" s="43" t="n">
        <x:f>H13*J13</x:f>
        <x:v>15400</x:v>
      </x:c>
      <x:c r="L13" s="22" t="str">
        <x:v>Hold—convergence or data correction required</x:v>
      </x:c>
      <x:c r="M13" s="22" t="str">
        <x:v>Title mentions Rainwater Harvesting, but the activity line is missing; Title ...</x:v>
      </x:c>
      <x:c r="N13" s="22" t="str">
        <x:v>Freeze corrected line-item BoQ and verify complete deliverable before second drawdown</x:v>
      </x:c>
      <x:c r="O13" s="22" t="str">
        <x:v>Yes</x:v>
      </x:c>
    </x:row>
    <x:row r="14">
      <x:c r="A14" s="22" t="n">
        <x:v>10</x:v>
      </x:c>
      <x:c r="B14" s="22" t="str">
        <x:v>PRJ-2026-0006536</x:v>
      </x:c>
      <x:c r="C14" s="22" t="n">
        <x:v>6536</x:v>
      </x:c>
      <x:c r="D14" s="22" t="str">
        <x:v>Rain Water Harvesting System : Water Filter Kitchen Construction : Poshan Vat...</x:v>
      </x:c>
      <x:c r="E14" s="22" t="str">
        <x:v>Manneguda I (36699010225)</x:v>
      </x:c>
      <x:c r="F14" s="22" t="n">
        <x:v>26</x:v>
      </x:c>
      <x:c r="G14" s="22" t="str">
        <x:v>Seeds</x:v>
      </x:c>
      <x:c r="H14" s="22" t="n">
        <x:v>1</x:v>
      </x:c>
      <x:c r="I14" s="22" t="str">
        <x:v>Number</x:v>
      </x:c>
      <x:c r="J14" s="42" t="n">
        <x:f>IFERROR(VLOOKUP(G14,'Rate Card &amp; Assumptions'!$A$4:$C$13,3,FALSE),0)</x:f>
        <x:v>200</x:v>
      </x:c>
      <x:c r="K14" s="43" t="n">
        <x:f>H14*J14</x:f>
        <x:v>200</x:v>
      </x:c>
      <x:c r="L14" s="22" t="str">
        <x:v>Hold—convergence or data correction required</x:v>
      </x:c>
      <x:c r="M14" s="22" t="str">
        <x:v>Title mentions Rainwater Harvesting, but the activity line is missing; Title ...</x:v>
      </x:c>
      <x:c r="N14" s="22" t="str">
        <x:v>Freeze corrected line-item BoQ and verify complete deliverable before second drawdown</x:v>
      </x:c>
      <x:c r="O14" s="22" t="str">
        <x:v>Yes</x:v>
      </x:c>
    </x:row>
    <x:row r="15">
      <x:c r="A15" s="22" t="n">
        <x:v>11</x:v>
      </x:c>
      <x:c r="B15" s="22" t="str">
        <x:v>PRJ-2026-0005725</x:v>
      </x:c>
      <x:c r="C15" s="22" t="n">
        <x:v>5725</x:v>
      </x:c>
      <x:c r="D15" s="22" t="str">
        <x:v>Upgradation of Anganwadies</x:v>
      </x:c>
      <x:c r="E15" s="22" t="str">
        <x:v>Kodianmovad K (36699010524); Guttachelima (36699010523)</x:v>
      </x:c>
      <x:c r="F15" s="22" t="n">
        <x:v>2</x:v>
      </x:c>
      <x:c r="G15" s="22" t="str">
        <x:v>Seeds</x:v>
      </x:c>
      <x:c r="H15" s="22" t="n">
        <x:v>10</x:v>
      </x:c>
      <x:c r="I15" s="22" t="str">
        <x:v>Number</x:v>
      </x:c>
      <x:c r="J15" s="42" t="n">
        <x:f>IFERROR(VLOOKUP(G15,'Rate Card &amp; Assumptions'!$A$4:$C$13,3,FALSE),0)</x:f>
        <x:v>200</x:v>
      </x:c>
      <x:c r="K15" s="43" t="n">
        <x:f>H15*J15</x:f>
        <x:v>2000</x:v>
      </x:c>
      <x:c r="L15" s="22" t="str">
        <x:v>Conditional—freeze reduced scope/BoQ first</x:v>
      </x:c>
      <x:c r="M15" s="22" t="str">
        <x:v>Multi-unit scope (2); ₹50K cannot cover all units</x:v>
      </x:c>
      <x:c r="N15" s="22" t="str">
        <x:v>Freeze corrected line-item BoQ and verify complete deliverable before second drawdown</x:v>
      </x:c>
      <x:c r="O15" s="22" t="str">
        <x:v>No</x:v>
      </x:c>
    </x:row>
    <x:row r="16">
      <x:c r="A16" s="22" t="n">
        <x:v>12</x:v>
      </x:c>
      <x:c r="B16" s="22" t="str">
        <x:v>PRJ-2026-0005725</x:v>
      </x:c>
      <x:c r="C16" s="22" t="n">
        <x:v>5725</x:v>
      </x:c>
      <x:c r="D16" s="22" t="str">
        <x:v>Upgradation of Anganwadies</x:v>
      </x:c>
      <x:c r="E16" s="22" t="str">
        <x:v>Kodianmovad K (36699010524); Guttachelima (36699010523)</x:v>
      </x:c>
      <x:c r="F16" s="22" t="n">
        <x:v>2</x:v>
      </x:c>
      <x:c r="G16" s="22" t="str">
        <x:v>Water Purifier</x:v>
      </x:c>
      <x:c r="H16" s="22" t="n">
        <x:v>2</x:v>
      </x:c>
      <x:c r="I16" s="22" t="str">
        <x:v>Number</x:v>
      </x:c>
      <x:c r="J16" s="42" t="n">
        <x:f>IFERROR(VLOOKUP(G16,'Rate Card &amp; Assumptions'!$A$4:$C$13,3,FALSE),0)</x:f>
        <x:v>1400</x:v>
      </x:c>
      <x:c r="K16" s="43" t="n">
        <x:f>H16*J16</x:f>
        <x:v>2800</x:v>
      </x:c>
      <x:c r="L16" s="22" t="str">
        <x:v>Conditional—freeze reduced scope/BoQ first</x:v>
      </x:c>
      <x:c r="M16" s="22" t="str">
        <x:v>Multi-unit scope (2); ₹50K cannot cover all units</x:v>
      </x:c>
      <x:c r="N16" s="22" t="str">
        <x:v>Freeze corrected line-item BoQ and verify complete deliverable before second drawdown</x:v>
      </x:c>
      <x:c r="O16" s="22" t="str">
        <x:v>No</x:v>
      </x:c>
    </x:row>
    <x:row r="17">
      <x:c r="A17" s="22" t="n">
        <x:v>13</x:v>
      </x:c>
      <x:c r="B17" s="22" t="str">
        <x:v>PRJ-2026-0003497</x:v>
      </x:c>
      <x:c r="C17" s="22" t="n">
        <x:v>3497</x:v>
      </x:c>
      <x:c r="D17" s="22" t="str">
        <x:v>Material(Gardening Equipment, Seeds, Other Sources)</x:v>
      </x:c>
      <x:c r="E17" s="22" t="str">
        <x:v>Dahegaon - 2 (36699030109)</x:v>
      </x:c>
      <x:c r="F17" s="22" t="n">
        <x:v>15</x:v>
      </x:c>
      <x:c r="G17" s="22" t="str">
        <x:v>Gardening Equipment</x:v>
      </x:c>
      <x:c r="H17" s="22" t="n">
        <x:v>1</x:v>
      </x:c>
      <x:c r="I17" s="22" t="str">
        <x:v>Number</x:v>
      </x:c>
      <x:c r="J17" s="42" t="n">
        <x:f>IFERROR(VLOOKUP(G17,'Rate Card &amp; Assumptions'!$A$4:$C$13,3,FALSE),0)</x:f>
        <x:v>1500</x:v>
      </x:c>
      <x:c r="K17" s="43" t="n">
        <x:f>H17*J17</x:f>
        <x:v>1500</x:v>
      </x:c>
      <x:c r="L17" s="22" t="str">
        <x:v>Conditional—freeze reduced scope/BoQ first</x:v>
      </x:c>
      <x:c r="M17" s="22" t="str">
        <x:v>Exact item list is missing</x:v>
      </x:c>
      <x:c r="N17" s="22" t="str">
        <x:v>Freeze corrected line-item BoQ and verify complete deliverable before second drawdown</x:v>
      </x:c>
      <x:c r="O17" s="22" t="str">
        <x:v>No</x:v>
      </x:c>
    </x:row>
    <x:row r="18">
      <x:c r="A18" s="22" t="n">
        <x:v>14</x:v>
      </x:c>
      <x:c r="B18" s="22" t="str">
        <x:v>PRJ-2026-0003497</x:v>
      </x:c>
      <x:c r="C18" s="22" t="n">
        <x:v>3497</x:v>
      </x:c>
      <x:c r="D18" s="22" t="str">
        <x:v>Material(Gardening Equipment, Seeds, Other Sources)</x:v>
      </x:c>
      <x:c r="E18" s="22" t="str">
        <x:v>Dahegaon - 2 (36699030109)</x:v>
      </x:c>
      <x:c r="F18" s="22" t="n">
        <x:v>15</x:v>
      </x:c>
      <x:c r="G18" s="22" t="str">
        <x:v>Seeds</x:v>
      </x:c>
      <x:c r="H18" s="22" t="n">
        <x:v>10</x:v>
      </x:c>
      <x:c r="I18" s="22" t="str">
        <x:v>Number</x:v>
      </x:c>
      <x:c r="J18" s="42" t="n">
        <x:f>IFERROR(VLOOKUP(G18,'Rate Card &amp; Assumptions'!$A$4:$C$13,3,FALSE),0)</x:f>
        <x:v>200</x:v>
      </x:c>
      <x:c r="K18" s="43" t="n">
        <x:f>H18*J18</x:f>
        <x:v>2000</x:v>
      </x:c>
      <x:c r="L18" s="22" t="str">
        <x:v>Conditional—freeze reduced scope/BoQ first</x:v>
      </x:c>
      <x:c r="M18" s="22" t="str">
        <x:v>Exact item list is missing</x:v>
      </x:c>
      <x:c r="N18" s="22" t="str">
        <x:v>Freeze corrected line-item BoQ and verify complete deliverable before second drawdown</x:v>
      </x:c>
      <x:c r="O18" s="22" t="str">
        <x:v>No</x:v>
      </x:c>
    </x:row>
    <x:row r="19">
      <x:c r="A19" s="22" t="n">
        <x:v>15</x:v>
      </x:c>
      <x:c r="B19" s="22" t="str">
        <x:v>PRJ-2026-0003497</x:v>
      </x:c>
      <x:c r="C19" s="22" t="n">
        <x:v>3497</x:v>
      </x:c>
      <x:c r="D19" s="22" t="str">
        <x:v>Material(Gardening Equipment, Seeds, Other Sources)</x:v>
      </x:c>
      <x:c r="E19" s="22" t="str">
        <x:v>Dahegaon - 2 (36699030109)</x:v>
      </x:c>
      <x:c r="F19" s="22" t="n">
        <x:v>15</x:v>
      </x:c>
      <x:c r="G19" s="22" t="str">
        <x:v>Other resources</x:v>
      </x:c>
      <x:c r="H19" s="22" t="n">
        <x:v>10</x:v>
      </x:c>
      <x:c r="I19" s="22" t="str">
        <x:v>Number</x:v>
      </x:c>
      <x:c r="J19" s="42" t="n">
        <x:f>IFERROR(VLOOKUP(G19,'Rate Card &amp; Assumptions'!$A$4:$C$13,3,FALSE),0)</x:f>
        <x:v>2500</x:v>
      </x:c>
      <x:c r="K19" s="43" t="n">
        <x:f>H19*J19</x:f>
        <x:v>25000</x:v>
      </x:c>
      <x:c r="L19" s="22" t="str">
        <x:v>Conditional—freeze reduced scope/BoQ first</x:v>
      </x:c>
      <x:c r="M19" s="22" t="str">
        <x:v>Exact item list is missing</x:v>
      </x:c>
      <x:c r="N19" s="22" t="str">
        <x:v>Freeze corrected line-item BoQ and verify complete deliverable before second drawdown</x:v>
      </x:c>
      <x:c r="O19" s="22" t="str">
        <x:v>No</x:v>
      </x:c>
    </x:row>
    <x:row r="20">
      <x:c r="A20" s="22" t="n">
        <x:v>16</x:v>
      </x:c>
      <x:c r="B20" s="22" t="str">
        <x:v>PRJ-2026-0002585</x:v>
      </x:c>
      <x:c r="C20" s="22" t="n">
        <x:v>2585</x:v>
      </x:c>
      <x:c r="D20" s="22" t="str">
        <x:v>Materials (Toys, Balls, Swing Sets)</x:v>
      </x:c>
      <x:c r="E20" s="22" t="str">
        <x:v>Dahegaon - 1 (36699030108)</x:v>
      </x:c>
      <x:c r="F20" s="22" t="n">
        <x:v>18</x:v>
      </x:c>
      <x:c r="G20" s="22" t="str">
        <x:v>Toys</x:v>
      </x:c>
      <x:c r="H20" s="22" t="n">
        <x:v>18</x:v>
      </x:c>
      <x:c r="I20" s="22" t="str">
        <x:v>Number</x:v>
      </x:c>
      <x:c r="J20" s="42" t="n">
        <x:f>IFERROR(VLOOKUP(G20,'Rate Card &amp; Assumptions'!$A$4:$C$13,3,FALSE),0)</x:f>
        <x:v>300</x:v>
      </x:c>
      <x:c r="K20" s="43" t="n">
        <x:f>H20*J20</x:f>
        <x:v>5400</x:v>
      </x:c>
      <x:c r="L20" s="22" t="str">
        <x:v>Conditional—freeze reduced scope/BoQ first</x:v>
      </x:c>
      <x:c r="M20" s="22" t="str">
        <x:v>Multi-unit scope (6); ₹50K cannot cover all units</x:v>
      </x:c>
      <x:c r="N20" s="22" t="str">
        <x:v>Freeze corrected line-item BoQ and verify complete deliverable before second drawdown</x:v>
      </x:c>
      <x:c r="O20" s="22" t="str">
        <x:v>No</x:v>
      </x:c>
    </x:row>
    <x:row r="21">
      <x:c r="A21" s="22" t="n">
        <x:v>17</x:v>
      </x:c>
      <x:c r="B21" s="22" t="str">
        <x:v>PRJ-2026-0002585</x:v>
      </x:c>
      <x:c r="C21" s="22" t="n">
        <x:v>2585</x:v>
      </x:c>
      <x:c r="D21" s="22" t="str">
        <x:v>Materials (Toys, Balls, Swing Sets)</x:v>
      </x:c>
      <x:c r="E21" s="22" t="str">
        <x:v>Dahegaon - 1 (36699030108)</x:v>
      </x:c>
      <x:c r="F21" s="22" t="n">
        <x:v>18</x:v>
      </x:c>
      <x:c r="G21" s="22" t="str">
        <x:v>Balls</x:v>
      </x:c>
      <x:c r="H21" s="22" t="n">
        <x:v>18</x:v>
      </x:c>
      <x:c r="I21" s="22" t="str">
        <x:v>Number</x:v>
      </x:c>
      <x:c r="J21" s="42" t="n">
        <x:f>IFERROR(VLOOKUP(G21,'Rate Card &amp; Assumptions'!$A$4:$C$13,3,FALSE),0)</x:f>
        <x:v>200</x:v>
      </x:c>
      <x:c r="K21" s="43" t="n">
        <x:f>H21*J21</x:f>
        <x:v>3600</x:v>
      </x:c>
      <x:c r="L21" s="22" t="str">
        <x:v>Conditional—freeze reduced scope/BoQ first</x:v>
      </x:c>
      <x:c r="M21" s="22" t="str">
        <x:v>Multi-unit scope (6); ₹50K cannot cover all units</x:v>
      </x:c>
      <x:c r="N21" s="22" t="str">
        <x:v>Freeze corrected line-item BoQ and verify complete deliverable before second drawdown</x:v>
      </x:c>
      <x:c r="O21" s="22" t="str">
        <x:v>No</x:v>
      </x:c>
    </x:row>
    <x:row r="22">
      <x:c r="A22" s="22" t="n">
        <x:v>18</x:v>
      </x:c>
      <x:c r="B22" s="22" t="str">
        <x:v>PRJ-2026-0002585</x:v>
      </x:c>
      <x:c r="C22" s="22" t="n">
        <x:v>2585</x:v>
      </x:c>
      <x:c r="D22" s="22" t="str">
        <x:v>Materials (Toys, Balls, Swing Sets)</x:v>
      </x:c>
      <x:c r="E22" s="22" t="str">
        <x:v>Dahegaon - 1 (36699030108)</x:v>
      </x:c>
      <x:c r="F22" s="22" t="n">
        <x:v>18</x:v>
      </x:c>
      <x:c r="G22" s="22" t="str">
        <x:v>Swing sets</x:v>
      </x:c>
      <x:c r="H22" s="22" t="n">
        <x:v>6</x:v>
      </x:c>
      <x:c r="I22" s="22" t="str">
        <x:v>Number</x:v>
      </x:c>
      <x:c r="J22" s="42" t="n">
        <x:f>IFERROR(VLOOKUP(G22,'Rate Card &amp; Assumptions'!$A$4:$C$13,3,FALSE),0)</x:f>
        <x:v>21500</x:v>
      </x:c>
      <x:c r="K22" s="43" t="n">
        <x:f>H22*J22</x:f>
        <x:v>129000</x:v>
      </x:c>
      <x:c r="L22" s="22" t="str">
        <x:v>Conditional—freeze reduced scope/BoQ first</x:v>
      </x:c>
      <x:c r="M22" s="22" t="str">
        <x:v>Multi-unit scope (6); ₹50K cannot cover all units</x:v>
      </x:c>
      <x:c r="N22" s="22" t="str">
        <x:v>Freeze corrected line-item BoQ and verify complete deliverable before second drawdown</x:v>
      </x:c>
      <x:c r="O22" s="22" t="str">
        <x:v>No</x:v>
      </x:c>
    </x:row>
    <x:row r="23">
      <x:c r="A23" s="22" t="n">
        <x:v>19</x:v>
      </x:c>
      <x:c r="B23" s="22" t="str">
        <x:v>PRJ-2026-0002474</x:v>
      </x:c>
      <x:c r="C23" s="22" t="n">
        <x:v>2474</x:v>
      </x:c>
      <x:c r="D23" s="22" t="str">
        <x:v>Materials (Toys, Balls, Swing Sets)</x:v>
      </x:c>
      <x:c r="E23" s="22" t="str">
        <x:v>Chouka (36699030107)</x:v>
      </x:c>
      <x:c r="F23" s="22" t="n">
        <x:v>15</x:v>
      </x:c>
      <x:c r="G23" s="22" t="str">
        <x:v>Toys</x:v>
      </x:c>
      <x:c r="H23" s="22" t="n">
        <x:v>15</x:v>
      </x:c>
      <x:c r="I23" s="22" t="str">
        <x:v>Number</x:v>
      </x:c>
      <x:c r="J23" s="42" t="n">
        <x:f>IFERROR(VLOOKUP(G23,'Rate Card &amp; Assumptions'!$A$4:$C$13,3,FALSE),0)</x:f>
        <x:v>300</x:v>
      </x:c>
      <x:c r="K23" s="43" t="n">
        <x:f>H23*J23</x:f>
        <x:v>4500</x:v>
      </x:c>
      <x:c r="L23" s="22" t="str">
        <x:v>Conditional—freeze reduced scope/BoQ first</x:v>
      </x:c>
      <x:c r="M23" s="22" t="str">
        <x:v>Multi-unit scope (4); ₹50K cannot cover all units</x:v>
      </x:c>
      <x:c r="N23" s="22" t="str">
        <x:v>Freeze corrected line-item BoQ and verify complete deliverable before second drawdown</x:v>
      </x:c>
      <x:c r="O23" s="22" t="str">
        <x:v>No</x:v>
      </x:c>
    </x:row>
    <x:row r="24">
      <x:c r="A24" s="22" t="n">
        <x:v>20</x:v>
      </x:c>
      <x:c r="B24" s="22" t="str">
        <x:v>PRJ-2026-0002474</x:v>
      </x:c>
      <x:c r="C24" s="22" t="n">
        <x:v>2474</x:v>
      </x:c>
      <x:c r="D24" s="22" t="str">
        <x:v>Materials (Toys, Balls, Swing Sets)</x:v>
      </x:c>
      <x:c r="E24" s="22" t="str">
        <x:v>Chouka (36699030107)</x:v>
      </x:c>
      <x:c r="F24" s="22" t="n">
        <x:v>15</x:v>
      </x:c>
      <x:c r="G24" s="22" t="str">
        <x:v>Balls</x:v>
      </x:c>
      <x:c r="H24" s="22" t="n">
        <x:v>15</x:v>
      </x:c>
      <x:c r="I24" s="22" t="str">
        <x:v>Number</x:v>
      </x:c>
      <x:c r="J24" s="42" t="n">
        <x:f>IFERROR(VLOOKUP(G24,'Rate Card &amp; Assumptions'!$A$4:$C$13,3,FALSE),0)</x:f>
        <x:v>200</x:v>
      </x:c>
      <x:c r="K24" s="43" t="n">
        <x:f>H24*J24</x:f>
        <x:v>3000</x:v>
      </x:c>
      <x:c r="L24" s="22" t="str">
        <x:v>Conditional—freeze reduced scope/BoQ first</x:v>
      </x:c>
      <x:c r="M24" s="22" t="str">
        <x:v>Multi-unit scope (4); ₹50K cannot cover all units</x:v>
      </x:c>
      <x:c r="N24" s="22" t="str">
        <x:v>Freeze corrected line-item BoQ and verify complete deliverable before second drawdown</x:v>
      </x:c>
      <x:c r="O24" s="22" t="str">
        <x:v>No</x:v>
      </x:c>
    </x:row>
    <x:row r="25">
      <x:c r="A25" s="22" t="n">
        <x:v>21</x:v>
      </x:c>
      <x:c r="B25" s="22" t="str">
        <x:v>PRJ-2026-0002474</x:v>
      </x:c>
      <x:c r="C25" s="22" t="n">
        <x:v>2474</x:v>
      </x:c>
      <x:c r="D25" s="22" t="str">
        <x:v>Materials (Toys, Balls, Swing Sets)</x:v>
      </x:c>
      <x:c r="E25" s="22" t="str">
        <x:v>Chouka (36699030107)</x:v>
      </x:c>
      <x:c r="F25" s="22" t="n">
        <x:v>15</x:v>
      </x:c>
      <x:c r="G25" s="22" t="str">
        <x:v>Swing sets</x:v>
      </x:c>
      <x:c r="H25" s="22" t="n">
        <x:v>4</x:v>
      </x:c>
      <x:c r="I25" s="22" t="str">
        <x:v>Number</x:v>
      </x:c>
      <x:c r="J25" s="42" t="n">
        <x:f>IFERROR(VLOOKUP(G25,'Rate Card &amp; Assumptions'!$A$4:$C$13,3,FALSE),0)</x:f>
        <x:v>21500</x:v>
      </x:c>
      <x:c r="K25" s="43" t="n">
        <x:f>H25*J25</x:f>
        <x:v>86000</x:v>
      </x:c>
      <x:c r="L25" s="22" t="str">
        <x:v>Conditional—freeze reduced scope/BoQ first</x:v>
      </x:c>
      <x:c r="M25" s="22" t="str">
        <x:v>Multi-unit scope (4); ₹50K cannot cover all units</x:v>
      </x:c>
      <x:c r="N25" s="22" t="str">
        <x:v>Freeze corrected line-item BoQ and verify complete deliverable before second drawdown</x:v>
      </x:c>
      <x:c r="O25" s="22" t="str">
        <x:v>No</x:v>
      </x:c>
    </x:row>
    <x:row r="26">
      <x:c r="A26" s="22" t="n">
        <x:v>22</x:v>
      </x:c>
      <x:c r="B26" s="22" t="str">
        <x:v>PRJ-2026-0002380</x:v>
      </x:c>
      <x:c r="C26" s="22" t="n">
        <x:v>2380</x:v>
      </x:c>
      <x:c r="D26" s="22" t="str">
        <x:v>requirement of anganwadi facilities</x:v>
      </x:c>
      <x:c r="E26" s="22" t="str">
        <x:v>Chinnaraspally (36699030206)</x:v>
      </x:c>
      <x:c r="F26" s="22" t="n">
        <x:v>45</x:v>
      </x:c>
      <x:c r="G26" s="22" t="str">
        <x:v>Water Purifier</x:v>
      </x:c>
      <x:c r="H26" s="22" t="n">
        <x:v>1</x:v>
      </x:c>
      <x:c r="I26" s="22" t="str">
        <x:v>Number</x:v>
      </x:c>
      <x:c r="J26" s="42" t="n">
        <x:f>IFERROR(VLOOKUP(G26,'Rate Card &amp; Assumptions'!$A$4:$C$13,3,FALSE),0)</x:f>
        <x:v>1400</x:v>
      </x:c>
      <x:c r="K26" s="43" t="n">
        <x:f>H26*J26</x:f>
        <x:v>1400</x:v>
      </x:c>
      <x:c r="L26" s="22" t="str">
        <x:v>Ready for bank-funded execution</x:v>
      </x:c>
      <x:c r="M26" s="22"/>
      <x:c r="N26" s="22" t="str">
        <x:v>Freeze corrected line-item BoQ and verify complete deliverable before second drawdown</x:v>
      </x:c>
      <x:c r="O26" s="22" t="str">
        <x:v>No</x:v>
      </x:c>
    </x:row>
    <x:row r="27">
      <x:c r="A27" s="22" t="n">
        <x:v>23</x:v>
      </x:c>
      <x:c r="B27" s="22" t="str">
        <x:v>PRJ-2026-0002380</x:v>
      </x:c>
      <x:c r="C27" s="22" t="n">
        <x:v>2380</x:v>
      </x:c>
      <x:c r="D27" s="22" t="str">
        <x:v>requirement of anganwadi facilities</x:v>
      </x:c>
      <x:c r="E27" s="22" t="str">
        <x:v>Chinnaraspally (36699030206)</x:v>
      </x:c>
      <x:c r="F27" s="22" t="n">
        <x:v>45</x:v>
      </x:c>
      <x:c r="G27" s="22" t="str">
        <x:v>Toys</x:v>
      </x:c>
      <x:c r="H27" s="22" t="n">
        <x:v>19</x:v>
      </x:c>
      <x:c r="I27" s="22" t="str">
        <x:v>Number</x:v>
      </x:c>
      <x:c r="J27" s="42" t="n">
        <x:f>IFERROR(VLOOKUP(G27,'Rate Card &amp; Assumptions'!$A$4:$C$13,3,FALSE),0)</x:f>
        <x:v>300</x:v>
      </x:c>
      <x:c r="K27" s="43" t="n">
        <x:f>H27*J27</x:f>
        <x:v>5700</x:v>
      </x:c>
      <x:c r="L27" s="22" t="str">
        <x:v>Ready for bank-funded execution</x:v>
      </x:c>
      <x:c r="M27" s="22"/>
      <x:c r="N27" s="22" t="str">
        <x:v>Freeze corrected line-item BoQ and verify complete deliverable before second drawdown</x:v>
      </x:c>
      <x:c r="O27" s="22" t="str">
        <x:v>No</x:v>
      </x:c>
    </x:row>
  </x:sheetData>
  <x:mergeCells>
    <x:mergeCell ref="A1:O1"/>
    <x:mergeCell ref="A2:O2"/>
  </x:mergeCells>
  <x:conditionalFormatting sqref="L5:L27">
    <x:cfRule type="expression" dxfId="2" priority="1">
      <x:formula>L5="Ready for bank-funded execution"</x:formula>
    </x:cfRule>
    <x:cfRule type="expression" dxfId="3" priority="2">
      <x:formula>L5&lt;&gt;"Ready for bank-funded execution"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20" hidden="0" customWidth="1"/>
    <x:col min="4" max="4" width="12" hidden="0" customWidth="1"/>
    <x:col min="5" max="5" width="34" hidden="0" customWidth="1"/>
    <x:col min="6" max="6" width="42" hidden="0" customWidth="1"/>
    <x:col min="7" max="7" width="11" hidden="0" customWidth="1"/>
    <x:col min="8" max="8" width="11" hidden="0" customWidth="1"/>
    <x:col min="9" max="9" width="40" hidden="0" customWidth="1"/>
    <x:col min="10" max="10" width="17" hidden="0" customWidth="1"/>
    <x:col min="11" max="11" width="15" hidden="0" customWidth="1"/>
    <x:col min="12" max="12" width="31" hidden="0" customWidth="1"/>
    <x:col min="13" max="13" width="42" hidden="0" customWidth="1"/>
    <x:col min="14" max="14" width="26" hidden="0" customWidth="1"/>
    <x:col min="15" max="15" width="44" hidden="0" customWidth="1"/>
    <x:col min="16" max="16" width="44" hidden="0" customWidth="1"/>
    <x:col min="17" max="17" width="14" hidden="0" customWidth="1"/>
  </x:cols>
  <x:sheetData>
    <x:row r="1" ht="28" customHeight="1">
      <x:c r="A1" s="4" t="str">
        <x:v>Tier B — Consolidated 45-Project Minor / Non-Civil Pilot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4" customHeight="1">
      <x:c r="A3" s="12" t="str">
        <x:v>S.No</x:v>
      </x:c>
      <x:c r="B3" s="12" t="str">
        <x:v>Tier</x:v>
      </x:c>
      <x:c r="C3" s="12" t="str">
        <x:v>Project UID</x:v>
      </x:c>
      <x:c r="D3" s="12" t="str">
        <x:v>Project ID</x:v>
      </x:c>
      <x:c r="E3" s="12" t="str">
        <x:v>Project Title</x:v>
      </x:c>
      <x:c r="F3" s="12" t="str">
        <x:v>Centre(s)</x:v>
      </x:c>
      <x:c r="G3" s="12" t="str">
        <x:v># Centres</x:v>
      </x:c>
      <x:c r="H3" s="12" t="str">
        <x:v>Beneficiaries</x:v>
      </x:c>
      <x:c r="I3" s="12" t="str">
        <x:v>Line Items</x:v>
      </x:c>
      <x:c r="J3" s="12" t="str">
        <x:v>Estimated Cost</x:v>
      </x:c>
      <x:c r="K3" s="12" t="str">
        <x:v>Partial Contribution</x:v>
      </x:c>
      <x:c r="L3" s="12" t="str">
        <x:v>Bank Readiness</x:v>
      </x:c>
      <x:c r="M3" s="12" t="str">
        <x:v>Data / Scope Flag</x:v>
      </x:c>
      <x:c r="N3" s="12" t="str">
        <x:v>Drawdown Stage</x:v>
      </x:c>
      <x:c r="O3" s="12" t="str">
        <x:v>Implementation Evidence</x:v>
      </x:c>
      <x:c r="P3" s="12" t="str">
        <x:v>Funding / Repayment Evidence</x:v>
      </x:c>
      <x:c r="Q3" s="12" t="str">
        <x:v>Final Decision</x:v>
      </x:c>
    </x:row>
    <x:row r="4">
      <x:c r="A4" s="22" t="n">
        <x:v>1</x:v>
      </x:c>
      <x:c r="B4" s="22" t="str">
        <x:v>Tier A</x:v>
      </x:c>
      <x:c r="C4" s="22" t="str">
        <x:v>PRJ-2026-0001481</x:v>
      </x:c>
      <x:c r="D4" s="22" t="n">
        <x:v>1481</x:v>
      </x:c>
      <x:c r="E4" s="22" t="str">
        <x:v>Proposal for water filter</x:v>
      </x:c>
      <x:c r="F4" s="22" t="str">
        <x:v>Bazarwadi -3 (36699010109)</x:v>
      </x:c>
      <x:c r="G4" s="22" t="n">
        <x:v>1</x:v>
      </x:c>
      <x:c r="H4" s="22" t="n">
        <x:v>55</x:v>
      </x:c>
      <x:c r="I4" s="22" t="str">
        <x:v>Water Purifier (1 Number)</x:v>
      </x:c>
      <x:c r="J4" s="43" t="n">
        <x:f>IF(B4="Tier A",SUMIF('Tier A - Water Purifiers'!$B$5:$B$41,C4,'Tier A - Water Purifiers'!$J$5:$J$41),SUMIF('Tier B - Additional 8'!$B$5:$B$40,C4,'Tier B - Additional 8'!$K$5:$K$40))</x:f>
        <x:v>1400</x:v>
      </x:c>
      <x:c r="K4" s="22" t="str">
        <x:v>No</x:v>
      </x:c>
      <x:c r="L4" s="22" t="str">
        <x:v>Ready for bank-funded execution</x:v>
      </x:c>
      <x:c r="M4" s="22"/>
      <x:c r="N4" s="22" t="str">
        <x:v>Tranche 1</x:v>
      </x:c>
      <x:c r="O4" s="22" t="str">
        <x:v>PO, GST invoice, payment proof, item count/serial, geotagged photos, centre acknowledgement and completion record</x:v>
      </x:c>
      <x:c r="P4" s="22" t="str">
        <x:v>Named CSR/funding correspondence, expected receipt date and routing undertaking through lending account</x:v>
      </x:c>
      <x:c r="Q4" s="22" t="str">
        <x:v>Proceed</x:v>
      </x:c>
    </x:row>
    <x:row r="5">
      <x:c r="A5" s="22" t="n">
        <x:v>2</x:v>
      </x:c>
      <x:c r="B5" s="22" t="str">
        <x:v>Tier A</x:v>
      </x:c>
      <x:c r="C5" s="22" t="str">
        <x:v>PRJ-2026-0001530</x:v>
      </x:c>
      <x:c r="D5" s="22" t="n">
        <x:v>1530</x:v>
      </x:c>
      <x:c r="E5" s="22" t="str">
        <x:v>Proposal for water filter</x:v>
      </x:c>
      <x:c r="F5" s="22" t="str">
        <x:v>Bazarwadi -2 (36699010108)</x:v>
      </x:c>
      <x:c r="G5" s="22" t="n">
        <x:v>1</x:v>
      </x:c>
      <x:c r="H5" s="22" t="n">
        <x:v>65</x:v>
      </x:c>
      <x:c r="I5" s="22" t="str">
        <x:v>Water Purifier (1 Number)</x:v>
      </x:c>
      <x:c r="J5" s="43" t="n">
        <x:f>IF(B5="Tier A",SUMIF('Tier A - Water Purifiers'!$B$5:$B$41,C5,'Tier A - Water Purifiers'!$J$5:$J$41),SUMIF('Tier B - Additional 8'!$B$5:$B$40,C5,'Tier B - Additional 8'!$K$5:$K$40))</x:f>
        <x:v>1400</x:v>
      </x:c>
      <x:c r="K5" s="22" t="str">
        <x:v>No</x:v>
      </x:c>
      <x:c r="L5" s="22" t="str">
        <x:v>Ready for bank-funded execution</x:v>
      </x:c>
      <x:c r="M5" s="22"/>
      <x:c r="N5" s="22" t="str">
        <x:v>Tranche 1</x:v>
      </x:c>
      <x:c r="O5" s="22" t="str">
        <x:v>PO, GST invoice, payment proof, item count/serial, geotagged photos, centre acknowledgement and completion record</x:v>
      </x:c>
      <x:c r="P5" s="22" t="str">
        <x:v>Named CSR/funding correspondence, expected receipt date and routing undertaking through lending account</x:v>
      </x:c>
      <x:c r="Q5" s="22" t="str">
        <x:v>Proceed</x:v>
      </x:c>
    </x:row>
    <x:row r="6">
      <x:c r="A6" s="22" t="n">
        <x:v>3</x:v>
      </x:c>
      <x:c r="B6" s="22" t="str">
        <x:v>Tier A</x:v>
      </x:c>
      <x:c r="C6" s="22" t="str">
        <x:v>PRJ-2026-0001619</x:v>
      </x:c>
      <x:c r="D6" s="22" t="n">
        <x:v>1619</x:v>
      </x:c>
      <x:c r="E6" s="22" t="str">
        <x:v>Proposal for water filter</x:v>
      </x:c>
      <x:c r="F6" s="22" t="str">
        <x:v>Bapunagar (36699010105)</x:v>
      </x:c>
      <x:c r="G6" s="22" t="n">
        <x:v>1</x:v>
      </x:c>
      <x:c r="H6" s="22" t="n">
        <x:v>58</x:v>
      </x:c>
      <x:c r="I6" s="22" t="str">
        <x:v>Water Purifier (1 Number)</x:v>
      </x:c>
      <x:c r="J6" s="43" t="n">
        <x:f>IF(B6="Tier A",SUMIF('Tier A - Water Purifiers'!$B$5:$B$41,C6,'Tier A - Water Purifiers'!$J$5:$J$41),SUMIF('Tier B - Additional 8'!$B$5:$B$40,C6,'Tier B - Additional 8'!$K$5:$K$40))</x:f>
        <x:v>1400</x:v>
      </x:c>
      <x:c r="K6" s="22" t="str">
        <x:v>No</x:v>
      </x:c>
      <x:c r="L6" s="22" t="str">
        <x:v>Ready for bank-funded execution</x:v>
      </x:c>
      <x:c r="M6" s="22"/>
      <x:c r="N6" s="22" t="str">
        <x:v>Tranche 1</x:v>
      </x:c>
      <x:c r="O6" s="22" t="str">
        <x:v>PO, GST invoice, payment proof, item count/serial, geotagged photos, centre acknowledgement and completion record</x:v>
      </x:c>
      <x:c r="P6" s="22" t="str">
        <x:v>Named CSR/funding correspondence, expected receipt date and routing undertaking through lending account</x:v>
      </x:c>
      <x:c r="Q6" s="22" t="str">
        <x:v>Proceed</x:v>
      </x:c>
    </x:row>
    <x:row r="7">
      <x:c r="A7" s="22" t="n">
        <x:v>4</x:v>
      </x:c>
      <x:c r="B7" s="22" t="str">
        <x:v>Tier A</x:v>
      </x:c>
      <x:c r="C7" s="22" t="str">
        <x:v>PRJ-2026-0001655</x:v>
      </x:c>
      <x:c r="D7" s="22" t="n">
        <x:v>1655</x:v>
      </x:c>
      <x:c r="E7" s="22" t="str">
        <x:v>Proposal for water filter</x:v>
      </x:c>
      <x:c r="F7" s="22" t="str">
        <x:v>Asifabad -2 (36699010102)</x:v>
      </x:c>
      <x:c r="G7" s="22" t="n">
        <x:v>1</x:v>
      </x:c>
      <x:c r="H7" s="22" t="n">
        <x:v>60</x:v>
      </x:c>
      <x:c r="I7" s="22" t="str">
        <x:v>Water Purifier (1 Number)</x:v>
      </x:c>
      <x:c r="J7" s="43" t="n">
        <x:f>IF(B7="Tier A",SUMIF('Tier A - Water Purifiers'!$B$5:$B$41,C7,'Tier A - Water Purifiers'!$J$5:$J$41),SUMIF('Tier B - Additional 8'!$B$5:$B$40,C7,'Tier B - Additional 8'!$K$5:$K$40))</x:f>
        <x:v>1400</x:v>
      </x:c>
      <x:c r="K7" s="22" t="str">
        <x:v>No</x:v>
      </x:c>
      <x:c r="L7" s="22" t="str">
        <x:v>Ready for bank-funded execution</x:v>
      </x:c>
      <x:c r="M7" s="22"/>
      <x:c r="N7" s="22" t="str">
        <x:v>Tranche 1</x:v>
      </x:c>
      <x:c r="O7" s="22" t="str">
        <x:v>PO, GST invoice, payment proof, item count/serial, geotagged photos, centre acknowledgement and completion record</x:v>
      </x:c>
      <x:c r="P7" s="22" t="str">
        <x:v>Named CSR/funding correspondence, expected receipt date and routing undertaking through lending account</x:v>
      </x:c>
      <x:c r="Q7" s="22" t="str">
        <x:v>Proceed</x:v>
      </x:c>
    </x:row>
    <x:row r="8">
      <x:c r="A8" s="22" t="n">
        <x:v>5</x:v>
      </x:c>
      <x:c r="B8" s="22" t="str">
        <x:v>Tier A</x:v>
      </x:c>
      <x:c r="C8" s="22" t="str">
        <x:v>PRJ-2026-0001700</x:v>
      </x:c>
      <x:c r="D8" s="22" t="n">
        <x:v>1700</x:v>
      </x:c>
      <x:c r="E8" s="22" t="str">
        <x:v>Proposal for water filter</x:v>
      </x:c>
      <x:c r="F8" s="22" t="str">
        <x:v>Mazidwada (36699010123)</x:v>
      </x:c>
      <x:c r="G8" s="22" t="n">
        <x:v>1</x:v>
      </x:c>
      <x:c r="H8" s="22" t="n">
        <x:v>60</x:v>
      </x:c>
      <x:c r="I8" s="22" t="str">
        <x:v>Water Purifier (1 Number)</x:v>
      </x:c>
      <x:c r="J8" s="43" t="n">
        <x:f>IF(B8="Tier A",SUMIF('Tier A - Water Purifiers'!$B$5:$B$41,C8,'Tier A - Water Purifiers'!$J$5:$J$41),SUMIF('Tier B - Additional 8'!$B$5:$B$40,C8,'Tier B - Additional 8'!$K$5:$K$40))</x:f>
        <x:v>1400</x:v>
      </x:c>
      <x:c r="K8" s="22" t="str">
        <x:v>No</x:v>
      </x:c>
      <x:c r="L8" s="22" t="str">
        <x:v>Ready for bank-funded execution</x:v>
      </x:c>
      <x:c r="M8" s="22"/>
      <x:c r="N8" s="22" t="str">
        <x:v>Tranche 1</x:v>
      </x:c>
      <x:c r="O8" s="22" t="str">
        <x:v>PO, GST invoice, payment proof, item count/serial, geotagged photos, centre acknowledgement and completion record</x:v>
      </x:c>
      <x:c r="P8" s="22" t="str">
        <x:v>Named CSR/funding correspondence, expected receipt date and routing undertaking through lending account</x:v>
      </x:c>
      <x:c r="Q8" s="22" t="str">
        <x:v>Proceed</x:v>
      </x:c>
    </x:row>
    <x:row r="9">
      <x:c r="A9" s="22" t="n">
        <x:v>6</x:v>
      </x:c>
      <x:c r="B9" s="22" t="str">
        <x:v>Tier A</x:v>
      </x:c>
      <x:c r="C9" s="22" t="str">
        <x:v>PRJ-2026-0001962</x:v>
      </x:c>
      <x:c r="D9" s="22" t="n">
        <x:v>1962</x:v>
      </x:c>
      <x:c r="E9" s="22" t="str">
        <x:v>requirement of anganwadi fecilitices</x:v>
      </x:c>
      <x:c r="F9" s="22" t="str">
        <x:v>Amargonda (36699030201)</x:v>
      </x:c>
      <x:c r="G9" s="22" t="n">
        <x:v>1</x:v>
      </x:c>
      <x:c r="H9" s="22" t="n">
        <x:v>26</x:v>
      </x:c>
      <x:c r="I9" s="22" t="str">
        <x:v>Water Purifier (1 Number)</x:v>
      </x:c>
      <x:c r="J9" s="43" t="n">
        <x:f>IF(B9="Tier A",SUMIF('Tier A - Water Purifiers'!$B$5:$B$41,C9,'Tier A - Water Purifiers'!$J$5:$J$41),SUMIF('Tier B - Additional 8'!$B$5:$B$40,C9,'Tier B - Additional 8'!$K$5:$K$40))</x:f>
        <x:v>1400</x:v>
      </x:c>
      <x:c r="K9" s="22" t="str">
        <x:v>No</x:v>
      </x:c>
      <x:c r="L9" s="22" t="str">
        <x:v>Ready for bank-funded execution</x:v>
      </x:c>
      <x:c r="M9" s="22"/>
      <x:c r="N9" s="22" t="str">
        <x:v>Tranche 1</x:v>
      </x:c>
      <x:c r="O9" s="22" t="str">
        <x:v>PO, GST invoice, payment proof, item count/serial, geotagged photos, centre acknowledgement and completion record</x:v>
      </x:c>
      <x:c r="P9" s="22" t="str">
        <x:v>Named CSR/funding correspondence, expected receipt date and routing undertaking through lending account</x:v>
      </x:c>
      <x:c r="Q9" s="22" t="str">
        <x:v>Proceed</x:v>
      </x:c>
    </x:row>
    <x:row r="10">
      <x:c r="A10" s="22" t="n">
        <x:v>7</x:v>
      </x:c>
      <x:c r="B10" s="22" t="str">
        <x:v>Tier A</x:v>
      </x:c>
      <x:c r="C10" s="22" t="str">
        <x:v>PRJ-2026-0002002</x:v>
      </x:c>
      <x:c r="D10" s="22" t="n">
        <x:v>2002</x:v>
      </x:c>
      <x:c r="E10" s="22" t="str">
        <x:v>requirement of anganwadi facilities</x:v>
      </x:c>
      <x:c r="F10" s="22" t="str">
        <x:v>Bamanagar (36699030202)</x:v>
      </x:c>
      <x:c r="G10" s="22" t="n">
        <x:v>1</x:v>
      </x:c>
      <x:c r="H10" s="22" t="n">
        <x:v>30</x:v>
      </x:c>
      <x:c r="I10" s="22" t="str">
        <x:v>Water Purifier (1 Number)</x:v>
      </x:c>
      <x:c r="J10" s="43" t="n">
        <x:f>IF(B10="Tier A",SUMIF('Tier A - Water Purifiers'!$B$5:$B$41,C10,'Tier A - Water Purifiers'!$J$5:$J$41),SUMIF('Tier B - Additional 8'!$B$5:$B$40,C10,'Tier B - Additional 8'!$K$5:$K$40))</x:f>
        <x:v>1400</x:v>
      </x:c>
      <x:c r="K10" s="22" t="str">
        <x:v>No</x:v>
      </x:c>
      <x:c r="L10" s="22" t="str">
        <x:v>Ready for bank-funded execution</x:v>
      </x:c>
      <x:c r="M10" s="22"/>
      <x:c r="N10" s="22" t="str">
        <x:v>Tranche 1</x:v>
      </x:c>
      <x:c r="O10" s="22" t="str">
        <x:v>PO, GST invoice, payment proof, item count/serial, geotagged photos, centre acknowledgement and completion record</x:v>
      </x:c>
      <x:c r="P10" s="22" t="str">
        <x:v>Named CSR/funding correspondence, expected receipt date and routing undertaking through lending account</x:v>
      </x:c>
      <x:c r="Q10" s="22" t="str">
        <x:v>Proceed</x:v>
      </x:c>
    </x:row>
    <x:row r="11">
      <x:c r="A11" s="22" t="n">
        <x:v>8</x:v>
      </x:c>
      <x:c r="B11" s="22" t="str">
        <x:v>Tier A</x:v>
      </x:c>
      <x:c r="C11" s="22" t="str">
        <x:v>PRJ-2026-0002431</x:v>
      </x:c>
      <x:c r="D11" s="22" t="n">
        <x:v>2431</x:v>
      </x:c>
      <x:c r="E11" s="22" t="str">
        <x:v>requirement of anganwadi  facilties</x:v>
      </x:c>
      <x:c r="F11" s="22" t="str">
        <x:v>Chandrapally - 1 (36699030204)</x:v>
      </x:c>
      <x:c r="G11" s="22" t="n">
        <x:v>1</x:v>
      </x:c>
      <x:c r="H11" s="22" t="n">
        <x:v>30</x:v>
      </x:c>
      <x:c r="I11" s="22" t="str">
        <x:v>Water Purifier (1 Number)</x:v>
      </x:c>
      <x:c r="J11" s="43" t="n">
        <x:f>IF(B11="Tier A",SUMIF('Tier A - Water Purifiers'!$B$5:$B$41,C11,'Tier A - Water Purifiers'!$J$5:$J$41),SUMIF('Tier B - Additional 8'!$B$5:$B$40,C11,'Tier B - Additional 8'!$K$5:$K$40))</x:f>
        <x:v>1400</x:v>
      </x:c>
      <x:c r="K11" s="22" t="str">
        <x:v>No</x:v>
      </x:c>
      <x:c r="L11" s="22" t="str">
        <x:v>Ready for bank-funded execution</x:v>
      </x:c>
      <x:c r="M11" s="22"/>
      <x:c r="N11" s="22" t="str">
        <x:v>Tranche 1</x:v>
      </x:c>
      <x:c r="O11" s="22" t="str">
        <x:v>PO, GST invoice, payment proof, item count/serial, geotagged photos, centre acknowledgement and completion record</x:v>
      </x:c>
      <x:c r="P11" s="22" t="str">
        <x:v>Named CSR/funding correspondence, expected receipt date and routing undertaking through lending account</x:v>
      </x:c>
      <x:c r="Q11" s="22" t="str">
        <x:v>Proceed</x:v>
      </x:c>
    </x:row>
    <x:row r="12">
      <x:c r="A12" s="22" t="n">
        <x:v>9</x:v>
      </x:c>
      <x:c r="B12" s="22" t="str">
        <x:v>Tier A</x:v>
      </x:c>
      <x:c r="C12" s="22" t="str">
        <x:v>PRJ-2026-0003208</x:v>
      </x:c>
      <x:c r="D12" s="22" t="n">
        <x:v>3208</x:v>
      </x:c>
      <x:c r="E12" s="22" t="str">
        <x:v>water filter</x:v>
      </x:c>
      <x:c r="F12" s="22" t="str">
        <x:v>Girivelly - 2 (36699030209)</x:v>
      </x:c>
      <x:c r="G12" s="22" t="n">
        <x:v>1</x:v>
      </x:c>
      <x:c r="H12" s="22" t="n">
        <x:v>32</x:v>
      </x:c>
      <x:c r="I12" s="22" t="str">
        <x:v>Water Purifier (1 Number)</x:v>
      </x:c>
      <x:c r="J12" s="43" t="n">
        <x:f>IF(B12="Tier A",SUMIF('Tier A - Water Purifiers'!$B$5:$B$41,C12,'Tier A - Water Purifiers'!$J$5:$J$41),SUMIF('Tier B - Additional 8'!$B$5:$B$40,C12,'Tier B - Additional 8'!$K$5:$K$40))</x:f>
        <x:v>1400</x:v>
      </x:c>
      <x:c r="K12" s="22" t="str">
        <x:v>No</x:v>
      </x:c>
      <x:c r="L12" s="22" t="str">
        <x:v>Ready for bank-funded execution</x:v>
      </x:c>
      <x:c r="M12" s="22"/>
      <x:c r="N12" s="22" t="str">
        <x:v>Tranche 1</x:v>
      </x:c>
      <x:c r="O12" s="22" t="str">
        <x:v>PO, GST invoice, payment proof, item count/serial, geotagged photos, centre acknowledgement and completion record</x:v>
      </x:c>
      <x:c r="P12" s="22" t="str">
        <x:v>Named CSR/funding correspondence, expected receipt date and routing undertaking through lending account</x:v>
      </x:c>
      <x:c r="Q12" s="22" t="str">
        <x:v>Proceed</x:v>
      </x:c>
    </x:row>
    <x:row r="13">
      <x:c r="A13" s="22" t="n">
        <x:v>10</x:v>
      </x:c>
      <x:c r="B13" s="22" t="str">
        <x:v>Tier A</x:v>
      </x:c>
      <x:c r="C13" s="22" t="str">
        <x:v>PRJ-2026-0003245</x:v>
      </x:c>
      <x:c r="D13" s="22" t="n">
        <x:v>3245</x:v>
      </x:c>
      <x:c r="E13" s="22" t="str">
        <x:v>water filter</x:v>
      </x:c>
      <x:c r="F13" s="22" t="str">
        <x:v>Gudem (36699030210)</x:v>
      </x:c>
      <x:c r="G13" s="22" t="n">
        <x:v>1</x:v>
      </x:c>
      <x:c r="H13" s="22" t="n">
        <x:v>34</x:v>
      </x:c>
      <x:c r="I13" s="22" t="str">
        <x:v>Water Purifier (1 Number)</x:v>
      </x:c>
      <x:c r="J13" s="43" t="n">
        <x:f>IF(B13="Tier A",SUMIF('Tier A - Water Purifiers'!$B$5:$B$41,C13,'Tier A - Water Purifiers'!$J$5:$J$41),SUMIF('Tier B - Additional 8'!$B$5:$B$40,C13,'Tier B - Additional 8'!$K$5:$K$40))</x:f>
        <x:v>1400</x:v>
      </x:c>
      <x:c r="K13" s="22" t="str">
        <x:v>No</x:v>
      </x:c>
      <x:c r="L13" s="22" t="str">
        <x:v>Ready for bank-funded execution</x:v>
      </x:c>
      <x:c r="M13" s="22"/>
      <x:c r="N13" s="22" t="str">
        <x:v>Tranche 1</x:v>
      </x:c>
      <x:c r="O13" s="22" t="str">
        <x:v>PO, GST invoice, payment proof, item count/serial, geotagged photos, centre acknowledgement and completion record</x:v>
      </x:c>
      <x:c r="P13" s="22" t="str">
        <x:v>Named CSR/funding correspondence, expected receipt date and routing undertaking through lending account</x:v>
      </x:c>
      <x:c r="Q13" s="22" t="str">
        <x:v>Proceed</x:v>
      </x:c>
    </x:row>
    <x:row r="14">
      <x:c r="A14" s="22" t="n">
        <x:v>11</x:v>
      </x:c>
      <x:c r="B14" s="22" t="str">
        <x:v>Tier A</x:v>
      </x:c>
      <x:c r="C14" s="22" t="str">
        <x:v>PRJ-2026-0003859</x:v>
      </x:c>
      <x:c r="D14" s="22" t="n">
        <x:v>3859</x:v>
      </x:c>
      <x:c r="E14" s="22" t="str">
        <x:v>requirement of anganwadi facilities</x:v>
      </x:c>
      <x:c r="F14" s="22" t="str">
        <x:v>Kalwada (36699030211)</x:v>
      </x:c>
      <x:c r="G14" s="22" t="n">
        <x:v>1</x:v>
      </x:c>
      <x:c r="H14" s="22" t="n">
        <x:v>35</x:v>
      </x:c>
      <x:c r="I14" s="22" t="str">
        <x:v>Water Purifier (1 Number)</x:v>
      </x:c>
      <x:c r="J14" s="43" t="n">
        <x:f>IF(B14="Tier A",SUMIF('Tier A - Water Purifiers'!$B$5:$B$41,C14,'Tier A - Water Purifiers'!$J$5:$J$41),SUMIF('Tier B - Additional 8'!$B$5:$B$40,C14,'Tier B - Additional 8'!$K$5:$K$40))</x:f>
        <x:v>1400</x:v>
      </x:c>
      <x:c r="K14" s="22" t="str">
        <x:v>No</x:v>
      </x:c>
      <x:c r="L14" s="22" t="str">
        <x:v>Ready for bank-funded execution</x:v>
      </x:c>
      <x:c r="M14" s="22"/>
      <x:c r="N14" s="22" t="str">
        <x:v>Tranche 1</x:v>
      </x:c>
      <x:c r="O14" s="22" t="str">
        <x:v>PO, GST invoice, payment proof, item count/serial, geotagged photos, centre acknowledgement and completion record</x:v>
      </x:c>
      <x:c r="P14" s="22" t="str">
        <x:v>Named CSR/funding correspondence, expected receipt date and routing undertaking through lending account</x:v>
      </x:c>
      <x:c r="Q14" s="22" t="str">
        <x:v>Proceed</x:v>
      </x:c>
    </x:row>
    <x:row r="15">
      <x:c r="A15" s="22" t="n">
        <x:v>12</x:v>
      </x:c>
      <x:c r="B15" s="22" t="str">
        <x:v>Tier A</x:v>
      </x:c>
      <x:c r="C15" s="22" t="str">
        <x:v>PRJ-2026-0004105</x:v>
      </x:c>
      <x:c r="D15" s="22" t="n">
        <x:v>4105</x:v>
      </x:c>
      <x:c r="E15" s="22" t="str">
        <x:v>water filter</x:v>
      </x:c>
      <x:c r="F15" s="22" t="str">
        <x:v>Konchavelly - 2 (36699030214)</x:v>
      </x:c>
      <x:c r="G15" s="22" t="n">
        <x:v>1</x:v>
      </x:c>
      <x:c r="H15" s="22" t="n">
        <x:v>30</x:v>
      </x:c>
      <x:c r="I15" s="22" t="str">
        <x:v>Water Purifier (1 Number)</x:v>
      </x:c>
      <x:c r="J15" s="43" t="n">
        <x:f>IF(B15="Tier A",SUMIF('Tier A - Water Purifiers'!$B$5:$B$41,C15,'Tier A - Water Purifiers'!$J$5:$J$41),SUMIF('Tier B - Additional 8'!$B$5:$B$40,C15,'Tier B - Additional 8'!$K$5:$K$40))</x:f>
        <x:v>1400</x:v>
      </x:c>
      <x:c r="K15" s="22" t="str">
        <x:v>No</x:v>
      </x:c>
      <x:c r="L15" s="22" t="str">
        <x:v>Ready for bank-funded execution</x:v>
      </x:c>
      <x:c r="M15" s="22"/>
      <x:c r="N15" s="22" t="str">
        <x:v>Tranche 1</x:v>
      </x:c>
      <x:c r="O15" s="22" t="str">
        <x:v>PO, GST invoice, payment proof, item count/serial, geotagged photos, centre acknowledgement and completion record</x:v>
      </x:c>
      <x:c r="P15" s="22" t="str">
        <x:v>Named CSR/funding correspondence, expected receipt date and routing undertaking through lending account</x:v>
      </x:c>
      <x:c r="Q15" s="22" t="str">
        <x:v>Proceed</x:v>
      </x:c>
    </x:row>
    <x:row r="16">
      <x:c r="A16" s="22" t="n">
        <x:v>13</x:v>
      </x:c>
      <x:c r="B16" s="22" t="str">
        <x:v>Tier A</x:v>
      </x:c>
      <x:c r="C16" s="22" t="str">
        <x:v>PRJ-2026-0004137</x:v>
      </x:c>
      <x:c r="D16" s="22" t="n">
        <x:v>4137</x:v>
      </x:c>
      <x:c r="E16" s="22" t="str">
        <x:v>water filter</x:v>
      </x:c>
      <x:c r="F16" s="22" t="str">
        <x:v>Konchavelly - 3 (36699030215)</x:v>
      </x:c>
      <x:c r="G16" s="22" t="n">
        <x:v>1</x:v>
      </x:c>
      <x:c r="H16" s="22" t="n">
        <x:v>30</x:v>
      </x:c>
      <x:c r="I16" s="22" t="str">
        <x:v>Water Purifier (1 Number)</x:v>
      </x:c>
      <x:c r="J16" s="43" t="n">
        <x:f>IF(B16="Tier A",SUMIF('Tier A - Water Purifiers'!$B$5:$B$41,C16,'Tier A - Water Purifiers'!$J$5:$J$41),SUMIF('Tier B - Additional 8'!$B$5:$B$40,C16,'Tier B - Additional 8'!$K$5:$K$40))</x:f>
        <x:v>1400</x:v>
      </x:c>
      <x:c r="K16" s="22" t="str">
        <x:v>No</x:v>
      </x:c>
      <x:c r="L16" s="22" t="str">
        <x:v>Ready for bank-funded execution</x:v>
      </x:c>
      <x:c r="M16" s="22"/>
      <x:c r="N16" s="22" t="str">
        <x:v>Tranche 1</x:v>
      </x:c>
      <x:c r="O16" s="22" t="str">
        <x:v>PO, GST invoice, payment proof, item count/serial, geotagged photos, centre acknowledgement and completion record</x:v>
      </x:c>
      <x:c r="P16" s="22" t="str">
        <x:v>Named CSR/funding correspondence, expected receipt date and routing undertaking through lending account</x:v>
      </x:c>
      <x:c r="Q16" s="22" t="str">
        <x:v>Proceed</x:v>
      </x:c>
    </x:row>
    <x:row r="17">
      <x:c r="A17" s="22" t="n">
        <x:v>14</x:v>
      </x:c>
      <x:c r="B17" s="22" t="str">
        <x:v>Tier A</x:v>
      </x:c>
      <x:c r="C17" s="22" t="str">
        <x:v>PRJ-2026-0004191</x:v>
      </x:c>
      <x:c r="D17" s="22" t="n">
        <x:v>4191</x:v>
      </x:c>
      <x:c r="E17" s="22" t="str">
        <x:v>water filter</x:v>
      </x:c>
      <x:c r="F17" s="22" t="str">
        <x:v>Motlaguda (36699030217)</x:v>
      </x:c>
      <x:c r="G17" s="22" t="n">
        <x:v>1</x:v>
      </x:c>
      <x:c r="H17" s="22" t="n">
        <x:v>32</x:v>
      </x:c>
      <x:c r="I17" s="22" t="str">
        <x:v>Water Purifier (1 Number)</x:v>
      </x:c>
      <x:c r="J17" s="43" t="n">
        <x:f>IF(B17="Tier A",SUMIF('Tier A - Water Purifiers'!$B$5:$B$41,C17,'Tier A - Water Purifiers'!$J$5:$J$41),SUMIF('Tier B - Additional 8'!$B$5:$B$40,C17,'Tier B - Additional 8'!$K$5:$K$40))</x:f>
        <x:v>1400</x:v>
      </x:c>
      <x:c r="K17" s="22" t="str">
        <x:v>No</x:v>
      </x:c>
      <x:c r="L17" s="22" t="str">
        <x:v>Ready for bank-funded execution</x:v>
      </x:c>
      <x:c r="M17" s="22"/>
      <x:c r="N17" s="22" t="str">
        <x:v>Tranche 1</x:v>
      </x:c>
      <x:c r="O17" s="22" t="str">
        <x:v>PO, GST invoice, payment proof, item count/serial, geotagged photos, centre acknowledgement and completion record</x:v>
      </x:c>
      <x:c r="P17" s="22" t="str">
        <x:v>Named CSR/funding correspondence, expected receipt date and routing undertaking through lending account</x:v>
      </x:c>
      <x:c r="Q17" s="22" t="str">
        <x:v>Proceed</x:v>
      </x:c>
    </x:row>
    <x:row r="18">
      <x:c r="A18" s="22" t="n">
        <x:v>15</x:v>
      </x:c>
      <x:c r="B18" s="22" t="str">
        <x:v>Tier A</x:v>
      </x:c>
      <x:c r="C18" s="22" t="str">
        <x:v>PRJ-2026-0004303</x:v>
      </x:c>
      <x:c r="D18" s="22" t="n">
        <x:v>4303</x:v>
      </x:c>
      <x:c r="E18" s="22" t="str">
        <x:v>Provision of water suppliers</x:v>
      </x:c>
      <x:c r="F18" s="22" t="str">
        <x:v>Banglawada (36699010303)</x:v>
      </x:c>
      <x:c r="G18" s="22" t="n">
        <x:v>1</x:v>
      </x:c>
      <x:c r="H18" s="22" t="n">
        <x:v>48</x:v>
      </x:c>
      <x:c r="I18" s="22" t="str">
        <x:v>Water Purifier (1 Number)</x:v>
      </x:c>
      <x:c r="J18" s="43" t="n">
        <x:f>IF(B18="Tier A",SUMIF('Tier A - Water Purifiers'!$B$5:$B$41,C18,'Tier A - Water Purifiers'!$J$5:$J$41),SUMIF('Tier B - Additional 8'!$B$5:$B$40,C18,'Tier B - Additional 8'!$K$5:$K$40))</x:f>
        <x:v>1400</x:v>
      </x:c>
      <x:c r="K18" s="22" t="str">
        <x:v>No</x:v>
      </x:c>
      <x:c r="L18" s="22" t="str">
        <x:v>Ready for bank-funded execution</x:v>
      </x:c>
      <x:c r="M18" s="22"/>
      <x:c r="N18" s="22" t="str">
        <x:v>Tranche 1</x:v>
      </x:c>
      <x:c r="O18" s="22" t="str">
        <x:v>PO, GST invoice, payment proof, item count/serial, geotagged photos, centre acknowledgement and completion record</x:v>
      </x:c>
      <x:c r="P18" s="22" t="str">
        <x:v>Named CSR/funding correspondence, expected receipt date and routing undertaking through lending account</x:v>
      </x:c>
      <x:c r="Q18" s="22" t="str">
        <x:v>Proceed</x:v>
      </x:c>
    </x:row>
    <x:row r="19">
      <x:c r="A19" s="22" t="n">
        <x:v>16</x:v>
      </x:c>
      <x:c r="B19" s="22" t="str">
        <x:v>Tier A</x:v>
      </x:c>
      <x:c r="C19" s="22" t="str">
        <x:v>PRJ-2026-0004379</x:v>
      </x:c>
      <x:c r="D19" s="22" t="n">
        <x:v>4379</x:v>
      </x:c>
      <x:c r="E19" s="22" t="str">
        <x:v>provision of water suppliers</x:v>
      </x:c>
      <x:c r="F19" s="22" t="str">
        <x:v>Burguda-2 (36699010306)</x:v>
      </x:c>
      <x:c r="G19" s="22" t="n">
        <x:v>1</x:v>
      </x:c>
      <x:c r="H19" s="22" t="n">
        <x:v>29</x:v>
      </x:c>
      <x:c r="I19" s="22" t="str">
        <x:v>Water Purifier (1 Number)</x:v>
      </x:c>
      <x:c r="J19" s="43" t="n">
        <x:f>IF(B19="Tier A",SUMIF('Tier A - Water Purifiers'!$B$5:$B$41,C19,'Tier A - Water Purifiers'!$J$5:$J$41),SUMIF('Tier B - Additional 8'!$B$5:$B$40,C19,'Tier B - Additional 8'!$K$5:$K$40))</x:f>
        <x:v>1400</x:v>
      </x:c>
      <x:c r="K19" s="22" t="str">
        <x:v>No</x:v>
      </x:c>
      <x:c r="L19" s="22" t="str">
        <x:v>Ready for bank-funded execution</x:v>
      </x:c>
      <x:c r="M19" s="22"/>
      <x:c r="N19" s="22" t="str">
        <x:v>Tranche 1</x:v>
      </x:c>
      <x:c r="O19" s="22" t="str">
        <x:v>PO, GST invoice, payment proof, item count/serial, geotagged photos, centre acknowledgement and completion record</x:v>
      </x:c>
      <x:c r="P19" s="22" t="str">
        <x:v>Named CSR/funding correspondence, expected receipt date and routing undertaking through lending account</x:v>
      </x:c>
      <x:c r="Q19" s="22" t="str">
        <x:v>Proceed</x:v>
      </x:c>
    </x:row>
    <x:row r="20">
      <x:c r="A20" s="22" t="n">
        <x:v>17</x:v>
      </x:c>
      <x:c r="B20" s="22" t="str">
        <x:v>Tier A</x:v>
      </x:c>
      <x:c r="C20" s="22" t="str">
        <x:v>PRJ-2026-0004454</x:v>
      </x:c>
      <x:c r="D20" s="22" t="n">
        <x:v>4454</x:v>
      </x:c>
      <x:c r="E20" s="22" t="str">
        <x:v>provision of water supplier</x:v>
      </x:c>
      <x:c r="F20" s="22" t="str">
        <x:v>Chilatiguda (36699010308)</x:v>
      </x:c>
      <x:c r="G20" s="22" t="n">
        <x:v>1</x:v>
      </x:c>
      <x:c r="H20" s="22" t="n">
        <x:v>40</x:v>
      </x:c>
      <x:c r="I20" s="22" t="str">
        <x:v>Water Purifier (1 Number)</x:v>
      </x:c>
      <x:c r="J20" s="43" t="n">
        <x:f>IF(B20="Tier A",SUMIF('Tier A - Water Purifiers'!$B$5:$B$41,C20,'Tier A - Water Purifiers'!$J$5:$J$41),SUMIF('Tier B - Additional 8'!$B$5:$B$40,C20,'Tier B - Additional 8'!$K$5:$K$40))</x:f>
        <x:v>1400</x:v>
      </x:c>
      <x:c r="K20" s="22" t="str">
        <x:v>No</x:v>
      </x:c>
      <x:c r="L20" s="22" t="str">
        <x:v>Ready for bank-funded execution</x:v>
      </x:c>
      <x:c r="M20" s="22"/>
      <x:c r="N20" s="22" t="str">
        <x:v>Tranche 1</x:v>
      </x:c>
      <x:c r="O20" s="22" t="str">
        <x:v>PO, GST invoice, payment proof, item count/serial, geotagged photos, centre acknowledgement and completion record</x:v>
      </x:c>
      <x:c r="P20" s="22" t="str">
        <x:v>Named CSR/funding correspondence, expected receipt date and routing undertaking through lending account</x:v>
      </x:c>
      <x:c r="Q20" s="22" t="str">
        <x:v>Proceed</x:v>
      </x:c>
    </x:row>
    <x:row r="21">
      <x:c r="A21" s="22" t="n">
        <x:v>18</x:v>
      </x:c>
      <x:c r="B21" s="22" t="str">
        <x:v>Tier A</x:v>
      </x:c>
      <x:c r="C21" s="22" t="str">
        <x:v>PRJ-2026-0004522</x:v>
      </x:c>
      <x:c r="D21" s="22" t="n">
        <x:v>4522</x:v>
      </x:c>
      <x:c r="E21" s="22" t="str">
        <x:v>provision of water supplier</x:v>
      </x:c>
      <x:c r="F21" s="22" t="str">
        <x:v>Mothuguda -2 (36699010321)</x:v>
      </x:c>
      <x:c r="G21" s="22" t="n">
        <x:v>1</x:v>
      </x:c>
      <x:c r="H21" s="22" t="n">
        <x:v>56</x:v>
      </x:c>
      <x:c r="I21" s="22" t="str">
        <x:v>Water Purifier (1 Number)</x:v>
      </x:c>
      <x:c r="J21" s="43" t="n">
        <x:f>IF(B21="Tier A",SUMIF('Tier A - Water Purifiers'!$B$5:$B$41,C21,'Tier A - Water Purifiers'!$J$5:$J$41),SUMIF('Tier B - Additional 8'!$B$5:$B$40,C21,'Tier B - Additional 8'!$K$5:$K$40))</x:f>
        <x:v>1400</x:v>
      </x:c>
      <x:c r="K21" s="22" t="str">
        <x:v>No</x:v>
      </x:c>
      <x:c r="L21" s="22" t="str">
        <x:v>Ready for bank-funded execution</x:v>
      </x:c>
      <x:c r="M21" s="22"/>
      <x:c r="N21" s="22" t="str">
        <x:v>Tranche 1</x:v>
      </x:c>
      <x:c r="O21" s="22" t="str">
        <x:v>PO, GST invoice, payment proof, item count/serial, geotagged photos, centre acknowledgement and completion record</x:v>
      </x:c>
      <x:c r="P21" s="22" t="str">
        <x:v>Named CSR/funding correspondence, expected receipt date and routing undertaking through lending account</x:v>
      </x:c>
      <x:c r="Q21" s="22" t="str">
        <x:v>Proceed</x:v>
      </x:c>
    </x:row>
    <x:row r="22">
      <x:c r="A22" s="22" t="n">
        <x:v>19</x:v>
      </x:c>
      <x:c r="B22" s="22" t="str">
        <x:v>Tier A</x:v>
      </x:c>
      <x:c r="C22" s="22" t="str">
        <x:v>PRJ-2026-0006628</x:v>
      </x:c>
      <x:c r="D22" s="22" t="n">
        <x:v>6628</x:v>
      </x:c>
      <x:c r="E22" s="22" t="str">
        <x:v>Proposal for water filter</x:v>
      </x:c>
      <x:c r="F22" s="22" t="str">
        <x:v>Pullikuntaq  (36699010721)</x:v>
      </x:c>
      <x:c r="G22" s="22" t="n">
        <x:v>1</x:v>
      </x:c>
      <x:c r="H22" s="22" t="n">
        <x:v>70</x:v>
      </x:c>
      <x:c r="I22" s="22" t="str">
        <x:v>Water Purifier (1 Number)</x:v>
      </x:c>
      <x:c r="J22" s="43" t="n">
        <x:f>IF(B22="Tier A",SUMIF('Tier A - Water Purifiers'!$B$5:$B$41,C22,'Tier A - Water Purifiers'!$J$5:$J$41),SUMIF('Tier B - Additional 8'!$B$5:$B$40,C22,'Tier B - Additional 8'!$K$5:$K$40))</x:f>
        <x:v>1400</x:v>
      </x:c>
      <x:c r="K22" s="22" t="str">
        <x:v>No</x:v>
      </x:c>
      <x:c r="L22" s="22" t="str">
        <x:v>Ready for bank-funded execution</x:v>
      </x:c>
      <x:c r="M22" s="22"/>
      <x:c r="N22" s="22" t="str">
        <x:v>Tranche 1</x:v>
      </x:c>
      <x:c r="O22" s="22" t="str">
        <x:v>PO, GST invoice, payment proof, item count/serial, geotagged photos, centre acknowledgement and completion record</x:v>
      </x:c>
      <x:c r="P22" s="22" t="str">
        <x:v>Named CSR/funding correspondence, expected receipt date and routing undertaking through lending account</x:v>
      </x:c>
      <x:c r="Q22" s="22" t="str">
        <x:v>Proceed</x:v>
      </x:c>
    </x:row>
    <x:row r="23">
      <x:c r="A23" s="22" t="n">
        <x:v>20</x:v>
      </x:c>
      <x:c r="B23" s="22" t="str">
        <x:v>Tier A</x:v>
      </x:c>
      <x:c r="C23" s="22" t="str">
        <x:v>PRJ-2026-0006634</x:v>
      </x:c>
      <x:c r="D23" s="22" t="n">
        <x:v>6634</x:v>
      </x:c>
      <x:c r="E23" s="22" t="str">
        <x:v>Proposal for water filter</x:v>
      </x:c>
      <x:c r="F23" s="22" t="str">
        <x:v>Pikajiguda  (36699010718)</x:v>
      </x:c>
      <x:c r="G23" s="22" t="n">
        <x:v>1</x:v>
      </x:c>
      <x:c r="H23" s="22" t="n">
        <x:v>65</x:v>
      </x:c>
      <x:c r="I23" s="22" t="str">
        <x:v>Water Purifier (1 Number)</x:v>
      </x:c>
      <x:c r="J23" s="43" t="n">
        <x:f>IF(B23="Tier A",SUMIF('Tier A - Water Purifiers'!$B$5:$B$41,C23,'Tier A - Water Purifiers'!$J$5:$J$41),SUMIF('Tier B - Additional 8'!$B$5:$B$40,C23,'Tier B - Additional 8'!$K$5:$K$40))</x:f>
        <x:v>1400</x:v>
      </x:c>
      <x:c r="K23" s="22" t="str">
        <x:v>No</x:v>
      </x:c>
      <x:c r="L23" s="22" t="str">
        <x:v>Ready for bank-funded execution</x:v>
      </x:c>
      <x:c r="M23" s="22"/>
      <x:c r="N23" s="22" t="str">
        <x:v>Tranche 1</x:v>
      </x:c>
      <x:c r="O23" s="22" t="str">
        <x:v>PO, GST invoice, payment proof, item count/serial, geotagged photos, centre acknowledgement and completion record</x:v>
      </x:c>
      <x:c r="P23" s="22" t="str">
        <x:v>Named CSR/funding correspondence, expected receipt date and routing undertaking through lending account</x:v>
      </x:c>
      <x:c r="Q23" s="22" t="str">
        <x:v>Proceed</x:v>
      </x:c>
    </x:row>
    <x:row r="24">
      <x:c r="A24" s="22" t="n">
        <x:v>21</x:v>
      </x:c>
      <x:c r="B24" s="22" t="str">
        <x:v>Tier A</x:v>
      </x:c>
      <x:c r="C24" s="22" t="str">
        <x:v>PRJ-2026-0006641</x:v>
      </x:c>
      <x:c r="D24" s="22" t="n">
        <x:v>6641</x:v>
      </x:c>
      <x:c r="E24" s="22" t="str">
        <x:v>Proposal for water filter</x:v>
      </x:c>
      <x:c r="F24" s="22" t="str">
        <x:v>Pasigaon (36699010717)</x:v>
      </x:c>
      <x:c r="G24" s="22" t="n">
        <x:v>1</x:v>
      </x:c>
      <x:c r="H24" s="22" t="n">
        <x:v>68</x:v>
      </x:c>
      <x:c r="I24" s="22" t="str">
        <x:v>Water Purifier (1 Number)</x:v>
      </x:c>
      <x:c r="J24" s="43" t="n">
        <x:f>IF(B24="Tier A",SUMIF('Tier A - Water Purifiers'!$B$5:$B$41,C24,'Tier A - Water Purifiers'!$J$5:$J$41),SUMIF('Tier B - Additional 8'!$B$5:$B$40,C24,'Tier B - Additional 8'!$K$5:$K$40))</x:f>
        <x:v>1400</x:v>
      </x:c>
      <x:c r="K24" s="22" t="str">
        <x:v>No</x:v>
      </x:c>
      <x:c r="L24" s="22" t="str">
        <x:v>Ready for bank-funded execution</x:v>
      </x:c>
      <x:c r="M24" s="22"/>
      <x:c r="N24" s="22" t="str">
        <x:v>Tranche 1</x:v>
      </x:c>
      <x:c r="O24" s="22" t="str">
        <x:v>PO, GST invoice, payment proof, item count/serial, geotagged photos, centre acknowledgement and completion record</x:v>
      </x:c>
      <x:c r="P24" s="22" t="str">
        <x:v>Named CSR/funding correspondence, expected receipt date and routing undertaking through lending account</x:v>
      </x:c>
      <x:c r="Q24" s="22" t="str">
        <x:v>Proceed</x:v>
      </x:c>
    </x:row>
    <x:row r="25">
      <x:c r="A25" s="22" t="n">
        <x:v>22</x:v>
      </x:c>
      <x:c r="B25" s="22" t="str">
        <x:v>Tier A</x:v>
      </x:c>
      <x:c r="C25" s="22" t="str">
        <x:v>PRJ-2026-0006645</x:v>
      </x:c>
      <x:c r="D25" s="22" t="n">
        <x:v>6645</x:v>
      </x:c>
      <x:c r="E25" s="22" t="str">
        <x:v>Proposal for water filter</x:v>
      </x:c>
      <x:c r="F25" s="22" t="str">
        <x:v>Narayanpur -3 (36699010716)</x:v>
      </x:c>
      <x:c r="G25" s="22" t="n">
        <x:v>1</x:v>
      </x:c>
      <x:c r="H25" s="22" t="n">
        <x:v>74</x:v>
      </x:c>
      <x:c r="I25" s="22" t="str">
        <x:v>Water Purifier (1 Number)</x:v>
      </x:c>
      <x:c r="J25" s="43" t="n">
        <x:f>IF(B25="Tier A",SUMIF('Tier A - Water Purifiers'!$B$5:$B$41,C25,'Tier A - Water Purifiers'!$J$5:$J$41),SUMIF('Tier B - Additional 8'!$B$5:$B$40,C25,'Tier B - Additional 8'!$K$5:$K$40))</x:f>
        <x:v>1400</x:v>
      </x:c>
      <x:c r="K25" s="22" t="str">
        <x:v>No</x:v>
      </x:c>
      <x:c r="L25" s="22" t="str">
        <x:v>Ready for bank-funded execution</x:v>
      </x:c>
      <x:c r="M25" s="22"/>
      <x:c r="N25" s="22" t="str">
        <x:v>Tranche 1</x:v>
      </x:c>
      <x:c r="O25" s="22" t="str">
        <x:v>PO, GST invoice, payment proof, item count/serial, geotagged photos, centre acknowledgement and completion record</x:v>
      </x:c>
      <x:c r="P25" s="22" t="str">
        <x:v>Named CSR/funding correspondence, expected receipt date and routing undertaking through lending account</x:v>
      </x:c>
      <x:c r="Q25" s="22" t="str">
        <x:v>Proceed</x:v>
      </x:c>
    </x:row>
    <x:row r="26">
      <x:c r="A26" s="22" t="n">
        <x:v>23</x:v>
      </x:c>
      <x:c r="B26" s="22" t="str">
        <x:v>Tier A</x:v>
      </x:c>
      <x:c r="C26" s="22" t="str">
        <x:v>PRJ-2026-0006649</x:v>
      </x:c>
      <x:c r="D26" s="22" t="n">
        <x:v>6649</x:v>
      </x:c>
      <x:c r="E26" s="22" t="str">
        <x:v>Proposal for water filter in AWC</x:v>
      </x:c>
      <x:c r="F26" s="22" t="str">
        <x:v>Nambala -2 (36699010710)</x:v>
      </x:c>
      <x:c r="G26" s="22" t="n">
        <x:v>1</x:v>
      </x:c>
      <x:c r="H26" s="22" t="n">
        <x:v>66</x:v>
      </x:c>
      <x:c r="I26" s="22" t="str">
        <x:v>Water Purifier (1 Number)</x:v>
      </x:c>
      <x:c r="J26" s="43" t="n">
        <x:f>IF(B26="Tier A",SUMIF('Tier A - Water Purifiers'!$B$5:$B$41,C26,'Tier A - Water Purifiers'!$J$5:$J$41),SUMIF('Tier B - Additional 8'!$B$5:$B$40,C26,'Tier B - Additional 8'!$K$5:$K$40))</x:f>
        <x:v>1400</x:v>
      </x:c>
      <x:c r="K26" s="22" t="str">
        <x:v>No</x:v>
      </x:c>
      <x:c r="L26" s="22" t="str">
        <x:v>Ready for bank-funded execution</x:v>
      </x:c>
      <x:c r="M26" s="22"/>
      <x:c r="N26" s="22" t="str">
        <x:v>Tranche 1</x:v>
      </x:c>
      <x:c r="O26" s="22" t="str">
        <x:v>PO, GST invoice, payment proof, item count/serial, geotagged photos, centre acknowledgement and completion record</x:v>
      </x:c>
      <x:c r="P26" s="22" t="str">
        <x:v>Named CSR/funding correspondence, expected receipt date and routing undertaking through lending account</x:v>
      </x:c>
      <x:c r="Q26" s="22" t="str">
        <x:v>Proceed</x:v>
      </x:c>
    </x:row>
    <x:row r="27">
      <x:c r="A27" s="22" t="n">
        <x:v>24</x:v>
      </x:c>
      <x:c r="B27" s="22" t="str">
        <x:v>Tier A</x:v>
      </x:c>
      <x:c r="C27" s="22" t="str">
        <x:v>PRJ-2026-0006659</x:v>
      </x:c>
      <x:c r="D27" s="22" t="n">
        <x:v>6659</x:v>
      </x:c>
      <x:c r="E27" s="22" t="str">
        <x:v>Proposal for water filter</x:v>
      </x:c>
      <x:c r="F27" s="22" t="str">
        <x:v>Kothaguda (36699010707)</x:v>
      </x:c>
      <x:c r="G27" s="22" t="n">
        <x:v>1</x:v>
      </x:c>
      <x:c r="H27" s="22" t="n">
        <x:v>65</x:v>
      </x:c>
      <x:c r="I27" s="22" t="str">
        <x:v>Water Purifier (1 Number)</x:v>
      </x:c>
      <x:c r="J27" s="43" t="n">
        <x:f>IF(B27="Tier A",SUMIF('Tier A - Water Purifiers'!$B$5:$B$41,C27,'Tier A - Water Purifiers'!$J$5:$J$41),SUMIF('Tier B - Additional 8'!$B$5:$B$40,C27,'Tier B - Additional 8'!$K$5:$K$40))</x:f>
        <x:v>1400</x:v>
      </x:c>
      <x:c r="K27" s="22" t="str">
        <x:v>No</x:v>
      </x:c>
      <x:c r="L27" s="22" t="str">
        <x:v>Ready for bank-funded execution</x:v>
      </x:c>
      <x:c r="M27" s="22"/>
      <x:c r="N27" s="22" t="str">
        <x:v>Tranche 1</x:v>
      </x:c>
      <x:c r="O27" s="22" t="str">
        <x:v>PO, GST invoice, payment proof, item count/serial, geotagged photos, centre acknowledgement and completion record</x:v>
      </x:c>
      <x:c r="P27" s="22" t="str">
        <x:v>Named CSR/funding correspondence, expected receipt date and routing undertaking through lending account</x:v>
      </x:c>
      <x:c r="Q27" s="22" t="str">
        <x:v>Proceed</x:v>
      </x:c>
    </x:row>
    <x:row r="28">
      <x:c r="A28" s="22" t="n">
        <x:v>25</x:v>
      </x:c>
      <x:c r="B28" s="22" t="str">
        <x:v>Tier A</x:v>
      </x:c>
      <x:c r="C28" s="22" t="str">
        <x:v>PRJ-2026-0006664</x:v>
      </x:c>
      <x:c r="D28" s="22" t="n">
        <x:v>6664</x:v>
      </x:c>
      <x:c r="E28" s="22" t="str">
        <x:v>Proposal for water filter</x:v>
      </x:c>
      <x:c r="F28" s="22" t="str">
        <x:v>Golemguda  (36699010706)</x:v>
      </x:c>
      <x:c r="G28" s="22" t="n">
        <x:v>1</x:v>
      </x:c>
      <x:c r="H28" s="22" t="n">
        <x:v>70</x:v>
      </x:c>
      <x:c r="I28" s="22" t="str">
        <x:v>Water Purifier (1 Number)</x:v>
      </x:c>
      <x:c r="J28" s="43" t="n">
        <x:f>IF(B28="Tier A",SUMIF('Tier A - Water Purifiers'!$B$5:$B$41,C28,'Tier A - Water Purifiers'!$J$5:$J$41),SUMIF('Tier B - Additional 8'!$B$5:$B$40,C28,'Tier B - Additional 8'!$K$5:$K$40))</x:f>
        <x:v>1400</x:v>
      </x:c>
      <x:c r="K28" s="22" t="str">
        <x:v>No</x:v>
      </x:c>
      <x:c r="L28" s="22" t="str">
        <x:v>Ready for bank-funded execution</x:v>
      </x:c>
      <x:c r="M28" s="22"/>
      <x:c r="N28" s="22" t="str">
        <x:v>Tranche 1</x:v>
      </x:c>
      <x:c r="O28" s="22" t="str">
        <x:v>PO, GST invoice, payment proof, item count/serial, geotagged photos, centre acknowledgement and completion record</x:v>
      </x:c>
      <x:c r="P28" s="22" t="str">
        <x:v>Named CSR/funding correspondence, expected receipt date and routing undertaking through lending account</x:v>
      </x:c>
      <x:c r="Q28" s="22" t="str">
        <x:v>Proceed</x:v>
      </x:c>
    </x:row>
    <x:row r="29">
      <x:c r="A29" s="22" t="n">
        <x:v>26</x:v>
      </x:c>
      <x:c r="B29" s="22" t="str">
        <x:v>Tier A</x:v>
      </x:c>
      <x:c r="C29" s="22" t="str">
        <x:v>PRJ-2026-0007329</x:v>
      </x:c>
      <x:c r="D29" s="22" t="n">
        <x:v>7329</x:v>
      </x:c>
      <x:c r="E29" s="22" t="str">
        <x:v>Water filter</x:v>
      </x:c>
      <x:c r="F29" s="22" t="str">
        <x:v>Dubbaguda (36699010803)</x:v>
      </x:c>
      <x:c r="G29" s="22" t="n">
        <x:v>1</x:v>
      </x:c>
      <x:c r="H29" s="22" t="n">
        <x:v>52</x:v>
      </x:c>
      <x:c r="I29" s="22" t="str">
        <x:v>Water Purifier (1 Number)</x:v>
      </x:c>
      <x:c r="J29" s="43" t="n">
        <x:f>IF(B29="Tier A",SUMIF('Tier A - Water Purifiers'!$B$5:$B$41,C29,'Tier A - Water Purifiers'!$J$5:$J$41),SUMIF('Tier B - Additional 8'!$B$5:$B$40,C29,'Tier B - Additional 8'!$K$5:$K$40))</x:f>
        <x:v>1400</x:v>
      </x:c>
      <x:c r="K29" s="22" t="str">
        <x:v>Yes</x:v>
      </x:c>
      <x:c r="L29" s="22" t="str">
        <x:v>Ready for bank-funded execution</x:v>
      </x:c>
      <x:c r="M29" s="22"/>
      <x:c r="N29" s="22" t="str">
        <x:v>Tranche 1</x:v>
      </x:c>
      <x:c r="O29" s="22" t="str">
        <x:v>PO, GST invoice, payment proof, item count/serial, geotagged photos, centre acknowledgement and completion record</x:v>
      </x:c>
      <x:c r="P29" s="22" t="str">
        <x:v>Named CSR/funding correspondence, expected receipt date and routing undertaking through lending account</x:v>
      </x:c>
      <x:c r="Q29" s="22" t="str">
        <x:v>Proceed</x:v>
      </x:c>
    </x:row>
    <x:row r="30">
      <x:c r="A30" s="22" t="n">
        <x:v>27</x:v>
      </x:c>
      <x:c r="B30" s="22" t="str">
        <x:v>Tier A</x:v>
      </x:c>
      <x:c r="C30" s="22" t="str">
        <x:v>PRJ-2026-0010044</x:v>
      </x:c>
      <x:c r="D30" s="22" t="n">
        <x:v>10044</x:v>
      </x:c>
      <x:c r="E30" s="22" t="str">
        <x:v>Water filter</x:v>
      </x:c>
      <x:c r="F30" s="22" t="str">
        <x:v>Devulaguda  (36699010802)</x:v>
      </x:c>
      <x:c r="G30" s="22" t="n">
        <x:v>1</x:v>
      </x:c>
      <x:c r="H30" s="22" t="n">
        <x:v>19</x:v>
      </x:c>
      <x:c r="I30" s="22" t="str">
        <x:v>Water Purifier (1 Number)</x:v>
      </x:c>
      <x:c r="J30" s="43" t="n">
        <x:f>IF(B30="Tier A",SUMIF('Tier A - Water Purifiers'!$B$5:$B$41,C30,'Tier A - Water Purifiers'!$J$5:$J$41),SUMIF('Tier B - Additional 8'!$B$5:$B$40,C30,'Tier B - Additional 8'!$K$5:$K$40))</x:f>
        <x:v>1400</x:v>
      </x:c>
      <x:c r="K30" s="22" t="str">
        <x:v>Yes</x:v>
      </x:c>
      <x:c r="L30" s="22" t="str">
        <x:v>Ready for bank-funded execution</x:v>
      </x:c>
      <x:c r="M30" s="22"/>
      <x:c r="N30" s="22" t="str">
        <x:v>Tranche 1</x:v>
      </x:c>
      <x:c r="O30" s="22" t="str">
        <x:v>PO, GST invoice, payment proof, item count/serial, geotagged photos, centre acknowledgement and completion record</x:v>
      </x:c>
      <x:c r="P30" s="22" t="str">
        <x:v>Named CSR/funding correspondence, expected receipt date and routing undertaking through lending account</x:v>
      </x:c>
      <x:c r="Q30" s="22" t="str">
        <x:v>Proceed</x:v>
      </x:c>
    </x:row>
    <x:row r="31">
      <x:c r="A31" s="22" t="n">
        <x:v>28</x:v>
      </x:c>
      <x:c r="B31" s="22" t="str">
        <x:v>Tier A</x:v>
      </x:c>
      <x:c r="C31" s="22" t="str">
        <x:v>PRJ-2026-0010183</x:v>
      </x:c>
      <x:c r="D31" s="22" t="n">
        <x:v>10183</x:v>
      </x:c>
      <x:c r="E31" s="22" t="str">
        <x:v>Water filter</x:v>
      </x:c>
      <x:c r="F31" s="22" t="str">
        <x:v>Rebbena -3 (36699010818)</x:v>
      </x:c>
      <x:c r="G31" s="22" t="n">
        <x:v>1</x:v>
      </x:c>
      <x:c r="H31" s="22" t="n">
        <x:v>43</x:v>
      </x:c>
      <x:c r="I31" s="22" t="str">
        <x:v>Water Purifier (1 Number)</x:v>
      </x:c>
      <x:c r="J31" s="43" t="n">
        <x:f>IF(B31="Tier A",SUMIF('Tier A - Water Purifiers'!$B$5:$B$41,C31,'Tier A - Water Purifiers'!$J$5:$J$41),SUMIF('Tier B - Additional 8'!$B$5:$B$40,C31,'Tier B - Additional 8'!$K$5:$K$40))</x:f>
        <x:v>1400</x:v>
      </x:c>
      <x:c r="K31" s="22" t="str">
        <x:v>Yes</x:v>
      </x:c>
      <x:c r="L31" s="22" t="str">
        <x:v>Ready for bank-funded execution</x:v>
      </x:c>
      <x:c r="M31" s="22"/>
      <x:c r="N31" s="22" t="str">
        <x:v>Tranche 1</x:v>
      </x:c>
      <x:c r="O31" s="22" t="str">
        <x:v>PO, GST invoice, payment proof, item count/serial, geotagged photos, centre acknowledgement and completion record</x:v>
      </x:c>
      <x:c r="P31" s="22" t="str">
        <x:v>Named CSR/funding correspondence, expected receipt date and routing undertaking through lending account</x:v>
      </x:c>
      <x:c r="Q31" s="22" t="str">
        <x:v>Proceed</x:v>
      </x:c>
    </x:row>
    <x:row r="32">
      <x:c r="A32" s="22" t="n">
        <x:v>29</x:v>
      </x:c>
      <x:c r="B32" s="22" t="str">
        <x:v>Tier A</x:v>
      </x:c>
      <x:c r="C32" s="22" t="str">
        <x:v>PRJ-2026-0005279</x:v>
      </x:c>
      <x:c r="D32" s="22" t="n">
        <x:v>5279</x:v>
      </x:c>
      <x:c r="E32" s="22" t="str">
        <x:v>Upgradation of Anganwadi</x:v>
      </x:c>
      <x:c r="F32" s="22" t="str">
        <x:v>Arewada (36699010502); Venkatapur (36699010520)</x:v>
      </x:c>
      <x:c r="G32" s="22" t="n">
        <x:v>2</x:v>
      </x:c>
      <x:c r="H32" s="22" t="n">
        <x:v>38</x:v>
      </x:c>
      <x:c r="I32" s="22" t="str">
        <x:v>Water Purifier (2 Number)</x:v>
      </x:c>
      <x:c r="J32" s="43" t="n">
        <x:f>IF(B32="Tier A",SUMIF('Tier A - Water Purifiers'!$B$5:$B$41,C32,'Tier A - Water Purifiers'!$J$5:$J$41),SUMIF('Tier B - Additional 8'!$B$5:$B$40,C32,'Tier B - Additional 8'!$K$5:$K$40))</x:f>
        <x:v>2800</x:v>
      </x:c>
      <x:c r="K32" s="22" t="str">
        <x:v>No</x:v>
      </x:c>
      <x:c r="L32" s="22" t="str">
        <x:v>Conditional—freeze reduced scope/BoQ first</x:v>
      </x:c>
      <x:c r="M32" s="22" t="str">
        <x:v>Multi-unit scope (2); ₹50K cannot cover all units</x:v>
      </x:c>
      <x:c r="N32" s="22" t="str">
        <x:v>Tranche 2 / after correction</x:v>
      </x:c>
      <x:c r="O32" s="22" t="str">
        <x:v>PO, GST invoice, payment proof, item count/serial, geotagged photos, centre acknowledgement and completion record</x:v>
      </x:c>
      <x:c r="P32" s="22" t="str">
        <x:v>Named CSR/funding correspondence, expected receipt date and routing undertaking through lending account</x:v>
      </x:c>
      <x:c r="Q32" s="22" t="str">
        <x:v>Conditional</x:v>
      </x:c>
    </x:row>
    <x:row r="33">
      <x:c r="A33" s="22" t="n">
        <x:v>30</x:v>
      </x:c>
      <x:c r="B33" s="22" t="str">
        <x:v>Tier A</x:v>
      </x:c>
      <x:c r="C33" s="22" t="str">
        <x:v>PRJ-2026-0006477</x:v>
      </x:c>
      <x:c r="D33" s="22" t="n">
        <x:v>6477</x:v>
      </x:c>
      <x:c r="E33" s="22" t="str">
        <x:v>Rain Water Harvesting System : Water Filter Kitchen Construction : Poshan Vat...</x:v>
      </x:c>
      <x:c r="F33" s="22" t="str">
        <x:v>Arjunloddi (36699011028)</x:v>
      </x:c>
      <x:c r="G33" s="22" t="n">
        <x:v>1</x:v>
      </x:c>
      <x:c r="H33" s="22" t="n">
        <x:v>7</x:v>
      </x:c>
      <x:c r="I33" s="22" t="str">
        <x:v>Water Purifier (1 Number)</x:v>
      </x:c>
      <x:c r="J33" s="43" t="n">
        <x:f>IF(B33="Tier A",SUMIF('Tier A - Water Purifiers'!$B$5:$B$41,C33,'Tier A - Water Purifiers'!$J$5:$J$41),SUMIF('Tier B - Additional 8'!$B$5:$B$40,C33,'Tier B - Additional 8'!$K$5:$K$40))</x:f>
        <x:v>1400</x:v>
      </x:c>
      <x:c r="K33" s="22" t="str">
        <x:v>Yes</x:v>
      </x:c>
      <x:c r="L33" s="22" t="str">
        <x:v>Hold—convergence or data correction required</x:v>
      </x:c>
      <x:c r="M33" s="22" t="str">
        <x:v>Title mentions Cooking Equipment, but the activity line is missing; Title men...</x:v>
      </x:c>
      <x:c r="N33" s="22" t="str">
        <x:v>Tranche 2 / after correction</x:v>
      </x:c>
      <x:c r="O33" s="22" t="str">
        <x:v>PO, GST invoice, payment proof, item count/serial, geotagged photos, centre acknowledgement and completion record</x:v>
      </x:c>
      <x:c r="P33" s="22" t="str">
        <x:v>Named CSR/funding correspondence, expected receipt date and routing undertaking through lending account</x:v>
      </x:c>
      <x:c r="Q33" s="22" t="str">
        <x:v>Conditional</x:v>
      </x:c>
    </x:row>
    <x:row r="34">
      <x:c r="A34" s="22" t="n">
        <x:v>31</x:v>
      </x:c>
      <x:c r="B34" s="22" t="str">
        <x:v>Tier A</x:v>
      </x:c>
      <x:c r="C34" s="22" t="str">
        <x:v>PRJ-2026-0008229</x:v>
      </x:c>
      <x:c r="D34" s="22" t="n">
        <x:v>8229</x:v>
      </x:c>
      <x:c r="E34" s="22" t="str">
        <x:v>Rain Water Harvesting System : Water Filter Kitchen Construction : Poshan Vat...</x:v>
      </x:c>
      <x:c r="F34" s="22" t="str">
        <x:v>Gopera (36699011008)</x:v>
      </x:c>
      <x:c r="G34" s="22" t="n">
        <x:v>1</x:v>
      </x:c>
      <x:c r="H34" s="22" t="n">
        <x:v>53</x:v>
      </x:c>
      <x:c r="I34" s="22" t="str">
        <x:v>Water Purifier (1 Number)</x:v>
      </x:c>
      <x:c r="J34" s="43" t="n">
        <x:f>IF(B34="Tier A",SUMIF('Tier A - Water Purifiers'!$B$5:$B$41,C34,'Tier A - Water Purifiers'!$J$5:$J$41),SUMIF('Tier B - Additional 8'!$B$5:$B$40,C34,'Tier B - Additional 8'!$K$5:$K$40))</x:f>
        <x:v>1400</x:v>
      </x:c>
      <x:c r="K34" s="22" t="str">
        <x:v>Yes</x:v>
      </x:c>
      <x:c r="L34" s="22" t="str">
        <x:v>Hold—convergence or data correction required</x:v>
      </x:c>
      <x:c r="M34" s="22" t="str">
        <x:v>Title mentions Cooking Equipment, but the activity line is missing; Title men...</x:v>
      </x:c>
      <x:c r="N34" s="22" t="str">
        <x:v>Tranche 2 / after correction</x:v>
      </x:c>
      <x:c r="O34" s="22" t="str">
        <x:v>PO, GST invoice, payment proof, item count/serial, geotagged photos, centre acknowledgement and completion record</x:v>
      </x:c>
      <x:c r="P34" s="22" t="str">
        <x:v>Named CSR/funding correspondence, expected receipt date and routing undertaking through lending account</x:v>
      </x:c>
      <x:c r="Q34" s="22" t="str">
        <x:v>Conditional</x:v>
      </x:c>
    </x:row>
    <x:row r="35">
      <x:c r="A35" s="22" t="n">
        <x:v>32</x:v>
      </x:c>
      <x:c r="B35" s="22" t="str">
        <x:v>Tier A</x:v>
      </x:c>
      <x:c r="C35" s="22" t="str">
        <x:v>PRJ-2026-0008258</x:v>
      </x:c>
      <x:c r="D35" s="22" t="n">
        <x:v>8258</x:v>
      </x:c>
      <x:c r="E35" s="22" t="str">
        <x:v>Rain Water Harvesting System : Water Filter Kitchen Construction : Poshan Vat...</x:v>
      </x:c>
      <x:c r="F35" s="22" t="str">
        <x:v>Gundala (36699011009)</x:v>
      </x:c>
      <x:c r="G35" s="22" t="n">
        <x:v>1</x:v>
      </x:c>
      <x:c r="H35" s="22" t="n">
        <x:v>16</x:v>
      </x:c>
      <x:c r="I35" s="22" t="str">
        <x:v>Water Purifier (1 Number)</x:v>
      </x:c>
      <x:c r="J35" s="43" t="n">
        <x:f>IF(B35="Tier A",SUMIF('Tier A - Water Purifiers'!$B$5:$B$41,C35,'Tier A - Water Purifiers'!$J$5:$J$41),SUMIF('Tier B - Additional 8'!$B$5:$B$40,C35,'Tier B - Additional 8'!$K$5:$K$40))</x:f>
        <x:v>1400</x:v>
      </x:c>
      <x:c r="K35" s="22" t="str">
        <x:v>Yes</x:v>
      </x:c>
      <x:c r="L35" s="22" t="str">
        <x:v>Hold—convergence or data correction required</x:v>
      </x:c>
      <x:c r="M35" s="22" t="str">
        <x:v>Title mentions Cooking Equipment, but the activity line is missing; Title men...</x:v>
      </x:c>
      <x:c r="N35" s="22" t="str">
        <x:v>Tranche 2 / after correction</x:v>
      </x:c>
      <x:c r="O35" s="22" t="str">
        <x:v>PO, GST invoice, payment proof, item count/serial, geotagged photos, centre acknowledgement and completion record</x:v>
      </x:c>
      <x:c r="P35" s="22" t="str">
        <x:v>Named CSR/funding correspondence, expected receipt date and routing undertaking through lending account</x:v>
      </x:c>
      <x:c r="Q35" s="22" t="str">
        <x:v>Conditional</x:v>
      </x:c>
    </x:row>
    <x:row r="36">
      <x:c r="A36" s="22" t="n">
        <x:v>33</x:v>
      </x:c>
      <x:c r="B36" s="22" t="str">
        <x:v>Tier A</x:v>
      </x:c>
      <x:c r="C36" s="22" t="str">
        <x:v>PRJ-2026-0008283</x:v>
      </x:c>
      <x:c r="D36" s="22" t="n">
        <x:v>8283</x:v>
      </x:c>
      <x:c r="E36" s="22" t="str">
        <x:v>Rain Water Harvesting System : Water Filter Kitchen Construction : Poshan Vat...</x:v>
      </x:c>
      <x:c r="F36" s="22" t="str">
        <x:v>kolamguda  manikyapur (36699011027)</x:v>
      </x:c>
      <x:c r="G36" s="22" t="n">
        <x:v>1</x:v>
      </x:c>
      <x:c r="H36" s="22" t="n">
        <x:v>9</x:v>
      </x:c>
      <x:c r="I36" s="22" t="str">
        <x:v>Water Purifier (1 Number)</x:v>
      </x:c>
      <x:c r="J36" s="43" t="n">
        <x:f>IF(B36="Tier A",SUMIF('Tier A - Water Purifiers'!$B$5:$B$41,C36,'Tier A - Water Purifiers'!$J$5:$J$41),SUMIF('Tier B - Additional 8'!$B$5:$B$40,C36,'Tier B - Additional 8'!$K$5:$K$40))</x:f>
        <x:v>1400</x:v>
      </x:c>
      <x:c r="K36" s="22" t="str">
        <x:v>Yes</x:v>
      </x:c>
      <x:c r="L36" s="22" t="str">
        <x:v>Hold—convergence or data correction required</x:v>
      </x:c>
      <x:c r="M36" s="22" t="str">
        <x:v>Title mentions Cooking Equipment, but the activity line is missing; Title men...</x:v>
      </x:c>
      <x:c r="N36" s="22" t="str">
        <x:v>Tranche 2 / after correction</x:v>
      </x:c>
      <x:c r="O36" s="22" t="str">
        <x:v>PO, GST invoice, payment proof, item count/serial, geotagged photos, centre acknowledgement and completion record</x:v>
      </x:c>
      <x:c r="P36" s="22" t="str">
        <x:v>Named CSR/funding correspondence, expected receipt date and routing undertaking through lending account</x:v>
      </x:c>
      <x:c r="Q36" s="22" t="str">
        <x:v>Conditional</x:v>
      </x:c>
    </x:row>
    <x:row r="37">
      <x:c r="A37" s="22" t="n">
        <x:v>34</x:v>
      </x:c>
      <x:c r="B37" s="22" t="str">
        <x:v>Tier A</x:v>
      </x:c>
      <x:c r="C37" s="22" t="str">
        <x:v>PRJ-2026-0008314</x:v>
      </x:c>
      <x:c r="D37" s="22" t="n">
        <x:v>8314</x:v>
      </x:c>
      <x:c r="E37" s="22" t="str">
        <x:v>Rain Water Harvesting System : Water Filter Kitchen Construction : Poshan Vat...</x:v>
      </x:c>
      <x:c r="F37" s="22" t="str">
        <x:v>Kolamguda Rompally (36699011025)</x:v>
      </x:c>
      <x:c r="G37" s="22" t="n">
        <x:v>1</x:v>
      </x:c>
      <x:c r="H37" s="22" t="n">
        <x:v>11</x:v>
      </x:c>
      <x:c r="I37" s="22" t="str">
        <x:v>Water Purifier (1 Number)</x:v>
      </x:c>
      <x:c r="J37" s="43" t="n">
        <x:f>IF(B37="Tier A",SUMIF('Tier A - Water Purifiers'!$B$5:$B$41,C37,'Tier A - Water Purifiers'!$J$5:$J$41),SUMIF('Tier B - Additional 8'!$B$5:$B$40,C37,'Tier B - Additional 8'!$K$5:$K$40))</x:f>
        <x:v>1400</x:v>
      </x:c>
      <x:c r="K37" s="22" t="str">
        <x:v>Yes</x:v>
      </x:c>
      <x:c r="L37" s="22" t="str">
        <x:v>Hold—convergence or data correction required</x:v>
      </x:c>
      <x:c r="M37" s="22" t="str">
        <x:v>Title mentions Cooking Equipment, but the activity line is missing; Title men...</x:v>
      </x:c>
      <x:c r="N37" s="22" t="str">
        <x:v>Tranche 2 / after correction</x:v>
      </x:c>
      <x:c r="O37" s="22" t="str">
        <x:v>PO, GST invoice, payment proof, item count/serial, geotagged photos, centre acknowledgement and completion record</x:v>
      </x:c>
      <x:c r="P37" s="22" t="str">
        <x:v>Named CSR/funding correspondence, expected receipt date and routing undertaking through lending account</x:v>
      </x:c>
      <x:c r="Q37" s="22" t="str">
        <x:v>Conditional</x:v>
      </x:c>
    </x:row>
    <x:row r="38">
      <x:c r="A38" s="22" t="n">
        <x:v>35</x:v>
      </x:c>
      <x:c r="B38" s="22" t="str">
        <x:v>Tier A</x:v>
      </x:c>
      <x:c r="C38" s="22" t="str">
        <x:v>PRJ-2026-0008329</x:v>
      </x:c>
      <x:c r="D38" s="22" t="n">
        <x:v>8329</x:v>
      </x:c>
      <x:c r="E38" s="22" t="str">
        <x:v>Rain Water Harvesting System : Water Filter Kitchen Construction : Poshan Vat...</x:v>
      </x:c>
      <x:c r="F38" s="22" t="str">
        <x:v>Gangapur (36699011007)</x:v>
      </x:c>
      <x:c r="G38" s="22" t="n">
        <x:v>1</x:v>
      </x:c>
      <x:c r="H38" s="22" t="n">
        <x:v>9</x:v>
      </x:c>
      <x:c r="I38" s="22" t="str">
        <x:v>Water Purifier (1 Number)</x:v>
      </x:c>
      <x:c r="J38" s="43" t="n">
        <x:f>IF(B38="Tier A",SUMIF('Tier A - Water Purifiers'!$B$5:$B$41,C38,'Tier A - Water Purifiers'!$J$5:$J$41),SUMIF('Tier B - Additional 8'!$B$5:$B$40,C38,'Tier B - Additional 8'!$K$5:$K$40))</x:f>
        <x:v>1400</x:v>
      </x:c>
      <x:c r="K38" s="22" t="str">
        <x:v>Yes</x:v>
      </x:c>
      <x:c r="L38" s="22" t="str">
        <x:v>Hold—convergence or data correction required</x:v>
      </x:c>
      <x:c r="M38" s="22" t="str">
        <x:v>Title mentions Cooking Equipment, but the activity line is missing; Title men...</x:v>
      </x:c>
      <x:c r="N38" s="22" t="str">
        <x:v>Tranche 2 / after correction</x:v>
      </x:c>
      <x:c r="O38" s="22" t="str">
        <x:v>PO, GST invoice, payment proof, item count/serial, geotagged photos, centre acknowledgement and completion record</x:v>
      </x:c>
      <x:c r="P38" s="22" t="str">
        <x:v>Named CSR/funding correspondence, expected receipt date and routing undertaking through lending account</x:v>
      </x:c>
      <x:c r="Q38" s="22" t="str">
        <x:v>Conditional</x:v>
      </x:c>
    </x:row>
    <x:row r="39">
      <x:c r="A39" s="22" t="n">
        <x:v>36</x:v>
      </x:c>
      <x:c r="B39" s="22" t="str">
        <x:v>Tier A</x:v>
      </x:c>
      <x:c r="C39" s="22" t="str">
        <x:v>PRJ-2026-0008367</x:v>
      </x:c>
      <x:c r="D39" s="22" t="n">
        <x:v>8367</x:v>
      </x:c>
      <x:c r="E39" s="22" t="str">
        <x:v>Rain Water Harvesting System : Water Filter Kitchen Construction : Poshan Vat...</x:v>
      </x:c>
      <x:c r="F39" s="22" t="str">
        <x:v>Tiryani-III (36699011023)</x:v>
      </x:c>
      <x:c r="G39" s="22" t="n">
        <x:v>1</x:v>
      </x:c>
      <x:c r="H39" s="22" t="n">
        <x:v>38</x:v>
      </x:c>
      <x:c r="I39" s="22" t="str">
        <x:v>Water Purifier (1 Number)</x:v>
      </x:c>
      <x:c r="J39" s="43" t="n">
        <x:f>IF(B39="Tier A",SUMIF('Tier A - Water Purifiers'!$B$5:$B$41,C39,'Tier A - Water Purifiers'!$J$5:$J$41),SUMIF('Tier B - Additional 8'!$B$5:$B$40,C39,'Tier B - Additional 8'!$K$5:$K$40))</x:f>
        <x:v>1400</x:v>
      </x:c>
      <x:c r="K39" s="22" t="str">
        <x:v>Yes</x:v>
      </x:c>
      <x:c r="L39" s="22" t="str">
        <x:v>Hold—convergence or data correction required</x:v>
      </x:c>
      <x:c r="M39" s="22" t="str">
        <x:v>Title mentions Cooking Equipment, but the activity line is missing; Title men...</x:v>
      </x:c>
      <x:c r="N39" s="22" t="str">
        <x:v>Tranche 2 / after correction</x:v>
      </x:c>
      <x:c r="O39" s="22" t="str">
        <x:v>PO, GST invoice, payment proof, item count/serial, geotagged photos, centre acknowledgement and completion record</x:v>
      </x:c>
      <x:c r="P39" s="22" t="str">
        <x:v>Named CSR/funding correspondence, expected receipt date and routing undertaking through lending account</x:v>
      </x:c>
      <x:c r="Q39" s="22" t="str">
        <x:v>Conditional</x:v>
      </x:c>
    </x:row>
    <x:row r="40">
      <x:c r="A40" s="22" t="n">
        <x:v>37</x:v>
      </x:c>
      <x:c r="B40" s="22" t="str">
        <x:v>Tier A</x:v>
      </x:c>
      <x:c r="C40" s="22" t="str">
        <x:v>PRJ-2026-0010279</x:v>
      </x:c>
      <x:c r="D40" s="22" t="n">
        <x:v>10279</x:v>
      </x:c>
      <x:c r="E40" s="22" t="str">
        <x:v>Rain Water Harvesting System : Water Filter Kitchen Construction : Poshan Vatika  kitchen Shelves : Gas stove, regulator : Solar Panel : Civil Repair : Toilet</x:v>
      </x:c>
      <x:c r="F40" s="22" t="str">
        <x:v>Gopera (36699011008)</x:v>
      </x:c>
      <x:c r="G40" s="22" t="n">
        <x:v>1</x:v>
      </x:c>
      <x:c r="H40" s="22" t="n">
        <x:v>53</x:v>
      </x:c>
      <x:c r="I40" s="22" t="str">
        <x:v>Water Purifier (1 Number)</x:v>
      </x:c>
      <x:c r="J40" s="43" t="n">
        <x:f>IF(B40="Tier A",SUMIF('Tier A - Water Purifiers'!$B$5:$B$41,C40,'Tier A - Water Purifiers'!$J$5:$J$41),SUMIF('Tier B - Additional 8'!$B$5:$B$40,C40,'Tier B - Additional 8'!$K$5:$K$40))</x:f>
        <x:v>1400</x:v>
      </x:c>
      <x:c r="K40" s="22" t="str">
        <x:v>Yes</x:v>
      </x:c>
      <x:c r="L40" s="22" t="str">
        <x:v>Hold—convergence or data correction required</x:v>
      </x:c>
      <x:c r="M40" s="22" t="str">
        <x:v>Title mentions Cooking Equipment, but the activity line is missing; Title men...</x:v>
      </x:c>
      <x:c r="N40" s="22" t="str">
        <x:v>Tranche 2 / after correction</x:v>
      </x:c>
      <x:c r="O40" s="22" t="str">
        <x:v>PO, GST invoice, payment proof, item count/serial, geotagged photos, centre acknowledgement and completion record</x:v>
      </x:c>
      <x:c r="P40" s="22" t="str">
        <x:v>Named CSR/funding correspondence, expected receipt date and routing undertaking through lending account</x:v>
      </x:c>
      <x:c r="Q40" s="22" t="str">
        <x:v>Conditional</x:v>
      </x:c>
    </x:row>
    <x:row r="41">
      <x:c r="A41" s="22" t="n">
        <x:v>38</x:v>
      </x:c>
      <x:c r="B41" s="22" t="str">
        <x:v>Tier B addition</x:v>
      </x:c>
      <x:c r="C41" s="22" t="str">
        <x:v>PRJ-2026-0010282</x:v>
      </x:c>
      <x:c r="D41" s="22" t="n">
        <x:v>10282</x:v>
      </x:c>
      <x:c r="E41" s="22" t="str">
        <x:v>Water filter, gas stove, ECCE metirial</x:v>
      </x:c>
      <x:c r="F41" s="22" t="str">
        <x:v>Rebbena -1 (36699010816)</x:v>
      </x:c>
      <x:c r="G41" s="22" t="n">
        <x:v>1</x:v>
      </x:c>
      <x:c r="H41" s="22" t="n">
        <x:v>69</x:v>
      </x:c>
      <x:c r="I41" s="22" t="str">
        <x:v>Water Purifier (1 Number); Games (1 Number)</x:v>
      </x:c>
      <x:c r="J41" s="43" t="n">
        <x:f>IF(B41="Tier A",SUMIF('Tier A - Water Purifiers'!$B$5:$B$41,C41,'Tier A - Water Purifiers'!$J$5:$J$41),SUMIF('Tier B - Additional 8'!$B$5:$B$40,C41,'Tier B - Additional 8'!$K$5:$K$40))</x:f>
        <x:v>1700</x:v>
      </x:c>
      <x:c r="K41" s="22" t="str">
        <x:v>Yes</x:v>
      </x:c>
      <x:c r="L41" s="22" t="str">
        <x:v>Hold—convergence or data correction required</x:v>
      </x:c>
      <x:c r="M41" s="22" t="str">
        <x:v>Title mentions Cooking Equipment, but the activity line is missing</x:v>
      </x:c>
      <x:c r="N41" s="22" t="str">
        <x:v>Tranche 2 / after correction</x:v>
      </x:c>
      <x:c r="O41" s="22" t="str">
        <x:v>PO, GST invoice, payment proof, item count/serial, geotagged photos, centre acknowledgement and completion record</x:v>
      </x:c>
      <x:c r="P41" s="22" t="str">
        <x:v>Named CSR/funding correspondence, expected receipt date and routing undertaking through lending account</x:v>
      </x:c>
      <x:c r="Q41" s="22" t="str">
        <x:v>Conditional</x:v>
      </x:c>
    </x:row>
    <x:row r="42">
      <x:c r="A42" s="22" t="n">
        <x:v>39</x:v>
      </x:c>
      <x:c r="B42" s="22" t="str">
        <x:v>Tier B addition</x:v>
      </x:c>
      <x:c r="C42" s="22" t="str">
        <x:v>PRJ-2026-0006705</x:v>
      </x:c>
      <x:c r="D42" s="22" t="n">
        <x:v>6705</x:v>
      </x:c>
      <x:c r="E42" s="22" t="str">
        <x:v>AWC Upgradation</x:v>
      </x:c>
      <x:c r="F42" s="22" t="str">
        <x:v>Rambaiguda (36699010916); Mangi (36699010912)</x:v>
      </x:c>
      <x:c r="G42" s="22" t="n">
        <x:v>2</x:v>
      </x:c>
      <x:c r="H42" s="22" t="n">
        <x:v>2</x:v>
      </x:c>
      <x:c r="I42" s="22" t="str">
        <x:v>Water Purifier (1 Number); Cooking Equipments (2 Number); Toys (5 Number); Games (10 Number); Balls (10 Number); Bats (10 Number)</x:v>
      </x:c>
      <x:c r="J42" s="43" t="n">
        <x:f>IF(B42="Tier A",SUMIF('Tier A - Water Purifiers'!$B$5:$B$41,C42,'Tier A - Water Purifiers'!$J$5:$J$41),SUMIF('Tier B - Additional 8'!$B$5:$B$40,C42,'Tier B - Additional 8'!$K$5:$K$40))</x:f>
        <x:v>41700</x:v>
      </x:c>
      <x:c r="K42" s="22" t="str">
        <x:v>No</x:v>
      </x:c>
      <x:c r="L42" s="22" t="str">
        <x:v>Conditional—freeze reduced scope/BoQ first</x:v>
      </x:c>
      <x:c r="M42" s="22" t="str">
        <x:v>Multi-unit scope (2); ₹50K cannot cover all units</x:v>
      </x:c>
      <x:c r="N42" s="22" t="str">
        <x:v>Tranche 2 / after correction</x:v>
      </x:c>
      <x:c r="O42" s="22" t="str">
        <x:v>PO, GST invoice, payment proof, item count/serial, geotagged photos, centre acknowledgement and completion record</x:v>
      </x:c>
      <x:c r="P42" s="22" t="str">
        <x:v>Named CSR/funding correspondence, expected receipt date and routing undertaking through lending account</x:v>
      </x:c>
      <x:c r="Q42" s="22" t="str">
        <x:v>Conditional</x:v>
      </x:c>
    </x:row>
    <x:row r="43">
      <x:c r="A43" s="22" t="n">
        <x:v>40</x:v>
      </x:c>
      <x:c r="B43" s="22" t="str">
        <x:v>Tier B addition</x:v>
      </x:c>
      <x:c r="C43" s="22" t="str">
        <x:v>PRJ-2026-0006536</x:v>
      </x:c>
      <x:c r="D43" s="22" t="n">
        <x:v>6536</x:v>
      </x:c>
      <x:c r="E43" s="22" t="str">
        <x:v>Rain Water Harvesting System : Water Filter Kitchen Construction : Poshan Vat...</x:v>
      </x:c>
      <x:c r="F43" s="22" t="str">
        <x:v>Manneguda I (36699010225)</x:v>
      </x:c>
      <x:c r="G43" s="22" t="n">
        <x:v>1</x:v>
      </x:c>
      <x:c r="H43" s="22" t="n">
        <x:v>26</x:v>
      </x:c>
      <x:c r="I43" s="22" t="str">
        <x:v>Cooking Equipments (1 Number); Seeds (1 Number)</x:v>
      </x:c>
      <x:c r="J43" s="43" t="n">
        <x:f>IF(B43="Tier A",SUMIF('Tier A - Water Purifiers'!$B$5:$B$41,C43,'Tier A - Water Purifiers'!$J$5:$J$41),SUMIF('Tier B - Additional 8'!$B$5:$B$40,C43,'Tier B - Additional 8'!$K$5:$K$40))</x:f>
        <x:v>15600</x:v>
      </x:c>
      <x:c r="K43" s="22" t="str">
        <x:v>Yes</x:v>
      </x:c>
      <x:c r="L43" s="22" t="str">
        <x:v>Hold—convergence or data correction required</x:v>
      </x:c>
      <x:c r="M43" s="22" t="str">
        <x:v>Title mentions Rainwater Harvesting, but the activity line is missing; Title ...</x:v>
      </x:c>
      <x:c r="N43" s="22" t="str">
        <x:v>Tranche 2 / after correction</x:v>
      </x:c>
      <x:c r="O43" s="22" t="str">
        <x:v>PO, GST invoice, payment proof, item count/serial, geotagged photos, centre acknowledgement and completion record</x:v>
      </x:c>
      <x:c r="P43" s="22" t="str">
        <x:v>Named CSR/funding correspondence, expected receipt date and routing undertaking through lending account</x:v>
      </x:c>
      <x:c r="Q43" s="22" t="str">
        <x:v>Conditional</x:v>
      </x:c>
    </x:row>
    <x:row r="44">
      <x:c r="A44" s="22" t="n">
        <x:v>41</x:v>
      </x:c>
      <x:c r="B44" s="22" t="str">
        <x:v>Tier B addition</x:v>
      </x:c>
      <x:c r="C44" s="22" t="str">
        <x:v>PRJ-2026-0005725</x:v>
      </x:c>
      <x:c r="D44" s="22" t="n">
        <x:v>5725</x:v>
      </x:c>
      <x:c r="E44" s="22" t="str">
        <x:v>Upgradation of Anganwadies</x:v>
      </x:c>
      <x:c r="F44" s="22" t="str">
        <x:v>Kodianmovad K (36699010524); Guttachelima (36699010523)</x:v>
      </x:c>
      <x:c r="G44" s="22" t="n">
        <x:v>2</x:v>
      </x:c>
      <x:c r="H44" s="22" t="n">
        <x:v>2</x:v>
      </x:c>
      <x:c r="I44" s="22" t="str">
        <x:v>Seeds (10 Number); Water Purifier (2 Number)</x:v>
      </x:c>
      <x:c r="J44" s="43" t="n">
        <x:f>IF(B44="Tier A",SUMIF('Tier A - Water Purifiers'!$B$5:$B$41,C44,'Tier A - Water Purifiers'!$J$5:$J$41),SUMIF('Tier B - Additional 8'!$B$5:$B$40,C44,'Tier B - Additional 8'!$K$5:$K$40))</x:f>
        <x:v>4800</x:v>
      </x:c>
      <x:c r="K44" s="22" t="str">
        <x:v>No</x:v>
      </x:c>
      <x:c r="L44" s="22" t="str">
        <x:v>Conditional—freeze reduced scope/BoQ first</x:v>
      </x:c>
      <x:c r="M44" s="22" t="str">
        <x:v>Multi-unit scope (2); ₹50K cannot cover all units</x:v>
      </x:c>
      <x:c r="N44" s="22" t="str">
        <x:v>Tranche 2 / after correction</x:v>
      </x:c>
      <x:c r="O44" s="22" t="str">
        <x:v>PO, GST invoice, payment proof, item count/serial, geotagged photos, centre acknowledgement and completion record</x:v>
      </x:c>
      <x:c r="P44" s="22" t="str">
        <x:v>Named CSR/funding correspondence, expected receipt date and routing undertaking through lending account</x:v>
      </x:c>
      <x:c r="Q44" s="22" t="str">
        <x:v>Conditional</x:v>
      </x:c>
    </x:row>
    <x:row r="45">
      <x:c r="A45" s="22" t="n">
        <x:v>42</x:v>
      </x:c>
      <x:c r="B45" s="22" t="str">
        <x:v>Tier B addition</x:v>
      </x:c>
      <x:c r="C45" s="22" t="str">
        <x:v>PRJ-2026-0003497</x:v>
      </x:c>
      <x:c r="D45" s="22" t="n">
        <x:v>3497</x:v>
      </x:c>
      <x:c r="E45" s="22" t="str">
        <x:v>Material(Gardening Equipment, Seeds, Other Sources)</x:v>
      </x:c>
      <x:c r="F45" s="22" t="str">
        <x:v>Dahegaon - 2 (36699030109)</x:v>
      </x:c>
      <x:c r="G45" s="22" t="n">
        <x:v>1</x:v>
      </x:c>
      <x:c r="H45" s="22" t="n">
        <x:v>15</x:v>
      </x:c>
      <x:c r="I45" s="22" t="str">
        <x:v>Gardening Equipment (1 Number); Seeds (10 Number); Other resources (10 Number)</x:v>
      </x:c>
      <x:c r="J45" s="43" t="n">
        <x:f>IF(B45="Tier A",SUMIF('Tier A - Water Purifiers'!$B$5:$B$41,C45,'Tier A - Water Purifiers'!$J$5:$J$41),SUMIF('Tier B - Additional 8'!$B$5:$B$40,C45,'Tier B - Additional 8'!$K$5:$K$40))</x:f>
        <x:v>28500</x:v>
      </x:c>
      <x:c r="K45" s="22" t="str">
        <x:v>No</x:v>
      </x:c>
      <x:c r="L45" s="22" t="str">
        <x:v>Conditional—freeze reduced scope/BoQ first</x:v>
      </x:c>
      <x:c r="M45" s="22" t="str">
        <x:v>Exact item list is missing</x:v>
      </x:c>
      <x:c r="N45" s="22" t="str">
        <x:v>Tranche 2 / after correction</x:v>
      </x:c>
      <x:c r="O45" s="22" t="str">
        <x:v>PO, GST invoice, payment proof, item count/serial, geotagged photos, centre acknowledgement and completion record</x:v>
      </x:c>
      <x:c r="P45" s="22" t="str">
        <x:v>Named CSR/funding correspondence, expected receipt date and routing undertaking through lending account</x:v>
      </x:c>
      <x:c r="Q45" s="22" t="str">
        <x:v>Conditional</x:v>
      </x:c>
    </x:row>
    <x:row r="46">
      <x:c r="A46" s="22" t="n">
        <x:v>43</x:v>
      </x:c>
      <x:c r="B46" s="22" t="str">
        <x:v>Tier B addition</x:v>
      </x:c>
      <x:c r="C46" s="22" t="str">
        <x:v>PRJ-2026-0002585</x:v>
      </x:c>
      <x:c r="D46" s="22" t="n">
        <x:v>2585</x:v>
      </x:c>
      <x:c r="E46" s="22" t="str">
        <x:v>Materials (Toys, Balls, Swing Sets)</x:v>
      </x:c>
      <x:c r="F46" s="22" t="str">
        <x:v>Dahegaon - 1 (36699030108)</x:v>
      </x:c>
      <x:c r="G46" s="22" t="n">
        <x:v>1</x:v>
      </x:c>
      <x:c r="H46" s="22" t="n">
        <x:v>18</x:v>
      </x:c>
      <x:c r="I46" s="22" t="str">
        <x:v>Toys (18 Number); Balls (18 Number); Swing sets (6 Number)</x:v>
      </x:c>
      <x:c r="J46" s="43" t="n">
        <x:f>IF(B46="Tier A",SUMIF('Tier A - Water Purifiers'!$B$5:$B$41,C46,'Tier A - Water Purifiers'!$J$5:$J$41),SUMIF('Tier B - Additional 8'!$B$5:$B$40,C46,'Tier B - Additional 8'!$K$5:$K$40))</x:f>
        <x:v>138000</x:v>
      </x:c>
      <x:c r="K46" s="22" t="str">
        <x:v>No</x:v>
      </x:c>
      <x:c r="L46" s="22" t="str">
        <x:v>Conditional—freeze reduced scope/BoQ first</x:v>
      </x:c>
      <x:c r="M46" s="22" t="str">
        <x:v>Multi-unit scope (6); ₹50K cannot cover all units</x:v>
      </x:c>
      <x:c r="N46" s="22" t="str">
        <x:v>Tranche 2 / after correction</x:v>
      </x:c>
      <x:c r="O46" s="22" t="str">
        <x:v>PO, GST invoice, payment proof, item count/serial, geotagged photos, centre acknowledgement and completion record</x:v>
      </x:c>
      <x:c r="P46" s="22" t="str">
        <x:v>Named CSR/funding correspondence, expected receipt date and routing undertaking through lending account</x:v>
      </x:c>
      <x:c r="Q46" s="22" t="str">
        <x:v>Conditional</x:v>
      </x:c>
    </x:row>
    <x:row r="47">
      <x:c r="A47" s="22" t="n">
        <x:v>44</x:v>
      </x:c>
      <x:c r="B47" s="22" t="str">
        <x:v>Tier B addition</x:v>
      </x:c>
      <x:c r="C47" s="22" t="str">
        <x:v>PRJ-2026-0002474</x:v>
      </x:c>
      <x:c r="D47" s="22" t="n">
        <x:v>2474</x:v>
      </x:c>
      <x:c r="E47" s="22" t="str">
        <x:v>Materials (Toys, Balls, Swing Sets)</x:v>
      </x:c>
      <x:c r="F47" s="22" t="str">
        <x:v>Chouka (36699030107)</x:v>
      </x:c>
      <x:c r="G47" s="22" t="n">
        <x:v>1</x:v>
      </x:c>
      <x:c r="H47" s="22" t="n">
        <x:v>15</x:v>
      </x:c>
      <x:c r="I47" s="22" t="str">
        <x:v>Toys (15 Number); Balls (15 Number); Swing sets (4 Number)</x:v>
      </x:c>
      <x:c r="J47" s="43" t="n">
        <x:f>IF(B47="Tier A",SUMIF('Tier A - Water Purifiers'!$B$5:$B$41,C47,'Tier A - Water Purifiers'!$J$5:$J$41),SUMIF('Tier B - Additional 8'!$B$5:$B$40,C47,'Tier B - Additional 8'!$K$5:$K$40))</x:f>
        <x:v>93500</x:v>
      </x:c>
      <x:c r="K47" s="22" t="str">
        <x:v>No</x:v>
      </x:c>
      <x:c r="L47" s="22" t="str">
        <x:v>Conditional—freeze reduced scope/BoQ first</x:v>
      </x:c>
      <x:c r="M47" s="22" t="str">
        <x:v>Multi-unit scope (4); ₹50K cannot cover all units</x:v>
      </x:c>
      <x:c r="N47" s="22" t="str">
        <x:v>Tranche 2 / after correction</x:v>
      </x:c>
      <x:c r="O47" s="22" t="str">
        <x:v>PO, GST invoice, payment proof, item count/serial, geotagged photos, centre acknowledgement and completion record</x:v>
      </x:c>
      <x:c r="P47" s="22" t="str">
        <x:v>Named CSR/funding correspondence, expected receipt date and routing undertaking through lending account</x:v>
      </x:c>
      <x:c r="Q47" s="22" t="str">
        <x:v>Conditional</x:v>
      </x:c>
    </x:row>
    <x:row r="48">
      <x:c r="A48" s="22" t="n">
        <x:v>45</x:v>
      </x:c>
      <x:c r="B48" s="22" t="str">
        <x:v>Tier B addition</x:v>
      </x:c>
      <x:c r="C48" s="22" t="str">
        <x:v>PRJ-2026-0002380</x:v>
      </x:c>
      <x:c r="D48" s="22" t="n">
        <x:v>2380</x:v>
      </x:c>
      <x:c r="E48" s="22" t="str">
        <x:v>requirement of anganwadi facilities</x:v>
      </x:c>
      <x:c r="F48" s="22" t="str">
        <x:v>Chinnaraspally (36699030206)</x:v>
      </x:c>
      <x:c r="G48" s="22" t="n">
        <x:v>1</x:v>
      </x:c>
      <x:c r="H48" s="22" t="n">
        <x:v>45</x:v>
      </x:c>
      <x:c r="I48" s="22" t="str">
        <x:v>Water Purifier (1 Number); Toys (19 Number)</x:v>
      </x:c>
      <x:c r="J48" s="43" t="n">
        <x:f>IF(B48="Tier A",SUMIF('Tier A - Water Purifiers'!$B$5:$B$41,C48,'Tier A - Water Purifiers'!$J$5:$J$41),SUMIF('Tier B - Additional 8'!$B$5:$B$40,C48,'Tier B - Additional 8'!$K$5:$K$40))</x:f>
        <x:v>7100</x:v>
      </x:c>
      <x:c r="K48" s="22" t="str">
        <x:v>No</x:v>
      </x:c>
      <x:c r="L48" s="22" t="str">
        <x:v>Ready for bank-funded execution</x:v>
      </x:c>
      <x:c r="M48" s="22"/>
      <x:c r="N48" s="22" t="str">
        <x:v>Tranche 2 / after correction</x:v>
      </x:c>
      <x:c r="O48" s="22" t="str">
        <x:v>PO, GST invoice, payment proof, item count/serial, geotagged photos, centre acknowledgement and completion record</x:v>
      </x:c>
      <x:c r="P48" s="22" t="str">
        <x:v>Named CSR/funding correspondence, expected receipt date and routing undertaking through lending account</x:v>
      </x:c>
      <x:c r="Q48" s="22" t="str">
        <x:v>Conditional</x:v>
      </x:c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19" hidden="0" customWidth="1"/>
    <x:col min="8" max="8" width="46" hidden="0" customWidth="1"/>
  </x:cols>
  <x:sheetData>
    <x:row r="1" ht="28" customHeight="1">
      <x:c r="A1" s="4" t="str">
        <x:v>Kumuram Bheem Anganwadi Minor-Project Pilot — Bank Bridge Finance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8" t="str">
        <x:v>Recommended structure: seek a ₹5 lakh revolving working-capital / overdraft / short-term bridge facility, with the first drawdown capped at ₹1 lakh for Tier A and the balance available only after Tier A completion evidence and a named repayment source are documented.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4" ht="34" customHeight="1">
      <x:c r="A4" s="12" t="str">
        <x:v>Pilot Option</x:v>
      </x:c>
      <x:c r="B4" s="12" t="str">
        <x:v>Projects</x:v>
      </x:c>
      <x:c r="C4" s="12" t="str">
        <x:v>Centres</x:v>
      </x:c>
      <x:c r="D4" s="12" t="str">
        <x:v>Beneficiaries</x:v>
      </x:c>
      <x:c r="E4" s="12" t="str">
        <x:v>Direct Execution Cost</x:v>
      </x:c>
      <x:c r="F4" s="12" t="str">
        <x:v>Recommended Facility Limit</x:v>
      </x:c>
      <x:c r="G4" s="12" t="str">
        <x:v>Immediate Drawdown</x:v>
      </x:c>
      <x:c r="H4" s="12" t="str">
        <x:v>Use</x:v>
      </x:c>
    </x:row>
    <x:row r="5">
      <x:c r="A5" s="22" t="str">
        <x:v>Tier A — water purifiers only</x:v>
      </x:c>
      <x:c r="B5" s="22" t="n">
        <x:f>COUNTA('Tier A - Water Purifiers'!B5:B41)</x:f>
        <x:v>37</x:v>
      </x:c>
      <x:c r="C5" s="22" t="n">
        <x:f>SUM('Tier A - Water Purifiers'!F5:F41)</x:f>
        <x:v>38</x:v>
      </x:c>
      <x:c r="D5" s="22" t="n">
        <x:f>SUM('Tier A - Water Purifiers'!G5:G41)</x:f>
        <x:v>1576</x:v>
      </x:c>
      <x:c r="E5" s="43" t="n">
        <x:f>SUM('Tier A - Water Purifiers'!J5:J41)</x:f>
        <x:v>53200</x:v>
      </x:c>
      <x:c r="F5" s="23" t="n">
        <x:v>100000</x:v>
      </x:c>
      <x:c r="G5" s="23" t="n">
        <x:v>100000</x:v>
      </x:c>
      <x:c r="H5" s="22" t="str">
        <x:v>Fast pilot: execute verified water-purifier units and create completion/repayment evidence.</x:v>
      </x:c>
    </x:row>
    <x:row r="6">
      <x:c r="A6" s="22" t="str">
        <x:v>Tier B — full 45-project pilot</x:v>
      </x:c>
      <x:c r="B6" s="22" t="n">
        <x:f>COUNTA('Tier B - Full 45 Projects'!C4:C48)</x:f>
        <x:v>45</x:v>
      </x:c>
      <x:c r="C6" s="22" t="n">
        <x:f>SUM('Tier B - Full 45 Projects'!G4:G48)</x:f>
        <x:v>48</x:v>
      </x:c>
      <x:c r="D6" s="22" t="n">
        <x:f>SUM('Tier B - Full 45 Projects'!H4:H48)</x:f>
        <x:v>1768</x:v>
      </x:c>
      <x:c r="E6" s="43" t="n">
        <x:f>SUM('Tier B - Full 45 Projects'!J4:J48)</x:f>
        <x:v>384100</x:v>
      </x:c>
      <x:c r="F6" s="23" t="n">
        <x:v>500000</x:v>
      </x:c>
      <x:c r="G6" s="23" t="n">
        <x:v>100000</x:v>
      </x:c>
      <x:c r="H6" s="22" t="str">
        <x:v>Staged facility: Tier A first; additional 8 only after correction, quotations and completion gate.</x:v>
      </x:c>
    </x:row>
    <x:row r="9" ht="34" customHeight="1">
      <x:c r="A9" s="12" t="str">
        <x:v>Readiness Check</x:v>
      </x:c>
      <x:c r="B9" s="12" t="str">
        <x:v>Tier A</x:v>
      </x:c>
      <x:c r="C9" s="12" t="str">
        <x:v>Tier B Additions</x:v>
      </x:c>
      <x:c r="D9" s="12" t="str">
        <x:v>Full 45</x:v>
      </x:c>
      <x:c r="E9" s="12" t="str">
        <x:v>Bank Treatment</x:v>
      </x:c>
      <x:c r="F9" s="12" t="str">
        <x:v>Action Before Drawdown</x:v>
      </x:c>
    </x:row>
    <x:row r="10">
      <x:c r="A10" s="22" t="str">
        <x:v>Ready now</x:v>
      </x:c>
      <x:c r="B10" s="22" t="n">
        <x:v>28</x:v>
      </x:c>
      <x:c r="C10" s="22" t="n">
        <x:v>1</x:v>
      </x:c>
      <x:c r="D10" s="22" t="n">
        <x:v>29</x:v>
      </x:c>
      <x:c r="E10" s="22" t="str">
        <x:v>Eligible for drawdown after quotation and centre validation</x:v>
      </x:c>
      <x:c r="F10" s="22" t="str">
        <x:v>Attach project listing, quotations and signed execution sheet</x:v>
      </x:c>
    </x:row>
    <x:row r="11">
      <x:c r="A11" s="22" t="str">
        <x:v>Conditional / correction</x:v>
      </x:c>
      <x:c r="B11" s="22" t="n">
        <x:v>9</x:v>
      </x:c>
      <x:c r="C11" s="22" t="n">
        <x:v>7</x:v>
      </x:c>
      <x:c r="D11" s="22" t="n">
        <x:v>16</x:v>
      </x:c>
      <x:c r="E11" s="22" t="str">
        <x:v>No drawdown until corrected</x:v>
      </x:c>
      <x:c r="F11" s="22" t="str">
        <x:v>Align title/line items, quantities, centres and complete package</x:v>
      </x:c>
    </x:row>
    <x:row r="12">
      <x:c r="A12" s="46" t="str">
        <x:v>Named repayment source</x:v>
      </x:c>
      <x:c r="B12" s="46" t="n">
        <x:v>0</x:v>
      </x:c>
      <x:c r="C12" s="46" t="n">
        <x:v>0</x:v>
      </x:c>
      <x:c r="D12" s="46" t="n">
        <x:v>0</x:v>
      </x:c>
      <x:c r="E12" s="46" t="str">
        <x:v>Mandatory credit condition</x:v>
      </x:c>
      <x:c r="F12" s="46" t="str">
        <x:v>Insert CSR/funder name, expected amount and receipt date</x:v>
      </x:c>
    </x:row>
    <x:row r="15">
      <x:c r="A15" s="26" t="str">
        <x:v>STAGED BANK REQUEST AND REPAYMENT WATERFALL</x:v>
      </x:c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9" t="str">
        <x:v>1. Sanction</x:v>
      </x:c>
      <x:c r="B16" s="22" t="str">
        <x:v>Revolving working-capital OD / cash-credit / short-term bridge limit of up to ₹5,00,000.</x:v>
      </x:c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>
      <x:c r="A17" s="29" t="str">
        <x:v>2. Tranche 1</x:v>
      </x:c>
      <x:c r="B17" s="22" t="str">
        <x:v>Maximum ₹1,00,000 for verified Tier A projects against accepted vendor pro-forma invoices.</x:v>
      </x:c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</x:row>
    <x:row r="18">
      <x:c r="A18" s="29" t="str">
        <x:v>3. Completion gate</x:v>
      </x:c>
      <x:c r="B18" s="22" t="str">
        <x:v>Project-wise invoices, payment proof, geotagged photos, centre acknowledgement, completion record and portal/funder submission.</x:v>
      </x:c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29" t="str">
        <x:v>4. Tranche 2</x:v>
      </x:c>
      <x:c r="B19" s="22" t="str">
        <x:v>Balance availability only after Tier A completion and after the additional 8 projects have corrected scope, quotations and a named repayment source.</x:v>
      </x:c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29" t="str">
        <x:v>5. Receipt routing</x:v>
      </x:c>
      <x:c r="B20" s="22" t="str">
        <x:v>CSR / project receipts to be credited to the lending-bank account and applied first to interest and principal outstanding.</x:v>
      </x:c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29" t="str">
        <x:v>6. No overdraw</x:v>
      </x:c>
      <x:c r="B21" s="22" t="str">
        <x:v>Actual utilisation shall never exceed supported invoices/POs or the approved project-wise execution cost.</x:v>
      </x:c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</x:row>
  </x:sheetData>
  <x:mergeCells>
    <x:mergeCell ref="A1:N1"/>
    <x:mergeCell ref="A2:N2"/>
    <x:mergeCell ref="A15:N15"/>
    <x:mergeCell ref="B16:N16"/>
    <x:mergeCell ref="B17:N17"/>
    <x:mergeCell ref="B18:N18"/>
    <x:mergeCell ref="B19:N19"/>
    <x:mergeCell ref="B20:N20"/>
    <x:mergeCell ref="B21:N21"/>
  </x:mergeCells>
  <x:pageMargins left="0.7" right="0.7" top="0.75" bottom="0.75" header="0.3" footer="0.3"/>
  <x:drawing xmlns:r="http://schemas.openxmlformats.org/officeDocument/2006/relationships" r:id="R274417f66749408e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24" hidden="0" customWidth="1"/>
  </x:cols>
  <x:sheetData>
    <x:row r="1" ht="28" customHeight="1">
      <x:c r="A1" s="4" t="str">
        <x:v>Bank Drawdown Conditions, Completion Evidence and Repayment Control</x:v>
      </x:c>
      <x:c r="B1" s="4"/>
      <x:c r="C1" s="4"/>
      <x:c r="D1" s="4"/>
      <x:c r="E1" s="4"/>
      <x:c r="F1" s="4"/>
      <x:c r="G1" s="4"/>
      <x:c r="H1" s="4"/>
    </x:row>
    <x:row r="3" ht="34" customHeight="1">
      <x:c r="A3" s="12" t="str">
        <x:v>Gate</x:v>
      </x:c>
      <x:c r="B3" s="12" t="str">
        <x:v>Before Drawdown</x:v>
      </x:c>
      <x:c r="C3" s="12" t="str">
        <x:v>Document / Evidence</x:v>
      </x:c>
      <x:c r="D3" s="12" t="str">
        <x:v>Who Signs</x:v>
      </x:c>
      <x:c r="E3" s="12" t="str">
        <x:v>Bank Control</x:v>
      </x:c>
      <x:c r="F3" s="12" t="str">
        <x:v>Project Control</x:v>
      </x:c>
      <x:c r="G3" s="12" t="str">
        <x:v>Repayment Link</x:v>
      </x:c>
      <x:c r="H3" s="12" t="str">
        <x:v>Status</x:v>
      </x:c>
    </x:row>
    <x:row r="4">
      <x:c r="A4" s="22" t="str">
        <x:v>Applicant eligibility</x:v>
      </x:c>
      <x:c r="B4" s="22" t="str">
        <x:v>Current trust/CSR/12A/80G/PAN/GST/KYC and board borrowing authority</x:v>
      </x:c>
      <x:c r="C4" s="22" t="str">
        <x:v>Certified registrations, trustee list, board resolution, audited financials and bank statements</x:v>
      </x:c>
      <x:c r="D4" s="22" t="str">
        <x:v>Authorised trustees/signatory</x:v>
      </x:c>
      <x:c r="E4" s="22" t="str">
        <x:v>KYC and credit appraisal</x:v>
      </x:c>
      <x:c r="F4" s="22" t="str">
        <x:v>Borrower and project ownership aligned</x:v>
      </x:c>
      <x:c r="G4" s="22" t="str">
        <x:v>Facility agreement</x:v>
      </x:c>
      <x:c r="H4" s="22" t="str">
        <x:v>Pending bank file</x:v>
      </x:c>
    </x:row>
    <x:row r="5">
      <x:c r="A5" s="22" t="str">
        <x:v>Project validation</x:v>
      </x:c>
      <x:c r="B5" s="22" t="str">
        <x:v>Project UID, centre and line item verified</x:v>
      </x:c>
      <x:c r="C5" s="22" t="str">
        <x:v>PANKHUDI record, centre confirmation, baseline photos</x:v>
      </x:c>
      <x:c r="D5" s="22" t="str">
        <x:v>Field coordinator + centre official</x:v>
      </x:c>
      <x:c r="E5" s="22" t="str">
        <x:v>No drawdown for unverified project</x:v>
      </x:c>
      <x:c r="F5" s="22" t="str">
        <x:v>Project scope locked</x:v>
      </x:c>
      <x:c r="G5" s="22" t="str">
        <x:v>Project-specific receivable trail</x:v>
      </x:c>
      <x:c r="H5" s="22" t="str">
        <x:v>Required</x:v>
      </x:c>
    </x:row>
    <x:row r="6">
      <x:c r="A6" s="22" t="str">
        <x:v>Quotation / PO</x:v>
      </x:c>
      <x:c r="B6" s="22" t="str">
        <x:v>Current quotation and complete deliverable</x:v>
      </x:c>
      <x:c r="C6" s="22" t="str">
        <x:v>Minimum three quotations, comparison, approved PO</x:v>
      </x:c>
      <x:c r="D6" s="22" t="str">
        <x:v>Procurement committee</x:v>
      </x:c>
      <x:c r="E6" s="22" t="str">
        <x:v>Drawdown ≤ accepted invoice/PO</x:v>
      </x:c>
      <x:c r="F6" s="22" t="str">
        <x:v>No incomplete packages</x:v>
      </x:c>
      <x:c r="G6" s="22" t="str">
        <x:v>Vendor payment traceable</x:v>
      </x:c>
      <x:c r="H6" s="22" t="str">
        <x:v>Required</x:v>
      </x:c>
    </x:row>
    <x:row r="7">
      <x:c r="A7" s="22" t="str">
        <x:v>Tier A completion</x:v>
      </x:c>
      <x:c r="B7" s="22" t="str">
        <x:v>All first-tranche units delivered and functional</x:v>
      </x:c>
      <x:c r="C7" s="22" t="str">
        <x:v>Invoices, payment proof, serial/count, photos, acknowledgement, completion record</x:v>
      </x:c>
      <x:c r="D7" s="22" t="str">
        <x:v>Centre official + SIF project lead</x:v>
      </x:c>
      <x:c r="E7" s="22" t="str">
        <x:v>No second tranche until complete</x:v>
      </x:c>
      <x:c r="F7" s="22" t="str">
        <x:v>100% evidence file</x:v>
      </x:c>
      <x:c r="G7" s="22" t="str">
        <x:v>Supports CSR/funder claim</x:v>
      </x:c>
      <x:c r="H7" s="22" t="str">
        <x:v>Gate to Tier B</x:v>
      </x:c>
    </x:row>
    <x:row r="8">
      <x:c r="A8" s="22" t="str">
        <x:v>Tier B correction</x:v>
      </x:c>
      <x:c r="B8" s="22" t="str">
        <x:v>Title, line items, quantities and centre count aligned</x:v>
      </x:c>
      <x:c r="C8" s="22" t="str">
        <x:v>Corrected BoQ and project execution sheet</x:v>
      </x:c>
      <x:c r="D8" s="22" t="str">
        <x:v>Technical lead + authorised signatory</x:v>
      </x:c>
      <x:c r="E8" s="22" t="str">
        <x:v>No drawdown while conditional/hold</x:v>
      </x:c>
      <x:c r="F8" s="22" t="str">
        <x:v>Complete usable unit only</x:v>
      </x:c>
      <x:c r="G8" s="22" t="str">
        <x:v>Funding amount matched to cost</x:v>
      </x:c>
      <x:c r="H8" s="22" t="str">
        <x:v>Required</x:v>
      </x:c>
    </x:row>
    <x:row r="9">
      <x:c r="A9" s="22" t="str">
        <x:v>Funding source</x:v>
      </x:c>
      <x:c r="B9" s="22" t="str">
        <x:v>Named CSR/funder and expected receipt date</x:v>
      </x:c>
      <x:c r="C9" s="22" t="str">
        <x:v>Sanction/LoI/MoU/correspondence and payment timeline</x:v>
      </x:c>
      <x:c r="D9" s="22" t="str">
        <x:v>Authorised signatory</x:v>
      </x:c>
      <x:c r="E9" s="22" t="str">
        <x:v>Credit condition</x:v>
      </x:c>
      <x:c r="F9" s="22" t="str">
        <x:v>Funding claim file</x:v>
      </x:c>
      <x:c r="G9" s="22" t="str">
        <x:v>Primary repayment source</x:v>
      </x:c>
      <x:c r="H9" s="22" t="str">
        <x:v>UPDATE BEFORE SUBMISSION</x:v>
      </x:c>
    </x:row>
    <x:row r="10">
      <x:c r="A10" s="22" t="str">
        <x:v>Receipt routing</x:v>
      </x:c>
      <x:c r="B10" s="22" t="str">
        <x:v>Dedicated lending account / escrow-style routing if bank requires</x:v>
      </x:c>
      <x:c r="C10" s="22" t="str">
        <x:v>Bank mandate and undertaking</x:v>
      </x:c>
      <x:c r="D10" s="22" t="str">
        <x:v>Authorised signatory</x:v>
      </x:c>
      <x:c r="E10" s="22" t="str">
        <x:v>Receipts applied to dues</x:v>
      </x:c>
      <x:c r="F10" s="22" t="str">
        <x:v>Project ledger reconciliation</x:v>
      </x:c>
      <x:c r="G10" s="22" t="str">
        <x:v>Interest → principal → balance</x:v>
      </x:c>
      <x:c r="H10" s="22" t="str">
        <x:v>To be agreed</x:v>
      </x:c>
    </x:row>
  </x:sheetData>
  <x:mergeCells>
    <x:mergeCell ref="A1:H1"/>
  </x:mergeCells>
  <x:dataValidations count="1">
    <x:dataValidation type="list" sqref="H4:H10">
      <x:formula1>"Not Started,In Progress,Complete,Required,Pending bank file,Gate to Tier B,UPDATE BEFORE SUBMISSION,To be agreed"</x:formula1>
    </x:dataValidation>
  </x:dataValidations>
  <x:pageMargins left="0.7" right="0.7" top="0.75" bottom="0.75" header="0.3" footer="0.3"/>
</x:worksheet>
</file>