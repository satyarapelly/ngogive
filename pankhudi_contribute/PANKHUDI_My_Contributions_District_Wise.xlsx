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500dcd4c7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Contributions" sheetId="1" r:id="R2c3d271dd67a449e"/>
    <x:sheet xmlns:r="http://schemas.openxmlformats.org/officeDocument/2006/relationships" name="Activity Detail" sheetId="2" r:id="R0c63eba0dbad4d49"/>
    <x:sheet xmlns:r="http://schemas.openxmlformats.org/officeDocument/2006/relationships" name="KB Asifabad" sheetId="3" r:id="Rca5eef37806e4eac"/>
    <x:sheet xmlns:r="http://schemas.openxmlformats.org/officeDocument/2006/relationships" name="Medak" sheetId="4" r:id="Rf89b1e64a903414c"/>
    <x:sheet xmlns:r="http://schemas.openxmlformats.org/officeDocument/2006/relationships" name="Mulugu" sheetId="5" r:id="Rf8ddc947ec8141a3"/>
    <x:sheet xmlns:r="http://schemas.openxmlformats.org/officeDocument/2006/relationships" name="Siddipet" sheetId="6" r:id="R7c86af05db9a43c3"/>
    <x:sheet xmlns:r="http://schemas.openxmlformats.org/officeDocument/2006/relationships" name="Active After 01-Aug" sheetId="7" r:id="Rf4833f7cfcfc431f"/>
    <x:sheet xmlns:r="http://schemas.openxmlformats.org/officeDocument/2006/relationships" name="Exclude Before 01-Aug" sheetId="8" r:id="Rc7c3095a31cc47c6"/>
    <x:sheet xmlns:r="http://schemas.openxmlformats.org/officeDocument/2006/relationships" name="Minor Projects" sheetId="9" r:id="Re46c84ec2b374507"/>
    <x:sheet xmlns:r="http://schemas.openxmlformats.org/officeDocument/2006/relationships" name="Medium Projects" sheetId="10" r:id="R06a6a5c2bd754046"/>
    <x:sheet xmlns:r="http://schemas.openxmlformats.org/officeDocument/2006/relationships" name="Complex Projects" sheetId="11" r:id="Re209278fdcb14737"/>
    <x:sheet xmlns:r="http://schemas.openxmlformats.org/officeDocument/2006/relationships" name="Pending Mapping" sheetId="12" r:id="R60d285fef2ba40d4"/>
    <x:sheet xmlns:r="http://schemas.openxmlformats.org/officeDocument/2006/relationships" name="District Summary" sheetId="13" r:id="R656fa73aa1684b02"/>
    <x:sheet xmlns:r="http://schemas.openxmlformats.org/officeDocument/2006/relationships" name="Dashboard" sheetId="14" r:id="R40182872432e4a84"/>
    <x:sheet xmlns:r="http://schemas.openxmlformats.org/officeDocument/2006/relationships" name="Rules and Notes" sheetId="15" r:id="R0f83a3e6d5d1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₹#,##0.00"/>
    <x:numFmt numFmtId="203" formatCode="0.0%"/>
    <x:numFmt numFmtId="204" formatCode="₹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3" fontId="0" fillId="0" borderId="0" xfId="0" applyNumberFormat="1" applyFont="1" applyFill="1" applyBorder="1"/>
    <x:xf numFmtId="203" fontId="3" fillId="4" borderId="0" xfId="0" applyNumberFormat="1" applyFont="1" applyFill="1" applyBorder="1"/>
    <x:xf numFmtId="203" fontId="0" fillId="0" borderId="1" xfId="0" applyNumberFormat="1" applyFont="1" applyFill="1" applyBorder="1"/>
    <x:xf numFmtId="203" fontId="3" fillId="4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vertical="top" wrapText="1"/>
    </x:xf>
    <x:xf numFmtId="204" fontId="0" fillId="6" borderId="0" xfId="0" applyNumberFormat="1" applyFont="1" applyFill="1" applyBorder="1" applyAlignment="1">
      <x:alignment vertical="top" wrapText="1"/>
    </x:xf>
    <x:xf numFmtId="204" fontId="4" fillId="6" borderId="0" xfId="0" applyNumberFormat="1" applyFont="1" applyFill="1" applyBorder="1" applyAlignment="1">
      <x:alignment vertical="top" wrapText="1"/>
    </x:xf>
    <x:xf numFmtId="204" fontId="0" fillId="6" borderId="1" xfId="0" applyNumberFormat="1" applyFont="1" applyFill="1" applyBorder="1" applyAlignment="1">
      <x:alignment vertical="top" wrapText="1"/>
    </x:xf>
    <x:xf numFmtId="204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0090a8593434f" /><Relationship Type="http://schemas.openxmlformats.org/officeDocument/2006/relationships/theme" Target="/xl/theme/theme1.xml" Id="R76ea01f6f7584bec" /><Relationship Type="http://schemas.microsoft.com/office/2022/11/relationships/FeaturePropertyBag" Target="/xl/featurePropertyBag/featurePropertyBag.xml" Id="R8fad1fc3bb5743aa" /><Relationship Type="http://schemas.openxmlformats.org/officeDocument/2006/relationships/sharedStrings" Target="/xl/sharedStrings.xml" Id="R1666e9d3d0b346c7" /><Relationship Type="http://schemas.openxmlformats.org/officeDocument/2006/relationships/worksheet" Target="/xl/worksheets/sheet1.xml" Id="R2c3d271dd67a449e" /><Relationship Type="http://schemas.openxmlformats.org/officeDocument/2006/relationships/worksheet" Target="/xl/worksheets/sheet2.xml" Id="R0c63eba0dbad4d49" /><Relationship Type="http://schemas.openxmlformats.org/officeDocument/2006/relationships/worksheet" Target="/xl/worksheets/sheet3.xml" Id="Rca5eef37806e4eac" /><Relationship Type="http://schemas.openxmlformats.org/officeDocument/2006/relationships/worksheet" Target="/xl/worksheets/sheet4.xml" Id="Rf89b1e64a903414c" /><Relationship Type="http://schemas.openxmlformats.org/officeDocument/2006/relationships/worksheet" Target="/xl/worksheets/sheet5.xml" Id="Rf8ddc947ec8141a3" /><Relationship Type="http://schemas.openxmlformats.org/officeDocument/2006/relationships/worksheet" Target="/xl/worksheets/sheet6.xml" Id="R7c86af05db9a43c3" /><Relationship Type="http://schemas.openxmlformats.org/officeDocument/2006/relationships/worksheet" Target="/xl/worksheets/sheet7.xml" Id="Rf4833f7cfcfc431f" /><Relationship Type="http://schemas.openxmlformats.org/officeDocument/2006/relationships/worksheet" Target="/xl/worksheets/sheet8.xml" Id="Rc7c3095a31cc47c6" /><Relationship Type="http://schemas.openxmlformats.org/officeDocument/2006/relationships/worksheet" Target="/xl/worksheets/sheet9.xml" Id="Re46c84ec2b374507" /><Relationship Type="http://schemas.openxmlformats.org/officeDocument/2006/relationships/worksheet" Target="/xl/worksheets/sheet10.xml" Id="R06a6a5c2bd754046" /><Relationship Type="http://schemas.openxmlformats.org/officeDocument/2006/relationships/worksheet" Target="/xl/worksheets/sheet11.xml" Id="Re209278fdcb14737" /><Relationship Type="http://schemas.openxmlformats.org/officeDocument/2006/relationships/worksheet" Target="/xl/worksheets/sheet12.xml" Id="R60d285fef2ba40d4" /><Relationship Type="http://schemas.openxmlformats.org/officeDocument/2006/relationships/worksheet" Target="/xl/worksheets/sheet13.xml" Id="R656fa73aa1684b02" /><Relationship Type="http://schemas.openxmlformats.org/officeDocument/2006/relationships/worksheet" Target="/xl/worksheets/sheet14.xml" Id="R40182872432e4a84" /><Relationship Type="http://schemas.openxmlformats.org/officeDocument/2006/relationships/worksheet" Target="/xl/worksheets/sheet15.xml" Id="R0f83a3e6d5d14a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5f168dfa184a4a" /><Relationship Type="http://schemas.openxmlformats.org/officeDocument/2006/relationships/chart" Target="/xl/drawings/charts/chart2.xml" Id="R05ab7ce481ac47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Contribution Projects by District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Projects</c:v>
          </c:tx>
          <c:cat>
            <c:strRef>
              <c:f>'Dashboard'!$A$17:$A$20</c:f>
              <c:strCache>
                <c:ptCount val="0"/>
              </c:strCache>
            </c:strRef>
          </c:cat>
          <c:val>
            <c:numRef>
              <c:f>'Dashboard'!$B$17:$B$20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Committed Quantity by District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Projects</c:v>
          </c:tx>
          <c:cat>
            <c:strRef>
              <c:f>'Dashboard'!$A$17:$A$20</c:f>
              <c:strCache>
                <c:ptCount val="0"/>
              </c:strCache>
            </c:strRef>
          </c:cat>
          <c:val>
            <c:numRef>
              <c:f>'Dashboard'!$B$17:$B$20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Activity Lines</c:v>
          </c:tx>
          <c:cat>
            <c:strRef>
              <c:f>'Dashboard'!$A$17:$A$20</c:f>
              <c:strCache>
                <c:ptCount val="0"/>
              </c:strCache>
            </c:strRef>
          </c:cat>
          <c:val>
            <c:numRef>
              <c:f>'Dashboard'!$C$17:$C$20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Committed Qty</c:v>
          </c:tx>
          <c:cat>
            <c:strRef>
              <c:f>'Dashboard'!$A$17:$A$20</c:f>
              <c:strCache>
                <c:ptCount val="0"/>
              </c:strCache>
            </c:strRef>
          </c:cat>
          <c:val>
            <c:numRef>
              <c:f>'Dashboard'!$D$17:$D$20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5f168dfa184a4a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ab7ce481ac47f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lContributionsTable" displayName="AllContributionsTable" ref="A3:AL172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2.xml><?xml version="1.0" encoding="utf-8"?>
<x:table xmlns:x="http://schemas.openxmlformats.org/spreadsheetml/2006/main" id="2" name="ActivityDetailTable" displayName="ActivityDetailTable" ref="A3:AB706" headerRowCount="1">
  <x:tableColumns count="28">
    <x:tableColumn id="1" name="S.No."/>
    <x:tableColumn id="2" name="Contribution ID"/>
    <x:tableColumn id="3" name="District"/>
    <x:tableColumn id="4" name="Project ID"/>
    <x:tableColumn id="5" name="Project UID"/>
    <x:tableColumn id="6" name="Project Name"/>
    <x:tableColumn id="7" name="Contribution Detail ID"/>
    <x:tableColumn id="8" name="Activity ID"/>
    <x:tableColumn id="9" name="Line Item Name"/>
    <x:tableColumn id="10" name="Unit"/>
    <x:tableColumn id="11" name="Original Project Qty"/>
    <x:tableColumn id="12" name="Contribution Qty"/>
    <x:tableColumn id="13" name="Current Qty"/>
    <x:tableColumn id="14" name="Delivered Qty"/>
    <x:tableColumn id="15" name="Remaining Qty"/>
    <x:tableColumn id="16" name="Delivery %"/>
    <x:tableColumn id="17" name="Category Name"/>
    <x:tableColumn id="18" name="Subcategory"/>
    <x:tableColumn id="19" name="Complexity Tier"/>
    <x:tableColumn id="20" name="Contribution Remarks"/>
    <x:tableColumn id="21" name="Delivery Status"/>
    <x:tableColumn id="22" name="Delivery Remark"/>
    <x:tableColumn id="23" name="Deliver On"/>
    <x:tableColumn id="24" name="Active"/>
    <x:tableColumn id="25" name="Detail Created On"/>
    <x:tableColumn id="26" name="Feedback"/>
    <x:tableColumn id="27" name="Centre Names"/>
    <x:tableColumn id="28" name="Enrichment Status"/>
  </x:tableColumns>
  <x:tableStyleInfo name="TableStyleMedium2" showRowStripes="1"/>
</x:table>
</file>

<file path=xl/tables/table3.xml><?xml version="1.0" encoding="utf-8"?>
<x:table xmlns:x="http://schemas.openxmlformats.org/spreadsheetml/2006/main" id="3" name="KBAsifabadTable1" displayName="KBAsifabadTable1" ref="A3:AL88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4.xml><?xml version="1.0" encoding="utf-8"?>
<x:table xmlns:x="http://schemas.openxmlformats.org/spreadsheetml/2006/main" id="4" name="MedakTable2" displayName="MedakTable2" ref="A3:AL36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5.xml><?xml version="1.0" encoding="utf-8"?>
<x:table xmlns:x="http://schemas.openxmlformats.org/spreadsheetml/2006/main" id="5" name="MuluguTable3" displayName="MuluguTable3" ref="A3:AL53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6.xml><?xml version="1.0" encoding="utf-8"?>
<x:table xmlns:x="http://schemas.openxmlformats.org/spreadsheetml/2006/main" id="6" name="SiddipetTable4" displayName="SiddipetTable4" ref="A3:AL4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7.xml><?xml version="1.0" encoding="utf-8"?>
<x:table xmlns:x="http://schemas.openxmlformats.org/spreadsheetml/2006/main" id="7" name="ActiveAfter01AugTable5" displayName="ActiveAfter01AugTable5" ref="A3:AL164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8.xml><?xml version="1.0" encoding="utf-8"?>
<x:table xmlns:x="http://schemas.openxmlformats.org/spreadsheetml/2006/main" id="8" name="ExcludeBefore01AugTable6" displayName="ExcludeBefore01AugTable6" ref="A3:AL11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9.xml><?xml version="1.0" encoding="utf-8"?>
<x:table xmlns:x="http://schemas.openxmlformats.org/spreadsheetml/2006/main" id="9" name="MediumProjectsTable8" displayName="MediumProjectsTable8" ref="A3:AL44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10.xml><?xml version="1.0" encoding="utf-8"?>
<x:table xmlns:x="http://schemas.openxmlformats.org/spreadsheetml/2006/main" id="10" name="ComplexProjectsTable9" displayName="ComplexProjectsTable9" ref="A3:AL12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11.xml><?xml version="1.0" encoding="utf-8"?>
<x:table xmlns:x="http://schemas.openxmlformats.org/spreadsheetml/2006/main" id="11" name="PendingMappingTable10" displayName="PendingMappingTable10" ref="A3:AL122" headerRowCount="1">
  <x:tableColumns count="38">
    <x:tableColumn id="1" name="S.No."/>
    <x:tableColumn id="2" name="Contribution ID"/>
    <x:tableColumn id="3" name="District"/>
    <x:tableColumn id="4" name="State"/>
    <x:tableColumn id="5" name="Project ID"/>
    <x:tableColumn id="6" name="Project UID"/>
    <x:tableColumn id="7" name="Project Name"/>
    <x:tableColumn id="8" name="Theme"/>
    <x:tableColumn id="9" name="Expected Start"/>
    <x:tableColumn id="10" name="Expected End"/>
    <x:tableColumn id="11" name="Extended Till"/>
    <x:tableColumn id="12" name="Date Gate"/>
    <x:tableColumn id="13" name="Project Category"/>
    <x:tableColumn id="14" name="Category Basis"/>
    <x:tableColumn id="15" name="Centre Count"/>
    <x:tableColumn id="16" name="Centre Names"/>
    <x:tableColumn id="17" name="Centre Codes"/>
    <x:tableColumn id="18" name="Beneficiaries / Impact Qty"/>
    <x:tableColumn id="19" name="Portal Budget"/>
    <x:tableColumn id="20" name="Description"/>
    <x:tableColumn id="21" name="Expected Outcome"/>
    <x:tableColumn id="22" name="Partial Contribution"/>
    <x:tableColumn id="23" name="Committed Activity Count"/>
    <x:tableColumn id="24" name="Contributed Activity Count"/>
    <x:tableColumn id="25" name="Total Committed Qty"/>
    <x:tableColumn id="26" name="Delivered Qty"/>
    <x:tableColumn id="27" name="Remaining Qty"/>
    <x:tableColumn id="28" name="Delivery %"/>
    <x:tableColumn id="29" name="Delivery Status"/>
    <x:tableColumn id="30" name="Approval Record"/>
    <x:tableColumn id="31" name="Active"/>
    <x:tableColumn id="32" name="Contribution Created On"/>
    <x:tableColumn id="33" name="Contribution Updated On"/>
    <x:tableColumn id="34" name="Source Enrichment"/>
    <x:tableColumn id="35" name="Source Notes"/>
    <x:tableColumn id="36" name="Internal Work Status"/>
    <x:tableColumn id="37" name="Owner"/>
    <x:tableColumn id="38" name="Internal Remarks"/>
  </x:tableColumns>
  <x:tableStyleInfo name="TableStyleMedium2" showRowStripes="1"/>
</x:table>
</file>

<file path=xl/tables/table12.xml><?xml version="1.0" encoding="utf-8"?>
<x:table xmlns:x="http://schemas.openxmlformats.org/spreadsheetml/2006/main" id="12" name="DistrictSummaryTable" displayName="DistrictSummaryTable" ref="A3:L8" headerRowCount="1">
  <x:tableColumns count="12">
    <x:tableColumn id="1" name="District"/>
    <x:tableColumn id="2" name="Projects"/>
    <x:tableColumn id="3" name="Activity Lines"/>
    <x:tableColumn id="4" name="Committed Qty"/>
    <x:tableColumn id="5" name="Delivered Qty"/>
    <x:tableColumn id="6" name="Remaining Qty"/>
    <x:tableColumn id="7" name="Delivery %"/>
    <x:tableColumn id="8" name="Minor"/>
    <x:tableColumn id="9" name="Medium"/>
    <x:tableColumn id="10" name="Complex"/>
    <x:tableColumn id="11" name="Pending Mapping"/>
    <x:tableColumn id="12" name="Before 01-Au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0465ce39494a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749e741aab48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79a72faa5349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8568737b29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0571c0c17e34a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f3ea815264544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2b2724693447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309f3e3b2e46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d377b5f145141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151b37ec3fc4d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466a8aaea6344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df613c4e120411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3325b463f4344693" /></Relationships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20.2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222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30" hidden="0" customWidth="1"/>
  </x:cols>
  <x:sheetData>
    <x:row r="1" ht="18" customHeight="1">
      <x:c r="A1" s="5" t="str">
        <x:v>PANKHUDI — My Contributions: All Projects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1</x:v>
      </x:c>
      <x:c r="B4" s="26" t="n">
        <x:v>290</x:v>
      </x:c>
      <x:c r="C4" s="26" t="str">
        <x:v>Mulugu</x:v>
      </x:c>
      <x:c r="D4" s="26" t="str">
        <x:v>Telangana</x:v>
      </x:c>
      <x:c r="E4" s="26" t="n">
        <x:v>7797</x:v>
      </x:c>
      <x:c r="F4" s="26" t="str">
        <x:v>PRJ-2026-0007797</x:v>
      </x:c>
      <x:c r="G4" s="26" t="str">
        <x:v>AWC Infrastructure</x:v>
      </x:c>
      <x:c r="H4" s="26" t="str">
        <x:v>Mission Saksham Anganwadi &amp; POSHAN 2.0</x:v>
      </x:c>
      <x:c r="I4" s="32" t="n">
        <x:v>46164</x:v>
      </x:c>
      <x:c r="J4" s="32" t="n">
        <x:v>46348</x:v>
      </x:c>
      <x:c r="K4" s="32"/>
      <x:c r="L4" s="26" t="str">
        <x:v>Active: On/After 01-Aug-2026</x:v>
      </x:c>
      <x:c r="M4" s="26" t="str">
        <x:v>Medium</x:v>
      </x:c>
      <x:c r="N4" s="26" t="str">
        <x:v>ECCE Equipment=Minor; Educational Needs=Minor; Electrical Infrastructure=Medium; Office Needs=Minor</x:v>
      </x:c>
      <x:c r="O4" s="26" t="n">
        <x:v>1</x:v>
      </x:c>
      <x:c r="P4" s="26" t="str">
        <x:v>Puligundam (36701020209)</x:v>
      </x:c>
      <x:c r="Q4" s="26" t="str">
        <x:v>36701020209</x:v>
      </x:c>
      <x:c r="R4" s="26" t="n">
        <x:v>15</x:v>
      </x:c>
      <x:c r="S4" s="36" t="n">
        <x:v>50000</x:v>
      </x:c>
      <x:c r="T4" s="26" t="str">
        <x:v>Gas Stove&amp; Regulator	
Pressure Cooker	
Slides
Kids Chairs	
Fans &amp; Lights
Storage Bins
Egg &amp; Milk Storge Racks
Digital GMD
</x:v>
      </x:c>
      <x:c r="U4" s="26" t="str">
        <x:v>Gas Stove&amp; Regulator	
Pressure Cooker	
Slides
Kids Chairs	
Fans &amp; Lights
Storage Bins
Egg &amp; Milk Storge Racks
Digital GMD
</x:v>
      </x:c>
      <x:c r="V4" s="27" t="b">
        <x:v>1</x:v>
      </x:c>
      <x:c r="W4" s="26" t="n">
        <x:v>5</x:v>
      </x:c>
      <x:c r="X4" s="26" t="n">
        <x:v>0</x:v>
      </x:c>
      <x:c r="Y4" s="26" t="n">
        <x:f>SUMIF('Activity Detail'!$E$4:$E$706,F4,'Activity Detail'!$L$4:$L$706)</x:f>
        <x:v>35</x:v>
      </x:c>
      <x:c r="Z4" s="26" t="n">
        <x:f>SUMIF('Activity Detail'!$E$4:$E$706,F4,'Activity Detail'!$N$4:$N$706)</x:f>
        <x:v>0</x:v>
      </x:c>
      <x:c r="AA4" s="26" t="n">
        <x:f>MAX(Y4-Z4,0)</x:f>
        <x:v>35</x:v>
      </x:c>
      <x:c r="AB4" s="38" t="n">
        <x:f>IFERROR(Z4/Y4,0)</x:f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46220.017800925925</x:v>
      </x:c>
      <x:c r="AG4" s="34"/>
      <x:c r="AH4" s="26" t="str">
        <x:v>Fully enriched from attached Mulugu project JSON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2</x:v>
      </x:c>
      <x:c r="B5" s="26" t="n">
        <x:v>291</x:v>
      </x:c>
      <x:c r="C5" s="26" t="str">
        <x:v>Mulugu</x:v>
      </x:c>
      <x:c r="D5" s="26" t="str">
        <x:v>Telangana</x:v>
      </x:c>
      <x:c r="E5" s="26" t="n">
        <x:v>7735</x:v>
      </x:c>
      <x:c r="F5" s="26" t="str">
        <x:v>PRJ-2026-0007735</x:v>
      </x:c>
      <x:c r="G5" s="26" t="str">
        <x:v>AWC Infrastructure</x:v>
      </x:c>
      <x:c r="H5" s="26" t="str">
        <x:v>Mission Saksham Anganwadi &amp; POSHAN 2.0</x:v>
      </x:c>
      <x:c r="I5" s="32" t="n">
        <x:v>46164</x:v>
      </x:c>
      <x:c r="J5" s="32" t="n">
        <x:v>46348</x:v>
      </x:c>
      <x:c r="K5" s="32"/>
      <x:c r="L5" s="26" t="str">
        <x:v>Active: On/After 01-Aug-2026</x:v>
      </x:c>
      <x:c r="M5" s="26" t="str">
        <x:v>Medium</x:v>
      </x:c>
      <x:c r="N5" s="26" t="str">
        <x:v>Digital Infrastructure=Medium; ECCE Equipment=Minor; Educational Needs=Minor; Electrical Infrastructure=Medium; Health and Safety aids=Minor; Office Needs=Minor</x:v>
      </x:c>
      <x:c r="O5" s="26" t="n">
        <x:v>1</x:v>
      </x:c>
      <x:c r="P5" s="26" t="str">
        <x:v>Chandhruthanda (36701020219)</x:v>
      </x:c>
      <x:c r="Q5" s="26" t="str">
        <x:v>36701020219</x:v>
      </x:c>
      <x:c r="R5" s="26" t="n">
        <x:v>30</x:v>
      </x:c>
      <x:c r="S5" s="36" t="n">
        <x:v>50000</x:v>
      </x:c>
      <x:c r="T5" s="26" t="str">
        <x:v>Water Filter	
Gas Stove&amp; Regulator	
Pressure Cooker	
Slides
Kids Chairs	
Fans &amp; Lights
Storage Bins
Egg &amp; Milk Storge Racks
Digital GMD
</x:v>
      </x:c>
      <x:c r="U5" s="26" t="str">
        <x:v>Water Filter	
Gas Stove&amp; Regulator	
Pressure Cooker	
Slides
Kids Chairs	
Fans &amp; Lights
Storage Bins
Egg &amp; Milk Storge Racks
Digital GMD
</x:v>
      </x:c>
      <x:c r="V5" s="27" t="b">
        <x:v>1</x:v>
      </x:c>
      <x:c r="W5" s="26" t="n">
        <x:v>8</x:v>
      </x:c>
      <x:c r="X5" s="26" t="n">
        <x:v>0</x:v>
      </x:c>
      <x:c r="Y5" s="26" t="n">
        <x:f>SUMIF('Activity Detail'!$E$4:$E$706,F5,'Activity Detail'!$L$4:$L$706)</x:f>
        <x:v>30</x:v>
      </x:c>
      <x:c r="Z5" s="26" t="n">
        <x:f>SUMIF('Activity Detail'!$E$4:$E$706,F5,'Activity Detail'!$N$4:$N$706)</x:f>
        <x:v>0</x:v>
      </x:c>
      <x:c r="AA5" s="26" t="n">
        <x:f>MAX(Y5-Z5,0)</x:f>
        <x:v>30</x:v>
      </x:c>
      <x:c r="AB5" s="38" t="n">
        <x:f>IFERROR(Z5/Y5,0)</x:f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46220.017800925925</x:v>
      </x:c>
      <x:c r="AG5" s="34"/>
      <x:c r="AH5" s="26" t="str">
        <x:v>Fully enriched from attached Mulugu project JSON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3</x:v>
      </x:c>
      <x:c r="B6" s="26" t="n">
        <x:v>288</x:v>
      </x:c>
      <x:c r="C6" s="26" t="str">
        <x:v>Mulugu</x:v>
      </x:c>
      <x:c r="D6" s="26" t="str">
        <x:v>Telangana</x:v>
      </x:c>
      <x:c r="E6" s="26" t="n">
        <x:v>8392</x:v>
      </x:c>
      <x:c r="F6" s="26" t="str">
        <x:v>PRJ-2026-0008392</x:v>
      </x:c>
      <x:c r="G6" s="26" t="str">
        <x:v>AWC Sarangapalli</x:v>
      </x:c>
      <x:c r="H6" s="26" t="str">
        <x:v>Mission Saksham Anganwadi &amp; POSHAN 2.0</x:v>
      </x:c>
      <x:c r="I6" s="32" t="n">
        <x:v>46164</x:v>
      </x:c>
      <x:c r="J6" s="32" t="n">
        <x:v>46348</x:v>
      </x:c>
      <x:c r="K6" s="32"/>
      <x:c r="L6" s="26" t="str">
        <x:v>Active: On/After 01-Aug-2026</x:v>
      </x:c>
      <x:c r="M6" s="26" t="str">
        <x:v>Medium</x:v>
      </x:c>
      <x:c r="N6" s="26" t="str">
        <x:v>ECCE Equipment=Minor; Educational Needs=Minor; Electrical Infrastructure=Medium; Health and Safety aids=Minor; Office Needs=Minor</x:v>
      </x:c>
      <x:c r="O6" s="26" t="n">
        <x:v>1</x:v>
      </x:c>
      <x:c r="P6" s="26" t="str">
        <x:v>Sarangapalli (36701020205)</x:v>
      </x:c>
      <x:c r="Q6" s="26" t="str">
        <x:v>36701020205</x:v>
      </x:c>
      <x:c r="R6" s="26" t="n">
        <x:v>20</x:v>
      </x:c>
      <x:c r="S6" s="36" t="n">
        <x:v>50000</x:v>
      </x:c>
      <x:c r="T6" s="26" t="str">
        <x:v>Civil Repair	
Water Filter	
Gas Stove&amp; Regulator						
Pressure Cooker	
Slides	
Kids Chairs	
Fans &amp; Lights	
Storage Bins	
Egg &amp; Milk Storge Racks	
Digital GMD
</x:v>
      </x:c>
      <x:c r="U6" s="26" t="str">
        <x:v>Civil Repair	
Water Filter	
Gas Stove&amp; Regulator						
Pressure Cooker	
Slides	
Kids Chairs	
Fans &amp; Lights	
Storage Bins	
Egg &amp; Milk Storge Racks	
Digital GMD
</x:v>
      </x:c>
      <x:c r="V6" s="27" t="b">
        <x:v>1</x:v>
      </x:c>
      <x:c r="W6" s="26" t="n">
        <x:v>8</x:v>
      </x:c>
      <x:c r="X6" s="26" t="n">
        <x:v>0</x:v>
      </x:c>
      <x:c r="Y6" s="26" t="n">
        <x:f>SUMIF('Activity Detail'!$E$4:$E$706,F6,'Activity Detail'!$L$4:$L$706)</x:f>
        <x:v>25</x:v>
      </x:c>
      <x:c r="Z6" s="26" t="n">
        <x:f>SUMIF('Activity Detail'!$E$4:$E$706,F6,'Activity Detail'!$N$4:$N$706)</x:f>
        <x:v>0</x:v>
      </x:c>
      <x:c r="AA6" s="26" t="n">
        <x:f>MAX(Y6-Z6,0)</x:f>
        <x:v>25</x:v>
      </x:c>
      <x:c r="AB6" s="38" t="n">
        <x:f>IFERROR(Z6/Y6,0)</x:f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46220.01778935185</x:v>
      </x:c>
      <x:c r="AG6" s="34"/>
      <x:c r="AH6" s="26" t="str">
        <x:v>Fully enriched from attached Mulugu project JSON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4</x:v>
      </x:c>
      <x:c r="B7" s="26" t="n">
        <x:v>289</x:v>
      </x:c>
      <x:c r="C7" s="26" t="str">
        <x:v>Mulugu</x:v>
      </x:c>
      <x:c r="D7" s="26" t="str">
        <x:v>Telangana</x:v>
      </x:c>
      <x:c r="E7" s="26" t="n">
        <x:v>8135</x:v>
      </x:c>
      <x:c r="F7" s="26" t="str">
        <x:v>PRJ-2026-0008135</x:v>
      </x:c>
      <x:c r="G7" s="26" t="str">
        <x:v>AWC VENKATESHWARLAPALLI</x:v>
      </x:c>
      <x:c r="H7" s="26" t="str">
        <x:v>Mission Saksham Anganwadi &amp; POSHAN 2.0</x:v>
      </x:c>
      <x:c r="I7" s="32" t="n">
        <x:v>46164</x:v>
      </x:c>
      <x:c r="J7" s="32" t="n">
        <x:v>46348</x:v>
      </x:c>
      <x:c r="K7" s="32"/>
      <x:c r="L7" s="26" t="str">
        <x:v>Active: On/After 01-Aug-2026</x:v>
      </x:c>
      <x:c r="M7" s="26" t="str">
        <x:v>Medium</x:v>
      </x:c>
      <x:c r="N7" s="26" t="str">
        <x:v>ECCE Equipment=Minor; Educational Needs=Minor; Electrical Infrastructure=Medium; Office Needs=Minor</x:v>
      </x:c>
      <x:c r="O7" s="26" t="n">
        <x:v>1</x:v>
      </x:c>
      <x:c r="P7" s="26" t="str">
        <x:v>VENKATESHWARLAPALLI (Mini) (36701020201)</x:v>
      </x:c>
      <x:c r="Q7" s="26" t="str">
        <x:v>36701020201</x:v>
      </x:c>
      <x:c r="R7" s="26" t="n">
        <x:v>15</x:v>
      </x:c>
      <x:c r="S7" s="36" t="n">
        <x:v>50000</x:v>
      </x:c>
      <x:c r="T7" s="26" t="str">
        <x:v>Water Filter	
Gas Stove&amp; Regulator						
Pressure Cooker	
Slides	
Kids Chairs	
Fans &amp; Lights	
Storage Bins	
Egg &amp; Milk Storge Racks	
Digital GMD
</x:v>
      </x:c>
      <x:c r="U7" s="26" t="str">
        <x:v>Water Filter	
Gas Stove&amp; Regulator						
Pressure Cooker	
Slides	
Kids Chairs	
Fans &amp; Lights	
Storage Bins	
Egg &amp; Milk Storge Racks	
Digital GMD
</x:v>
      </x:c>
      <x:c r="V7" s="27" t="b">
        <x:v>1</x:v>
      </x:c>
      <x:c r="W7" s="26" t="n">
        <x:v>7</x:v>
      </x:c>
      <x:c r="X7" s="26" t="n">
        <x:v>0</x:v>
      </x:c>
      <x:c r="Y7" s="26" t="n">
        <x:f>SUMIF('Activity Detail'!$E$4:$E$706,F7,'Activity Detail'!$L$4:$L$706)</x:f>
        <x:v>42</x:v>
      </x:c>
      <x:c r="Z7" s="26" t="n">
        <x:f>SUMIF('Activity Detail'!$E$4:$E$706,F7,'Activity Detail'!$N$4:$N$706)</x:f>
        <x:v>0</x:v>
      </x:c>
      <x:c r="AA7" s="26" t="n">
        <x:f>MAX(Y7-Z7,0)</x:f>
        <x:v>42</x:v>
      </x:c>
      <x:c r="AB7" s="38" t="n">
        <x:f>IFERROR(Z7/Y7,0)</x:f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46220.01778935185</x:v>
      </x:c>
      <x:c r="AG7" s="34"/>
      <x:c r="AH7" s="26" t="str">
        <x:v>Fully enriched from attached Mulugu project JSON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5</x:v>
      </x:c>
      <x:c r="B8" s="26" t="n">
        <x:v>286</x:v>
      </x:c>
      <x:c r="C8" s="26" t="str">
        <x:v>Mulugu</x:v>
      </x:c>
      <x:c r="D8" s="26" t="str">
        <x:v>Telangana</x:v>
      </x:c>
      <x:c r="E8" s="26" t="n">
        <x:v>8796</x:v>
      </x:c>
      <x:c r="F8" s="26" t="str">
        <x:v>PRJ-2026-0008796</x:v>
      </x:c>
      <x:c r="G8" s="26" t="str">
        <x:v>AWC Kodeshalakunta</x:v>
      </x:c>
      <x:c r="H8" s="26" t="str">
        <x:v>Mission Saksham Anganwadi &amp; POSHAN 2.0</x:v>
      </x:c>
      <x:c r="I8" s="32" t="n">
        <x:v>46164</x:v>
      </x:c>
      <x:c r="J8" s="32" t="n">
        <x:v>46348</x:v>
      </x:c>
      <x:c r="K8" s="32"/>
      <x:c r="L8" s="26" t="str">
        <x:v>Active: On/After 01-Aug-2026</x:v>
      </x:c>
      <x:c r="M8" s="26" t="str">
        <x:v>Medium</x:v>
      </x:c>
      <x:c r="N8" s="26" t="str">
        <x:v>ECCE Equipment=Minor; Educational Needs=Minor; Electrical Infrastructure=Medium; Health and Safety aids=Minor; Office Needs=Minor</x:v>
      </x:c>
      <x:c r="O8" s="26" t="n">
        <x:v>1</x:v>
      </x:c>
      <x:c r="P8" s="26" t="str">
        <x:v>Kodeshalakunta (36701020214)</x:v>
      </x:c>
      <x:c r="Q8" s="26" t="str">
        <x:v>36701020214</x:v>
      </x:c>
      <x:c r="R8" s="26" t="n">
        <x:v>11</x:v>
      </x:c>
      <x:c r="S8" s="36" t="n">
        <x:v>50000</x:v>
      </x:c>
      <x:c r="T8" s="26" t="str">
        <x:v>Water Filter	
Gas Stove&amp; Regulator						
Pressure Cooker	
Slides	
Kids Chairs	
Fans &amp; Lights	
Storage Bins	
Egg &amp; Milk Storge Racks	
Digital GMD
</x:v>
      </x:c>
      <x:c r="U8" s="26" t="str">
        <x:v>Water Filter	
Gas Stove&amp; Regulator						
Pressure Cooker	
Slides	
Kids Chairs	
Fans &amp; Lights	
Storage Bins	
Egg &amp; Milk Storge Racks	
Digital GMD
</x:v>
      </x:c>
      <x:c r="V8" s="27" t="b">
        <x:v>1</x:v>
      </x:c>
      <x:c r="W8" s="26" t="n">
        <x:v>8</x:v>
      </x:c>
      <x:c r="X8" s="26" t="n">
        <x:v>0</x:v>
      </x:c>
      <x:c r="Y8" s="26" t="n">
        <x:f>SUMIF('Activity Detail'!$E$4:$E$706,F8,'Activity Detail'!$L$4:$L$706)</x:f>
        <x:v>36</x:v>
      </x:c>
      <x:c r="Z8" s="26" t="n">
        <x:f>SUMIF('Activity Detail'!$E$4:$E$706,F8,'Activity Detail'!$N$4:$N$706)</x:f>
        <x:v>0</x:v>
      </x:c>
      <x:c r="AA8" s="26" t="n">
        <x:f>MAX(Y8-Z8,0)</x:f>
        <x:v>36</x:v>
      </x:c>
      <x:c r="AB8" s="38" t="n">
        <x:f>IFERROR(Z8/Y8,0)</x:f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46220.01777777778</x:v>
      </x:c>
      <x:c r="AG8" s="34"/>
      <x:c r="AH8" s="26" t="str">
        <x:v>Fully enriched from attached Mulugu project JSON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6</x:v>
      </x:c>
      <x:c r="B9" s="26" t="n">
        <x:v>287</x:v>
      </x:c>
      <x:c r="C9" s="26" t="str">
        <x:v>Mulugu</x:v>
      </x:c>
      <x:c r="D9" s="26" t="str">
        <x:v>Telangana</x:v>
      </x:c>
      <x:c r="E9" s="26" t="n">
        <x:v>8670</x:v>
      </x:c>
      <x:c r="F9" s="26" t="str">
        <x:v>PRJ-2026-0008670</x:v>
      </x:c>
      <x:c r="G9" s="26" t="str">
        <x:v>AWC Mansingh thanda</x:v>
      </x:c>
      <x:c r="H9" s="26" t="str">
        <x:v>Mission Saksham Anganwadi &amp; POSHAN 2.0</x:v>
      </x:c>
      <x:c r="I9" s="32" t="n">
        <x:v>46164</x:v>
      </x:c>
      <x:c r="J9" s="32" t="n">
        <x:v>46348</x:v>
      </x:c>
      <x:c r="K9" s="32"/>
      <x:c r="L9" s="26" t="str">
        <x:v>Active: On/After 01-Aug-2026</x:v>
      </x:c>
      <x:c r="M9" s="26" t="str">
        <x:v>Medium</x:v>
      </x:c>
      <x:c r="N9" s="26" t="str">
        <x:v>ECCE Equipment=Minor; Educational Needs=Minor; Electrical Infrastructure=Medium; Health and Safety aids=Minor; Office Needs=Minor</x:v>
      </x:c>
      <x:c r="O9" s="26" t="n">
        <x:v>1</x:v>
      </x:c>
      <x:c r="P9" s="26" t="str">
        <x:v>Mansingh thanda (36701020213)</x:v>
      </x:c>
      <x:c r="Q9" s="26" t="str">
        <x:v>36701020213</x:v>
      </x:c>
      <x:c r="R9" s="26" t="n">
        <x:v>47</x:v>
      </x:c>
      <x:c r="S9" s="36" t="n">
        <x:v>50000</x:v>
      </x:c>
      <x:c r="T9" s="26" t="str">
        <x:v>Water Filter	
Gas Stove&amp; Regulator						
Pressure Cooker	
Slides	
Kids Chairs	
Fans &amp; Lights	
Storage Bins	
Egg &amp; Milk Storge Racks	
Digital GMD
</x:v>
      </x:c>
      <x:c r="U9" s="26" t="str">
        <x:v>Water Filter	
Gas Stove&amp; Regulator						
Pressure Cooker	
Slides	
Kids Chairs	
Fans &amp; Lights	
Storage Bins	
Egg &amp; Milk Storge Racks	
Digital GMD
</x:v>
      </x:c>
      <x:c r="V9" s="27" t="b">
        <x:v>1</x:v>
      </x:c>
      <x:c r="W9" s="26" t="n">
        <x:v>8</x:v>
      </x:c>
      <x:c r="X9" s="26" t="n">
        <x:v>0</x:v>
      </x:c>
      <x:c r="Y9" s="26" t="n">
        <x:f>SUMIF('Activity Detail'!$E$4:$E$706,F9,'Activity Detail'!$L$4:$L$706)</x:f>
        <x:v>38</x:v>
      </x:c>
      <x:c r="Z9" s="26" t="n">
        <x:f>SUMIF('Activity Detail'!$E$4:$E$706,F9,'Activity Detail'!$N$4:$N$706)</x:f>
        <x:v>0</x:v>
      </x:c>
      <x:c r="AA9" s="26" t="n">
        <x:f>MAX(Y9-Z9,0)</x:f>
        <x:v>38</x:v>
      </x:c>
      <x:c r="AB9" s="38" t="n">
        <x:f>IFERROR(Z9/Y9,0)</x:f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46220.01777777778</x:v>
      </x:c>
      <x:c r="AG9" s="34"/>
      <x:c r="AH9" s="26" t="str">
        <x:v>Fully enriched from attached Mulugu project JSON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7</x:v>
      </x:c>
      <x:c r="B10" s="26" t="n">
        <x:v>284</x:v>
      </x:c>
      <x:c r="C10" s="26" t="str">
        <x:v>Mulugu</x:v>
      </x:c>
      <x:c r="D10" s="26" t="str">
        <x:v>Telangana</x:v>
      </x:c>
      <x:c r="E10" s="26" t="n">
        <x:v>10211</x:v>
      </x:c>
      <x:c r="F10" s="26" t="str">
        <x:v>PRJ-2026-0010211</x:v>
      </x:c>
      <x:c r="G10" s="26" t="str">
        <x:v>AWC Chinnagunturpalli -1 </x:v>
      </x:c>
      <x:c r="H10" s="26" t="str">
        <x:v>Mission Saksham Anganwadi &amp; POSHAN 2.0</x:v>
      </x:c>
      <x:c r="I10" s="32" t="n">
        <x:v>46164</x:v>
      </x:c>
      <x:c r="J10" s="32" t="n">
        <x:v>46348</x:v>
      </x:c>
      <x:c r="K10" s="32"/>
      <x:c r="L10" s="26" t="str">
        <x:v>Active: On/After 01-Aug-2026</x:v>
      </x:c>
      <x:c r="M10" s="26" t="str">
        <x:v>Medium</x:v>
      </x:c>
      <x:c r="N10" s="26" t="str">
        <x:v>ECCE Equipment=Minor; Educational Needs=Minor; Electrical Infrastructure=Medium; Health and Safety aids=Minor; Office Needs=Minor</x:v>
      </x:c>
      <x:c r="O10" s="26" t="n">
        <x:v>1</x:v>
      </x:c>
      <x:c r="P10" s="26" t="str">
        <x:v>Chinnagunturpalli -1 (36701020218)</x:v>
      </x:c>
      <x:c r="Q10" s="26" t="str">
        <x:v>36701020218</x:v>
      </x:c>
      <x:c r="R10" s="26" t="n">
        <x:v>12</x:v>
      </x:c>
      <x:c r="S10" s="36" t="n">
        <x:v>50000</x:v>
      </x:c>
      <x:c r="T10" s="26" t="str">
        <x:v>Water Filter	
Gas Stove&amp; Regulator						
Pressure Cooker	
Slides	
Kids Chairs	
Fans &amp; Lights	
Storage Bins	
Egg &amp; Milk Storge Racks	
Digital GMD
</x:v>
      </x:c>
      <x:c r="U10" s="26" t="str">
        <x:v>Water Filter	
Gas Stove&amp; Regulator						
Pressure Cooker	
Slides	
Kids Chairs	
Fans &amp; Lights	
Storage Bins	
Egg &amp; Milk Storge Racks	
Digital GMD
</x:v>
      </x:c>
      <x:c r="V10" s="27" t="b">
        <x:v>1</x:v>
      </x:c>
      <x:c r="W10" s="26" t="n">
        <x:v>9</x:v>
      </x:c>
      <x:c r="X10" s="26" t="n">
        <x:v>0</x:v>
      </x:c>
      <x:c r="Y10" s="26" t="n">
        <x:f>SUMIF('Activity Detail'!$E$4:$E$706,F10,'Activity Detail'!$L$4:$L$706)</x:f>
        <x:v>40</x:v>
      </x:c>
      <x:c r="Z10" s="26" t="n">
        <x:f>SUMIF('Activity Detail'!$E$4:$E$706,F10,'Activity Detail'!$N$4:$N$706)</x:f>
        <x:v>0</x:v>
      </x:c>
      <x:c r="AA10" s="26" t="n">
        <x:f>MAX(Y10-Z10,0)</x:f>
        <x:v>40</x:v>
      </x:c>
      <x:c r="AB10" s="38" t="n">
        <x:f>IFERROR(Z10/Y10,0)</x:f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46220.0177662037</x:v>
      </x:c>
      <x:c r="AG10" s="34"/>
      <x:c r="AH10" s="26" t="str">
        <x:v>Fully enriched from attached Mulugu project JSON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8</x:v>
      </x:c>
      <x:c r="B11" s="26" t="n">
        <x:v>285</x:v>
      </x:c>
      <x:c r="C11" s="26" t="str">
        <x:v>Mulugu</x:v>
      </x:c>
      <x:c r="D11" s="26" t="str">
        <x:v>Telangana</x:v>
      </x:c>
      <x:c r="E11" s="26" t="n">
        <x:v>9008</x:v>
      </x:c>
      <x:c r="F11" s="26" t="str">
        <x:v>PRJ-2026-0009008</x:v>
      </x:c>
      <x:c r="G11" s="26" t="str">
        <x:v>AWC Pandikunta - II</x:v>
      </x:c>
      <x:c r="H11" s="26" t="str">
        <x:v>Mission Saksham Anganwadi &amp; POSHAN 2.0</x:v>
      </x:c>
      <x:c r="I11" s="32" t="n">
        <x:v>46164</x:v>
      </x:c>
      <x:c r="J11" s="32" t="n">
        <x:v>46348</x:v>
      </x:c>
      <x:c r="K11" s="32"/>
      <x:c r="L11" s="26" t="str">
        <x:v>Active: On/After 01-Aug-2026</x:v>
      </x:c>
      <x:c r="M11" s="26" t="str">
        <x:v>Medium</x:v>
      </x:c>
      <x:c r="N11" s="26" t="str">
        <x:v>ECCE Equipment=Minor; Educational Needs=Minor; Electrical Infrastructure=Medium; Health and Safety aids=Minor; Office Needs=Minor</x:v>
      </x:c>
      <x:c r="O11" s="26" t="n">
        <x:v>1</x:v>
      </x:c>
      <x:c r="P11" s="26" t="str">
        <x:v>Pandikunta - II (36701020210)</x:v>
      </x:c>
      <x:c r="Q11" s="26" t="str">
        <x:v>36701020210</x:v>
      </x:c>
      <x:c r="R11" s="26" t="n">
        <x:v>53</x:v>
      </x:c>
      <x:c r="S11" s="36" t="n">
        <x:v>50000</x:v>
      </x:c>
      <x:c r="T11" s="26" t="str">
        <x:v>Water Filter	
Gas Stove&amp; Regulator						
Pressure Cooker	
Slides	
Kids Chairs	
Fans &amp; Lights	
Storage Bins	
Egg &amp; Milk Storge Racks	
Digital GMD
</x:v>
      </x:c>
      <x:c r="U11" s="26" t="str">
        <x:v>Water Filter	
Gas Stove&amp; Regulator						
Pressure Cooker	
Slides	
Kids Chairs	
Fans &amp; Lights	
Storage Bins	
Egg &amp; Milk Storge Racks	
Digital GMD
</x:v>
      </x:c>
      <x:c r="V11" s="27" t="b">
        <x:v>1</x:v>
      </x:c>
      <x:c r="W11" s="26" t="n">
        <x:v>9</x:v>
      </x:c>
      <x:c r="X11" s="26" t="n">
        <x:v>0</x:v>
      </x:c>
      <x:c r="Y11" s="26" t="n">
        <x:f>SUMIF('Activity Detail'!$E$4:$E$706,F11,'Activity Detail'!$L$4:$L$706)</x:f>
        <x:v>45</x:v>
      </x:c>
      <x:c r="Z11" s="26" t="n">
        <x:f>SUMIF('Activity Detail'!$E$4:$E$706,F11,'Activity Detail'!$N$4:$N$706)</x:f>
        <x:v>0</x:v>
      </x:c>
      <x:c r="AA11" s="26" t="n">
        <x:f>MAX(Y11-Z11,0)</x:f>
        <x:v>45</x:v>
      </x:c>
      <x:c r="AB11" s="38" t="n">
        <x:f>IFERROR(Z11/Y11,0)</x:f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46220.0177662037</x:v>
      </x:c>
      <x:c r="AG11" s="34"/>
      <x:c r="AH11" s="26" t="str">
        <x:v>Fully enriched from attached Mulugu project JSON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9</x:v>
      </x:c>
      <x:c r="B12" s="26" t="n">
        <x:v>283</x:v>
      </x:c>
      <x:c r="C12" s="26" t="str">
        <x:v>Mulugu</x:v>
      </x:c>
      <x:c r="D12" s="26" t="str">
        <x:v>Telangana</x:v>
      </x:c>
      <x:c r="E12" s="26" t="n">
        <x:v>10287</x:v>
      </x:c>
      <x:c r="F12" s="26" t="str">
        <x:v>PRJ-2026-0010287</x:v>
      </x:c>
      <x:c r="G12" s="26" t="str">
        <x:v>AWC Jaggannapet</x:v>
      </x:c>
      <x:c r="H12" s="26" t="str">
        <x:v>Mission Saksham Anganwadi &amp; POSHAN 2.0</x:v>
      </x:c>
      <x:c r="I12" s="32" t="n">
        <x:v>46164</x:v>
      </x:c>
      <x:c r="J12" s="32" t="n">
        <x:v>46348</x:v>
      </x:c>
      <x:c r="K12" s="32"/>
      <x:c r="L12" s="26" t="str">
        <x:v>Active: On/After 01-Aug-2026</x:v>
      </x:c>
      <x:c r="M12" s="26" t="str">
        <x:v>Medium</x:v>
      </x:c>
      <x:c r="N12" s="26" t="str">
        <x:v>ECCE Equipment=Minor; Educational Needs=Minor; Electrical Infrastructure=Medium; Health and Safety aids=Minor; Office Needs=Minor</x:v>
      </x:c>
      <x:c r="O12" s="26" t="n">
        <x:v>1</x:v>
      </x:c>
      <x:c r="P12" s="26" t="str">
        <x:v>Jaggannapet (36701020215)</x:v>
      </x:c>
      <x:c r="Q12" s="26" t="str">
        <x:v>36701020215</x:v>
      </x:c>
      <x:c r="R12" s="26" t="n">
        <x:v>41</x:v>
      </x:c>
      <x:c r="S12" s="36" t="n">
        <x:v>50000</x:v>
      </x:c>
      <x:c r="T12" s="26" t="str">
        <x:v>Water Filter	Gas Stove&amp; Regulator						Pressure Cooker	Slides	Kids Chairs	Fans &amp; Lights	Storage Bins	Egg &amp; Milk Storge Racks	Digital GMD
</x:v>
      </x:c>
      <x:c r="U12" s="26" t="str">
        <x:v>Water Filter	Gas Stove&amp; Regulator						Pressure Cooker	Slides	Kids Chairs	Fans &amp; Lights	Storage Bins	Egg &amp; Milk Storge Racks	Digital GMD
</x:v>
      </x:c>
      <x:c r="V12" s="27" t="b">
        <x:v>1</x:v>
      </x:c>
      <x:c r="W12" s="26" t="n">
        <x:v>7</x:v>
      </x:c>
      <x:c r="X12" s="26" t="n">
        <x:v>0</x:v>
      </x:c>
      <x:c r="Y12" s="26" t="n">
        <x:f>SUMIF('Activity Detail'!$E$4:$E$706,F12,'Activity Detail'!$L$4:$L$706)</x:f>
        <x:v>21</x:v>
      </x:c>
      <x:c r="Z12" s="26" t="n">
        <x:f>SUMIF('Activity Detail'!$E$4:$E$706,F12,'Activity Detail'!$N$4:$N$706)</x:f>
        <x:v>0</x:v>
      </x:c>
      <x:c r="AA12" s="26" t="n">
        <x:f>MAX(Y12-Z12,0)</x:f>
        <x:v>21</x:v>
      </x:c>
      <x:c r="AB12" s="38" t="n">
        <x:f>IFERROR(Z12/Y12,0)</x:f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46220.01775462963</x:v>
      </x:c>
      <x:c r="AG12" s="34"/>
      <x:c r="AH12" s="26" t="str">
        <x:v>Fully enriched from attached Mulugu project JSON</x:v>
      </x:c>
      <x:c r="AI12" s="26" t="str"/>
      <x:c r="AJ12" s="26" t="str">
        <x:v>Not Started</x:v>
      </x:c>
      <x:c r="AK12" s="26" t="str"/>
      <x:c r="AL12" s="26" t="str"/>
    </x:row>
    <x:row r="13">
      <x:c r="A13" s="26" t="n">
        <x:v>10</x:v>
      </x:c>
      <x:c r="B13" s="26" t="n">
        <x:v>281</x:v>
      </x:c>
      <x:c r="C13" s="26" t="str">
        <x:v>Mulugu</x:v>
      </x:c>
      <x:c r="D13" s="26" t="str">
        <x:v>Telangana</x:v>
      </x:c>
      <x:c r="E13" s="26" t="n">
        <x:v>10430</x:v>
      </x:c>
      <x:c r="F13" s="26" t="str">
        <x:v>PRJ-2026-0010430</x:v>
      </x:c>
      <x:c r="G13" s="26" t="str">
        <x:v>AWC Ramsing Thanda</x:v>
      </x:c>
      <x:c r="H13" s="26" t="str">
        <x:v>Mission Saksham Anganwadi &amp; POSHAN 2.0</x:v>
      </x:c>
      <x:c r="I13" s="32" t="n">
        <x:v>46164</x:v>
      </x:c>
      <x:c r="J13" s="32" t="n">
        <x:v>46348</x:v>
      </x:c>
      <x:c r="K13" s="32"/>
      <x:c r="L13" s="26" t="str">
        <x:v>Active: On/After 01-Aug-2026</x:v>
      </x:c>
      <x:c r="M13" s="26" t="str">
        <x:v>Medium</x:v>
      </x:c>
      <x:c r="N13" s="26" t="str">
        <x:v>ECCE Equipment=Minor; Educational Needs=Minor; Electrical Infrastructure=Medium; Health and Safety aids=Minor; Office Needs=Minor</x:v>
      </x:c>
      <x:c r="O13" s="26" t="n">
        <x:v>1</x:v>
      </x:c>
      <x:c r="P13" s="26" t="str">
        <x:v>RAMSING THANDA  (Mini) (36701020207)</x:v>
      </x:c>
      <x:c r="Q13" s="26" t="str">
        <x:v>36701020207</x:v>
      </x:c>
      <x:c r="R13" s="26" t="n">
        <x:v>18</x:v>
      </x:c>
      <x:c r="S13" s="36" t="n">
        <x:v>50000</x:v>
      </x:c>
      <x:c r="T13" s="26" t="str">
        <x:v>Water Filter	
Gas Stove&amp; Regulator						
Pressure Cooker	
Slides	
Kids Chairs	
Fans &amp; Lights	
Storage Bins	
Egg &amp; Milk Storge Racks	
Digital GMD
</x:v>
      </x:c>
      <x:c r="U13" s="26" t="str">
        <x:v>Water Filter	
Gas Stove&amp; Regulator						
Pressure Cooker	
Slides	
Kids Chairs	
Fans &amp; Lights	
Storage Bins	
Egg &amp; Milk Storge Racks	
Digital GMD</x:v>
      </x:c>
      <x:c r="V13" s="27" t="b">
        <x:v>1</x:v>
      </x:c>
      <x:c r="W13" s="26" t="n">
        <x:v>7</x:v>
      </x:c>
      <x:c r="X13" s="26" t="n">
        <x:v>0</x:v>
      </x:c>
      <x:c r="Y13" s="26" t="n">
        <x:f>SUMIF('Activity Detail'!$E$4:$E$706,F13,'Activity Detail'!$L$4:$L$706)</x:f>
        <x:v>37</x:v>
      </x:c>
      <x:c r="Z13" s="26" t="n">
        <x:f>SUMIF('Activity Detail'!$E$4:$E$706,F13,'Activity Detail'!$N$4:$N$706)</x:f>
        <x:v>0</x:v>
      </x:c>
      <x:c r="AA13" s="26" t="n">
        <x:f>MAX(Y13-Z13,0)</x:f>
        <x:v>37</x:v>
      </x:c>
      <x:c r="AB13" s="38" t="n">
        <x:f>IFERROR(Z13/Y13,0)</x:f>
        <x:v>0</x:v>
      </x:c>
      <x:c r="AC13" s="26" t="str">
        <x:v>Committed / Not Delivered</x:v>
      </x:c>
      <x:c r="AD13" s="26" t="str">
        <x:v>Approval not recorded in response</x:v>
      </x:c>
      <x:c r="AE13" s="27" t="b">
        <x:v>1</x:v>
      </x:c>
      <x:c r="AF13" s="34" t="n">
        <x:v>46220.017743055556</x:v>
      </x:c>
      <x:c r="AG13" s="34"/>
      <x:c r="AH13" s="26" t="str">
        <x:v>Fully enriched from attached Mulugu project JSON</x:v>
      </x:c>
      <x:c r="AI13" s="26" t="str"/>
      <x:c r="AJ13" s="26" t="str">
        <x:v>Not Started</x:v>
      </x:c>
      <x:c r="AK13" s="26" t="str"/>
      <x:c r="AL13" s="26" t="str"/>
    </x:row>
    <x:row r="14">
      <x:c r="A14" s="26" t="n">
        <x:v>11</x:v>
      </x:c>
      <x:c r="B14" s="26" t="n">
        <x:v>282</x:v>
      </x:c>
      <x:c r="C14" s="26" t="str">
        <x:v>Mulugu</x:v>
      </x:c>
      <x:c r="D14" s="26" t="str">
        <x:v>Telangana</x:v>
      </x:c>
      <x:c r="E14" s="26" t="n">
        <x:v>10329</x:v>
      </x:c>
      <x:c r="F14" s="26" t="str">
        <x:v>PRJ-2026-0010329</x:v>
      </x:c>
      <x:c r="G14" s="26" t="str">
        <x:v>AWC Gurthuruthanda</x:v>
      </x:c>
      <x:c r="H14" s="26" t="str">
        <x:v>Mission Saksham Anganwadi &amp; POSHAN 2.0</x:v>
      </x:c>
      <x:c r="I14" s="32" t="n">
        <x:v>46164</x:v>
      </x:c>
      <x:c r="J14" s="32" t="n">
        <x:v>46348</x:v>
      </x:c>
      <x:c r="K14" s="32"/>
      <x:c r="L14" s="26" t="str">
        <x:v>Active: On/After 01-Aug-2026</x:v>
      </x:c>
      <x:c r="M14" s="26" t="str">
        <x:v>Medium</x:v>
      </x:c>
      <x:c r="N14" s="26" t="str">
        <x:v>ECCE Equipment=Minor; Educational Needs=Minor; Electrical Infrastructure=Medium; Health and Safety aids=Minor; Office Needs=Minor</x:v>
      </x:c>
      <x:c r="O14" s="26" t="n">
        <x:v>1</x:v>
      </x:c>
      <x:c r="P14" s="26" t="str">
        <x:v>Gurthuruthanda (36701020216)</x:v>
      </x:c>
      <x:c r="Q14" s="26" t="str">
        <x:v>36701020216</x:v>
      </x:c>
      <x:c r="R14" s="26" t="n">
        <x:v>42</x:v>
      </x:c>
      <x:c r="S14" s="36" t="n">
        <x:v>50000</x:v>
      </x:c>
      <x:c r="T14" s="26" t="str">
        <x:v>Civil Repair	Water Filter	Gas Stove&amp; Regulator						Pressure Cooker	Slides	Kids Chairs	Fans &amp; Lights	Storage Bins	Egg &amp; Milk Storge Racks	Digital GMD
</x:v>
      </x:c>
      <x:c r="U14" s="26" t="str">
        <x:v>Civil Repair	Water Filter	Gas Stove&amp; Regulator						Pressure Cooker	Slides	Kids Chairs	Fans &amp; Lights	Storage Bins	Egg &amp; Milk Storge Racks	Digital GMD
</x:v>
      </x:c>
      <x:c r="V14" s="27" t="b">
        <x:v>1</x:v>
      </x:c>
      <x:c r="W14" s="26" t="n">
        <x:v>7</x:v>
      </x:c>
      <x:c r="X14" s="26" t="n">
        <x:v>0</x:v>
      </x:c>
      <x:c r="Y14" s="26" t="n">
        <x:f>SUMIF('Activity Detail'!$E$4:$E$706,F14,'Activity Detail'!$L$4:$L$706)</x:f>
        <x:v>34</x:v>
      </x:c>
      <x:c r="Z14" s="26" t="n">
        <x:f>SUMIF('Activity Detail'!$E$4:$E$706,F14,'Activity Detail'!$N$4:$N$706)</x:f>
        <x:v>0</x:v>
      </x:c>
      <x:c r="AA14" s="26" t="n">
        <x:f>MAX(Y14-Z14,0)</x:f>
        <x:v>34</x:v>
      </x:c>
      <x:c r="AB14" s="38" t="n">
        <x:f>IFERROR(Z14/Y14,0)</x:f>
        <x:v>0</x:v>
      </x:c>
      <x:c r="AC14" s="26" t="str">
        <x:v>Committed / Not Delivered</x:v>
      </x:c>
      <x:c r="AD14" s="26" t="str">
        <x:v>Approval not recorded in response</x:v>
      </x:c>
      <x:c r="AE14" s="27" t="b">
        <x:v>1</x:v>
      </x:c>
      <x:c r="AF14" s="34" t="n">
        <x:v>46220.017743055556</x:v>
      </x:c>
      <x:c r="AG14" s="34"/>
      <x:c r="AH14" s="26" t="str">
        <x:v>Fully enriched from attached Mulugu project JSON</x:v>
      </x:c>
      <x:c r="AI14" s="26" t="str"/>
      <x:c r="AJ14" s="26" t="str">
        <x:v>Not Started</x:v>
      </x:c>
      <x:c r="AK14" s="26" t="str"/>
      <x:c r="AL14" s="26" t="str"/>
    </x:row>
    <x:row r="15">
      <x:c r="A15" s="26" t="n">
        <x:v>12</x:v>
      </x:c>
      <x:c r="B15" s="26" t="n">
        <x:v>280</x:v>
      </x:c>
      <x:c r="C15" s="26" t="str">
        <x:v>Mulugu</x:v>
      </x:c>
      <x:c r="D15" s="26" t="str">
        <x:v>Telangana</x:v>
      </x:c>
      <x:c r="E15" s="26" t="n">
        <x:v>10539</x:v>
      </x:c>
      <x:c r="F15" s="26" t="str">
        <x:v>PRJ-2026-0010539</x:v>
      </x:c>
      <x:c r="G15" s="26" t="str">
        <x:v>AWC Annampalli</x:v>
      </x:c>
      <x:c r="H15" s="26" t="str">
        <x:v>Mission Saksham Anganwadi &amp; POSHAN 2.0</x:v>
      </x:c>
      <x:c r="I15" s="32" t="n">
        <x:v>46164</x:v>
      </x:c>
      <x:c r="J15" s="32" t="n">
        <x:v>46348</x:v>
      </x:c>
      <x:c r="K15" s="32"/>
      <x:c r="L15" s="26" t="str">
        <x:v>Active: On/After 01-Aug-2026</x:v>
      </x:c>
      <x:c r="M15" s="26" t="str">
        <x:v>Medium</x:v>
      </x:c>
      <x:c r="N15" s="26" t="str">
        <x:v>ECCE Equipment=Minor; Educational Needs=Minor; Electrical Infrastructure=Medium; Health and Safety aids=Minor; Office Needs=Minor</x:v>
      </x:c>
      <x:c r="O15" s="26" t="n">
        <x:v>1</x:v>
      </x:c>
      <x:c r="P15" s="26" t="str">
        <x:v>ANNAMPALLI (36701020222)</x:v>
      </x:c>
      <x:c r="Q15" s="26" t="str">
        <x:v>36701020222</x:v>
      </x:c>
      <x:c r="R15" s="26" t="n">
        <x:v>30</x:v>
      </x:c>
      <x:c r="S15" s="36" t="n">
        <x:v>50000</x:v>
      </x:c>
      <x:c r="T15" s="26" t="str">
        <x:v>Water Filter	
Gas Stove&amp; Regulator						
Pressure Cooker	
Slides	
Kids Chairs	
Fans &amp; Lights	
Storage Bins	
Egg &amp; Milk Storge Racks	
Digital GMD</x:v>
      </x:c>
      <x:c r="U15" s="26" t="str">
        <x:v>Water Filter	
Gas Stove&amp; Regulator						
Pressure Cooker	
Slides	
Kids Chairs	
Fans &amp; Lights	
Storage Bins	
Egg &amp; Milk Storge Racks	
Digital GMD</x:v>
      </x:c>
      <x:c r="V15" s="27" t="b">
        <x:v>1</x:v>
      </x:c>
      <x:c r="W15" s="26" t="n">
        <x:v>7</x:v>
      </x:c>
      <x:c r="X15" s="26" t="n">
        <x:v>0</x:v>
      </x:c>
      <x:c r="Y15" s="26" t="n">
        <x:f>SUMIF('Activity Detail'!$E$4:$E$706,F15,'Activity Detail'!$L$4:$L$706)</x:f>
        <x:v>29</x:v>
      </x:c>
      <x:c r="Z15" s="26" t="n">
        <x:f>SUMIF('Activity Detail'!$E$4:$E$706,F15,'Activity Detail'!$N$4:$N$706)</x:f>
        <x:v>0</x:v>
      </x:c>
      <x:c r="AA15" s="26" t="n">
        <x:f>MAX(Y15-Z15,0)</x:f>
        <x:v>29</x:v>
      </x:c>
      <x:c r="AB15" s="38" t="n">
        <x:f>IFERROR(Z15/Y15,0)</x:f>
        <x:v>0</x:v>
      </x:c>
      <x:c r="AC15" s="26" t="str">
        <x:v>Committed / Not Delivered</x:v>
      </x:c>
      <x:c r="AD15" s="26" t="str">
        <x:v>Approval not recorded in response</x:v>
      </x:c>
      <x:c r="AE15" s="27" t="b">
        <x:v>1</x:v>
      </x:c>
      <x:c r="AF15" s="34" t="n">
        <x:v>46220.01773148148</x:v>
      </x:c>
      <x:c r="AG15" s="34"/>
      <x:c r="AH15" s="26" t="str">
        <x:v>Fully enriched from attached Mulugu project JSON</x:v>
      </x:c>
      <x:c r="AI15" s="26" t="str"/>
      <x:c r="AJ15" s="26" t="str">
        <x:v>Not Started</x:v>
      </x:c>
      <x:c r="AK15" s="26" t="str"/>
      <x:c r="AL15" s="26" t="str"/>
    </x:row>
    <x:row r="16">
      <x:c r="A16" s="26" t="n">
        <x:v>13</x:v>
      </x:c>
      <x:c r="B16" s="26" t="n">
        <x:v>279</x:v>
      </x:c>
      <x:c r="C16" s="26" t="str">
        <x:v>Mulugu</x:v>
      </x:c>
      <x:c r="D16" s="26" t="str">
        <x:v>Telangana</x:v>
      </x:c>
      <x:c r="E16" s="26" t="n">
        <x:v>10589</x:v>
      </x:c>
      <x:c r="F16" s="26" t="str">
        <x:v>PRJ-2026-0010589</x:v>
      </x:c>
      <x:c r="G16" s="26" t="str">
        <x:v>AWC Pandikunta I</x:v>
      </x:c>
      <x:c r="H16" s="26" t="str">
        <x:v>Mission Saksham Anganwadi &amp; POSHAN 2.0</x:v>
      </x:c>
      <x:c r="I16" s="32" t="n">
        <x:v>46164</x:v>
      </x:c>
      <x:c r="J16" s="32" t="n">
        <x:v>46348</x:v>
      </x:c>
      <x:c r="K16" s="32"/>
      <x:c r="L16" s="26" t="str">
        <x:v>Active: On/After 01-Aug-2026</x:v>
      </x:c>
      <x:c r="M16" s="26" t="str">
        <x:v>Medium</x:v>
      </x:c>
      <x:c r="N16" s="26" t="str">
        <x:v>ECCE Equipment=Minor; Educational Needs=Minor; Electrical Infrastructure=Medium; Health and Safety aids=Minor; Office Needs=Minor</x:v>
      </x:c>
      <x:c r="O16" s="26" t="n">
        <x:v>1</x:v>
      </x:c>
      <x:c r="P16" s="26" t="str">
        <x:v>Pandikunta - I (36701020211)</x:v>
      </x:c>
      <x:c r="Q16" s="26" t="str">
        <x:v>36701020211</x:v>
      </x:c>
      <x:c r="R16" s="26" t="n">
        <x:v>59</x:v>
      </x:c>
      <x:c r="S16" s="36" t="n">
        <x:v>50000</x:v>
      </x:c>
      <x:c r="T16" s="26" t="str">
        <x:v>Water Filter	
Gas Stove&amp; Regulator						
Pressure Cooker	
Slides	
Kids Chairs	
Fans &amp; Lights	
Storage Bins	
Egg &amp; Milk Storge Racks	
Digital GMD</x:v>
      </x:c>
      <x:c r="U16" s="26" t="str">
        <x:v>Water Filter	
Gas Stove&amp; Regulator						
Pressure Cooker	
Slides	
Kids Chairs	
Fans &amp; Lights	
Storage Bins	
Egg &amp; Milk Storge Racks	
Digital GMD</x:v>
      </x:c>
      <x:c r="V16" s="27" t="b">
        <x:v>1</x:v>
      </x:c>
      <x:c r="W16" s="26" t="n">
        <x:v>8</x:v>
      </x:c>
      <x:c r="X16" s="26" t="n">
        <x:v>0</x:v>
      </x:c>
      <x:c r="Y16" s="26" t="n">
        <x:f>SUMIF('Activity Detail'!$E$4:$E$706,F16,'Activity Detail'!$L$4:$L$706)</x:f>
        <x:v>43</x:v>
      </x:c>
      <x:c r="Z16" s="26" t="n">
        <x:f>SUMIF('Activity Detail'!$E$4:$E$706,F16,'Activity Detail'!$N$4:$N$706)</x:f>
        <x:v>0</x:v>
      </x:c>
      <x:c r="AA16" s="26" t="n">
        <x:f>MAX(Y16-Z16,0)</x:f>
        <x:v>43</x:v>
      </x:c>
      <x:c r="AB16" s="38" t="n">
        <x:f>IFERROR(Z16/Y16,0)</x:f>
        <x:v>0</x:v>
      </x:c>
      <x:c r="AC16" s="26" t="str">
        <x:v>Committed / Not Delivered</x:v>
      </x:c>
      <x:c r="AD16" s="26" t="str">
        <x:v>Approval not recorded in response</x:v>
      </x:c>
      <x:c r="AE16" s="27" t="b">
        <x:v>1</x:v>
      </x:c>
      <x:c r="AF16" s="34" t="n">
        <x:v>46220.01724537037</x:v>
      </x:c>
      <x:c r="AG16" s="34"/>
      <x:c r="AH16" s="26" t="str">
        <x:v>Fully enriched from attached Mulugu project JSON</x:v>
      </x:c>
      <x:c r="AI16" s="26" t="str"/>
      <x:c r="AJ16" s="26" t="str">
        <x:v>Not Started</x:v>
      </x:c>
      <x:c r="AK16" s="26" t="str"/>
      <x:c r="AL16" s="26" t="str"/>
    </x:row>
    <x:row r="17">
      <x:c r="A17" s="26" t="n">
        <x:v>14</x:v>
      </x:c>
      <x:c r="B17" s="26" t="n">
        <x:v>277</x:v>
      </x:c>
      <x:c r="C17" s="26" t="str">
        <x:v>Mulugu</x:v>
      </x:c>
      <x:c r="D17" s="26" t="str">
        <x:v>Telangana</x:v>
      </x:c>
      <x:c r="E17" s="26" t="n">
        <x:v>10671</x:v>
      </x:c>
      <x:c r="F17" s="26" t="str">
        <x:v>PRJ-2026-0010671</x:v>
      </x:c>
      <x:c r="G17" s="26" t="str">
        <x:v>AWC </x:v>
      </x:c>
      <x:c r="H17" s="26" t="str">
        <x:v>Mission Saksham Anganwadi &amp; POSHAN 2.0</x:v>
      </x:c>
      <x:c r="I17" s="32" t="n">
        <x:v>46164</x:v>
      </x:c>
      <x:c r="J17" s="32" t="n">
        <x:v>46348</x:v>
      </x:c>
      <x:c r="K17" s="32"/>
      <x:c r="L17" s="26" t="str">
        <x:v>Active: On/After 01-Aug-2026</x:v>
      </x:c>
      <x:c r="M17" s="26" t="str">
        <x:v>Medium</x:v>
      </x:c>
      <x:c r="N17" s="26" t="str">
        <x:v>ECCE Equipment=Minor; Educational Needs=Minor; Electrical Infrastructure=Medium; Health and Safety aids=Minor; Office Needs=Minor</x:v>
      </x:c>
      <x:c r="O17" s="26" t="n">
        <x:v>1</x:v>
      </x:c>
      <x:c r="P17" s="26" t="str">
        <x:v>Shivathanda (36701020204)</x:v>
      </x:c>
      <x:c r="Q17" s="26" t="str">
        <x:v>36701020204</x:v>
      </x:c>
      <x:c r="R17" s="26" t="n">
        <x:v>20</x:v>
      </x:c>
      <x:c r="S17" s="36" t="n">
        <x:v>50000</x:v>
      </x:c>
      <x:c r="T17" s="26" t="str">
        <x:v>Water Filter	
Gas Stove&amp; Regulator						
Pressure Cooker	
Slides	
Kids Chairs	
Fans &amp; Lights	
Storage Bins	
Egg &amp; Milk Storge Racks	
Digital GMD</x:v>
      </x:c>
      <x:c r="U17" s="26" t="str">
        <x:v>Water Filter	
Gas Stove&amp; Regulator						
Pressure Cooker	
Slides	
Kids Chairs	
Fans &amp; Lights	
Storage Bins	
Egg &amp; Milk Storge Racks	
Digital GMD</x:v>
      </x:c>
      <x:c r="V17" s="27" t="b">
        <x:v>1</x:v>
      </x:c>
      <x:c r="W17" s="26" t="n">
        <x:v>7</x:v>
      </x:c>
      <x:c r="X17" s="26" t="n">
        <x:v>0</x:v>
      </x:c>
      <x:c r="Y17" s="26" t="n">
        <x:f>SUMIF('Activity Detail'!$E$4:$E$706,F17,'Activity Detail'!$L$4:$L$706)</x:f>
        <x:v>35</x:v>
      </x:c>
      <x:c r="Z17" s="26" t="n">
        <x:f>SUMIF('Activity Detail'!$E$4:$E$706,F17,'Activity Detail'!$N$4:$N$706)</x:f>
        <x:v>0</x:v>
      </x:c>
      <x:c r="AA17" s="26" t="n">
        <x:f>MAX(Y17-Z17,0)</x:f>
        <x:v>35</x:v>
      </x:c>
      <x:c r="AB17" s="38" t="n">
        <x:f>IFERROR(Z17/Y17,0)</x:f>
        <x:v>0</x:v>
      </x:c>
      <x:c r="AC17" s="26" t="str">
        <x:v>Committed / Not Delivered</x:v>
      </x:c>
      <x:c r="AD17" s="26" t="str">
        <x:v>Approval not recorded in response</x:v>
      </x:c>
      <x:c r="AE17" s="27" t="b">
        <x:v>1</x:v>
      </x:c>
      <x:c r="AF17" s="34" t="n">
        <x:v>46220.017233796294</x:v>
      </x:c>
      <x:c r="AG17" s="34"/>
      <x:c r="AH17" s="26" t="str">
        <x:v>Fully enriched from attached Mulugu project JSON</x:v>
      </x:c>
      <x:c r="AI17" s="26" t="str"/>
      <x:c r="AJ17" s="26" t="str">
        <x:v>Not Started</x:v>
      </x:c>
      <x:c r="AK17" s="26" t="str"/>
      <x:c r="AL17" s="26" t="str"/>
    </x:row>
    <x:row r="18">
      <x:c r="A18" s="26" t="n">
        <x:v>15</x:v>
      </x:c>
      <x:c r="B18" s="26" t="n">
        <x:v>278</x:v>
      </x:c>
      <x:c r="C18" s="26" t="str">
        <x:v>Mulugu</x:v>
      </x:c>
      <x:c r="D18" s="26" t="str">
        <x:v>Telangana</x:v>
      </x:c>
      <x:c r="E18" s="26" t="n">
        <x:v>10633</x:v>
      </x:c>
      <x:c r="F18" s="26" t="str">
        <x:v>PRJ-2026-0010633</x:v>
      </x:c>
      <x:c r="G18" s="26" t="str">
        <x:v>AWC Sreeramulapalli</x:v>
      </x:c>
      <x:c r="H18" s="26" t="str">
        <x:v>Mission Saksham Anganwadi &amp; POSHAN 2.0</x:v>
      </x:c>
      <x:c r="I18" s="32" t="n">
        <x:v>46164</x:v>
      </x:c>
      <x:c r="J18" s="32" t="n">
        <x:v>46348</x:v>
      </x:c>
      <x:c r="K18" s="32"/>
      <x:c r="L18" s="26" t="str">
        <x:v>Active: On/After 01-Aug-2026</x:v>
      </x:c>
      <x:c r="M18" s="26" t="str">
        <x:v>Medium</x:v>
      </x:c>
      <x:c r="N18" s="26" t="str">
        <x:v>ECCE Equipment=Minor; Educational Needs=Minor; Electrical Infrastructure=Medium; Health and Safety aids=Minor; Office Needs=Minor</x:v>
      </x:c>
      <x:c r="O18" s="26" t="n">
        <x:v>1</x:v>
      </x:c>
      <x:c r="P18" s="26" t="str">
        <x:v>Sreeramulapalli (36687040422)</x:v>
      </x:c>
      <x:c r="Q18" s="26" t="str">
        <x:v>36687040422</x:v>
      </x:c>
      <x:c r="R18" s="26" t="n">
        <x:v>84</x:v>
      </x:c>
      <x:c r="S18" s="36" t="n">
        <x:v>50000</x:v>
      </x:c>
      <x:c r="T18" s="26" t="str">
        <x:v>Water Filter	
Gas Stove&amp; Regulator						
Pressure Cooker	
Slides	
Kids Chairs	
Fans &amp; Lights	
Storage Bins	
Egg &amp; Milk Storge Racks	
Digital GMD</x:v>
      </x:c>
      <x:c r="U18" s="26" t="str">
        <x:v>Water Filter	
Gas Stove&amp; Regulator						
Pressure Cooker	
Slides	
Kids Chairs	
Fans &amp; Lights	
Storage Bins	
Egg &amp; Milk Storge Racks	
Digital GMD</x:v>
      </x:c>
      <x:c r="V18" s="27" t="b">
        <x:v>1</x:v>
      </x:c>
      <x:c r="W18" s="26" t="n">
        <x:v>9</x:v>
      </x:c>
      <x:c r="X18" s="26" t="n">
        <x:v>0</x:v>
      </x:c>
      <x:c r="Y18" s="26" t="n">
        <x:f>SUMIF('Activity Detail'!$E$4:$E$706,F18,'Activity Detail'!$L$4:$L$706)</x:f>
        <x:v>61</x:v>
      </x:c>
      <x:c r="Z18" s="26" t="n">
        <x:f>SUMIF('Activity Detail'!$E$4:$E$706,F18,'Activity Detail'!$N$4:$N$706)</x:f>
        <x:v>0</x:v>
      </x:c>
      <x:c r="AA18" s="26" t="n">
        <x:f>MAX(Y18-Z18,0)</x:f>
        <x:v>61</x:v>
      </x:c>
      <x:c r="AB18" s="38" t="n">
        <x:f>IFERROR(Z18/Y18,0)</x:f>
        <x:v>0</x:v>
      </x:c>
      <x:c r="AC18" s="26" t="str">
        <x:v>Committed / Not Delivered</x:v>
      </x:c>
      <x:c r="AD18" s="26" t="str">
        <x:v>Approval not recorded in response</x:v>
      </x:c>
      <x:c r="AE18" s="27" t="b">
        <x:v>1</x:v>
      </x:c>
      <x:c r="AF18" s="34" t="n">
        <x:v>46220.017233796294</x:v>
      </x:c>
      <x:c r="AG18" s="34"/>
      <x:c r="AH18" s="26" t="str">
        <x:v>Fully enriched from attached Mulugu project JSON</x:v>
      </x:c>
      <x:c r="AI18" s="26" t="str"/>
      <x:c r="AJ18" s="26" t="str">
        <x:v>Not Started</x:v>
      </x:c>
      <x:c r="AK18" s="26" t="str"/>
      <x:c r="AL18" s="26" t="str"/>
    </x:row>
    <x:row r="19">
      <x:c r="A19" s="26" t="n">
        <x:v>16</x:v>
      </x:c>
      <x:c r="B19" s="26" t="n">
        <x:v>275</x:v>
      </x:c>
      <x:c r="C19" s="26" t="str">
        <x:v>Mulugu</x:v>
      </x:c>
      <x:c r="D19" s="26" t="str">
        <x:v>Telangana</x:v>
      </x:c>
      <x:c r="E19" s="26" t="n">
        <x:v>10774</x:v>
      </x:c>
      <x:c r="F19" s="26" t="str">
        <x:v>PRJ-2026-0010774</x:v>
      </x:c>
      <x:c r="G19" s="26" t="str">
        <x:v>AWC Chinnagunturupalli 2</x:v>
      </x:c>
      <x:c r="H19" s="26" t="str">
        <x:v>Mission Saksham Anganwadi &amp; POSHAN 2.0</x:v>
      </x:c>
      <x:c r="I19" s="32" t="n">
        <x:v>46164</x:v>
      </x:c>
      <x:c r="J19" s="32" t="n">
        <x:v>46348</x:v>
      </x:c>
      <x:c r="K19" s="32"/>
      <x:c r="L19" s="26" t="str">
        <x:v>Active: On/After 01-Aug-2026</x:v>
      </x:c>
      <x:c r="M19" s="26" t="str">
        <x:v>Medium</x:v>
      </x:c>
      <x:c r="N19" s="26" t="str">
        <x:v>ECCE Equipment=Minor; Educational Needs=Minor; Electrical Infrastructure=Medium; Health and Safety aids=Minor; Office Needs=Minor</x:v>
      </x:c>
      <x:c r="O19" s="26" t="n">
        <x:v>1</x:v>
      </x:c>
      <x:c r="P19" s="26" t="str">
        <x:v>Chinnagunturpalli -2 (36701020217)</x:v>
      </x:c>
      <x:c r="Q19" s="26" t="str">
        <x:v>36701020217</x:v>
      </x:c>
      <x:c r="R19" s="26" t="n">
        <x:v>27</x:v>
      </x:c>
      <x:c r="S19" s="36" t="n">
        <x:v>50000</x:v>
      </x:c>
      <x:c r="T19" s="26" t="str">
        <x:v>Water Filter	
Gas Stove&amp; Regulator						
Pressure Cooker	
Slides	
Kids Chairs	
Fans &amp; Lights	
Storage Bins	
Egg &amp; Milk Storge Racks	
Digital GMD</x:v>
      </x:c>
      <x:c r="U19" s="26" t="str">
        <x:v>Water Filter	
Gas Stove&amp; Regulator						
Pressure Cooker	
Slides	
Kids Chairs	
Fans &amp; Lights	
Storage Bins	
Egg &amp; Milk Storge Racks	
Digital GMD</x:v>
      </x:c>
      <x:c r="V19" s="27" t="b">
        <x:v>1</x:v>
      </x:c>
      <x:c r="W19" s="26" t="n">
        <x:v>7</x:v>
      </x:c>
      <x:c r="X19" s="26" t="n">
        <x:v>0</x:v>
      </x:c>
      <x:c r="Y19" s="26" t="n">
        <x:f>SUMIF('Activity Detail'!$E$4:$E$706,F19,'Activity Detail'!$L$4:$L$706)</x:f>
        <x:v>36</x:v>
      </x:c>
      <x:c r="Z19" s="26" t="n">
        <x:f>SUMIF('Activity Detail'!$E$4:$E$706,F19,'Activity Detail'!$N$4:$N$706)</x:f>
        <x:v>0</x:v>
      </x:c>
      <x:c r="AA19" s="26" t="n">
        <x:f>MAX(Y19-Z19,0)</x:f>
        <x:v>36</x:v>
      </x:c>
      <x:c r="AB19" s="38" t="n">
        <x:f>IFERROR(Z19/Y19,0)</x:f>
        <x:v>0</x:v>
      </x:c>
      <x:c r="AC19" s="26" t="str">
        <x:v>Committed / Not Delivered</x:v>
      </x:c>
      <x:c r="AD19" s="26" t="str">
        <x:v>Approval not recorded in response</x:v>
      </x:c>
      <x:c r="AE19" s="27" t="b">
        <x:v>1</x:v>
      </x:c>
      <x:c r="AF19" s="34" t="n">
        <x:v>46220.017222222225</x:v>
      </x:c>
      <x:c r="AG19" s="34"/>
      <x:c r="AH19" s="26" t="str">
        <x:v>Fully enriched from attached Mulugu project JSON</x:v>
      </x:c>
      <x:c r="AI19" s="26" t="str"/>
      <x:c r="AJ19" s="26" t="str">
        <x:v>Not Started</x:v>
      </x:c>
      <x:c r="AK19" s="26" t="str"/>
      <x:c r="AL19" s="26" t="str"/>
    </x:row>
    <x:row r="20">
      <x:c r="A20" s="26" t="n">
        <x:v>17</x:v>
      </x:c>
      <x:c r="B20" s="26" t="n">
        <x:v>276</x:v>
      </x:c>
      <x:c r="C20" s="26" t="str">
        <x:v>Mulugu</x:v>
      </x:c>
      <x:c r="D20" s="26" t="str">
        <x:v>Telangana</x:v>
      </x:c>
      <x:c r="E20" s="26" t="n">
        <x:v>10716</x:v>
      </x:c>
      <x:c r="F20" s="26" t="str">
        <x:v>PRJ-2026-0010716</x:v>
      </x:c>
      <x:c r="G20" s="26" t="str">
        <x:v>AWC Ramihnagarthanda</x:v>
      </x:c>
      <x:c r="H20" s="26" t="str">
        <x:v>Mission Saksham Anganwadi &amp; POSHAN 2.0</x:v>
      </x:c>
      <x:c r="I20" s="32" t="n">
        <x:v>46164</x:v>
      </x:c>
      <x:c r="J20" s="32" t="n">
        <x:v>46348</x:v>
      </x:c>
      <x:c r="K20" s="32"/>
      <x:c r="L20" s="26" t="str">
        <x:v>Active: On/After 01-Aug-2026</x:v>
      </x:c>
      <x:c r="M20" s="26" t="str">
        <x:v>Medium</x:v>
      </x:c>
      <x:c r="N20" s="26" t="str">
        <x:v>ECCE Equipment=Minor; Educational Needs=Minor; Electrical Infrastructure=Medium; Health and Safety aids=Minor; Office Needs=Minor</x:v>
      </x:c>
      <x:c r="O20" s="26" t="n">
        <x:v>1</x:v>
      </x:c>
      <x:c r="P20" s="26" t="str">
        <x:v>RAHIMNAGARTHANDA  (Mini) (36701020208)</x:v>
      </x:c>
      <x:c r="Q20" s="26" t="str">
        <x:v>36701020208</x:v>
      </x:c>
      <x:c r="R20" s="26" t="n">
        <x:v>24</x:v>
      </x:c>
      <x:c r="S20" s="36" t="n">
        <x:v>50000</x:v>
      </x:c>
      <x:c r="T20" s="26" t="str">
        <x:v>Water Filter	
Gas Stove&amp; Regulator						
Pressure Cooker	
Slides	
Kids Chairs	
Fans &amp; Lights	
Storage Bins	
Egg &amp; Milk Storge Racks	
Digital GMD</x:v>
      </x:c>
      <x:c r="U20" s="26" t="str">
        <x:v>Water Filter	
Gas Stove&amp; Regulator						
Pressure Cooker	
Slides	
Kids Chairs	
Fans &amp; Lights	
Storage Bins	
Egg &amp; Milk Storge Racks	
Digital GMD</x:v>
      </x:c>
      <x:c r="V20" s="27" t="b">
        <x:v>1</x:v>
      </x:c>
      <x:c r="W20" s="26" t="n">
        <x:v>7</x:v>
      </x:c>
      <x:c r="X20" s="26" t="n">
        <x:v>0</x:v>
      </x:c>
      <x:c r="Y20" s="26" t="n">
        <x:f>SUMIF('Activity Detail'!$E$4:$E$706,F20,'Activity Detail'!$L$4:$L$706)</x:f>
        <x:v>37</x:v>
      </x:c>
      <x:c r="Z20" s="26" t="n">
        <x:f>SUMIF('Activity Detail'!$E$4:$E$706,F20,'Activity Detail'!$N$4:$N$706)</x:f>
        <x:v>0</x:v>
      </x:c>
      <x:c r="AA20" s="26" t="n">
        <x:f>MAX(Y20-Z20,0)</x:f>
        <x:v>37</x:v>
      </x:c>
      <x:c r="AB20" s="38" t="n">
        <x:f>IFERROR(Z20/Y20,0)</x:f>
        <x:v>0</x:v>
      </x:c>
      <x:c r="AC20" s="26" t="str">
        <x:v>Committed / Not Delivered</x:v>
      </x:c>
      <x:c r="AD20" s="26" t="str">
        <x:v>Approval not recorded in response</x:v>
      </x:c>
      <x:c r="AE20" s="27" t="b">
        <x:v>1</x:v>
      </x:c>
      <x:c r="AF20" s="34" t="n">
        <x:v>46220.017222222225</x:v>
      </x:c>
      <x:c r="AG20" s="34"/>
      <x:c r="AH20" s="26" t="str">
        <x:v>Fully enriched from attached Mulugu project JSON</x:v>
      </x:c>
      <x:c r="AI20" s="26" t="str"/>
      <x:c r="AJ20" s="26" t="str">
        <x:v>Not Started</x:v>
      </x:c>
      <x:c r="AK20" s="26" t="str"/>
      <x:c r="AL20" s="26" t="str"/>
    </x:row>
    <x:row r="21">
      <x:c r="A21" s="26" t="n">
        <x:v>18</x:v>
      </x:c>
      <x:c r="B21" s="26" t="n">
        <x:v>273</x:v>
      </x:c>
      <x:c r="C21" s="26" t="str">
        <x:v>Mulugu</x:v>
      </x:c>
      <x:c r="D21" s="26" t="str">
        <x:v>Telangana</x:v>
      </x:c>
      <x:c r="E21" s="26" t="n">
        <x:v>11291</x:v>
      </x:c>
      <x:c r="F21" s="26" t="str">
        <x:v>PRJ-2026-0011291</x:v>
      </x:c>
      <x:c r="G21" s="26" t="str">
        <x:v>AWC Narsingapur</x:v>
      </x:c>
      <x:c r="H21" s="26" t="str">
        <x:v>Mission Saksham Anganwadi &amp; POSHAN 2.0</x:v>
      </x:c>
      <x:c r="I21" s="32" t="n">
        <x:v>46164</x:v>
      </x:c>
      <x:c r="J21" s="32" t="n">
        <x:v>46348</x:v>
      </x:c>
      <x:c r="K21" s="32"/>
      <x:c r="L21" s="26" t="str">
        <x:v>Active: On/After 01-Aug-2026</x:v>
      </x:c>
      <x:c r="M21" s="26" t="str">
        <x:v>Medium</x:v>
      </x:c>
      <x:c r="N21" s="26" t="str">
        <x:v>ECCE Equipment=Minor; Educational Needs=Minor; Electrical Infrastructure=Medium; Health and Safety aids=Minor; Office Needs=Minor</x:v>
      </x:c>
      <x:c r="O21" s="26" t="n">
        <x:v>1</x:v>
      </x:c>
      <x:c r="P21" s="26" t="str">
        <x:v>Narsingapur (36701020614)</x:v>
      </x:c>
      <x:c r="Q21" s="26" t="str">
        <x:v>36701020614</x:v>
      </x:c>
      <x:c r="R21" s="26" t="n">
        <x:v>49</x:v>
      </x:c>
      <x:c r="S21" s="36" t="n">
        <x:v>50000</x:v>
      </x:c>
      <x:c r="T21" s="26" t="str">
        <x:v>Water Filter	
Gas Stove&amp; Regulator
Pressure Cooker	
Slides	
Kids Chairs	
Fans &amp; Lights	
Storage Bins	
Egg &amp; Milk Storge Racks	
Digital GMD
</x:v>
      </x:c>
      <x:c r="U21" s="26" t="str">
        <x:v>Water Filter	
Gas Stove&amp; Regulator
Pressure Cooker	
Slides	
Kids Chairs	
Fans &amp; Lights	
Storage Bins	
Egg &amp; Milk Storge Racks	
Digital GMD
</x:v>
      </x:c>
      <x:c r="V21" s="27" t="b">
        <x:v>1</x:v>
      </x:c>
      <x:c r="W21" s="26" t="n">
        <x:v>7</x:v>
      </x:c>
      <x:c r="X21" s="26" t="n">
        <x:v>0</x:v>
      </x:c>
      <x:c r="Y21" s="26" t="n">
        <x:f>SUMIF('Activity Detail'!$E$4:$E$706,F21,'Activity Detail'!$L$4:$L$706)</x:f>
        <x:v>37</x:v>
      </x:c>
      <x:c r="Z21" s="26" t="n">
        <x:f>SUMIF('Activity Detail'!$E$4:$E$706,F21,'Activity Detail'!$N$4:$N$706)</x:f>
        <x:v>0</x:v>
      </x:c>
      <x:c r="AA21" s="26" t="n">
        <x:f>MAX(Y21-Z21,0)</x:f>
        <x:v>37</x:v>
      </x:c>
      <x:c r="AB21" s="38" t="n">
        <x:f>IFERROR(Z21/Y21,0)</x:f>
        <x:v>0</x:v>
      </x:c>
      <x:c r="AC21" s="26" t="str">
        <x:v>Committed / Not Delivered</x:v>
      </x:c>
      <x:c r="AD21" s="26" t="str">
        <x:v>Approval not recorded in response</x:v>
      </x:c>
      <x:c r="AE21" s="27" t="b">
        <x:v>1</x:v>
      </x:c>
      <x:c r="AF21" s="34" t="n">
        <x:v>46220.01721064815</x:v>
      </x:c>
      <x:c r="AG21" s="34"/>
      <x:c r="AH21" s="26" t="str">
        <x:v>Fully enriched from attached Mulugu project JSON</x:v>
      </x:c>
      <x:c r="AI21" s="26" t="str"/>
      <x:c r="AJ21" s="26" t="str">
        <x:v>Not Started</x:v>
      </x:c>
      <x:c r="AK21" s="26" t="str"/>
      <x:c r="AL21" s="26" t="str"/>
    </x:row>
    <x:row r="22">
      <x:c r="A22" s="26" t="n">
        <x:v>19</x:v>
      </x:c>
      <x:c r="B22" s="26" t="n">
        <x:v>274</x:v>
      </x:c>
      <x:c r="C22" s="26" t="str">
        <x:v>Mulugu</x:v>
      </x:c>
      <x:c r="D22" s="26" t="str">
        <x:v>Telangana</x:v>
      </x:c>
      <x:c r="E22" s="26" t="n">
        <x:v>10963</x:v>
      </x:c>
      <x:c r="F22" s="26" t="str">
        <x:v>PRJ-2026-0010963</x:v>
      </x:c>
      <x:c r="G22" s="26" t="str">
        <x:v>AWC Andugulamani</x:v>
      </x:c>
      <x:c r="H22" s="26" t="str">
        <x:v>Mission Saksham Anganwadi &amp; POSHAN 2.0</x:v>
      </x:c>
      <x:c r="I22" s="32" t="n">
        <x:v>46164</x:v>
      </x:c>
      <x:c r="J22" s="32" t="n">
        <x:v>46348</x:v>
      </x:c>
      <x:c r="K22" s="32"/>
      <x:c r="L22" s="26" t="str">
        <x:v>Active: On/After 01-Aug-2026</x:v>
      </x:c>
      <x:c r="M22" s="26" t="str">
        <x:v>Medium</x:v>
      </x:c>
      <x:c r="N22" s="26" t="str">
        <x:v>ECCE Equipment=Minor; Educational Needs=Minor; Electrical Infrastructure=Medium; Health and Safety aids=Minor; Office Needs=Minor</x:v>
      </x:c>
      <x:c r="O22" s="26" t="n">
        <x:v>1</x:v>
      </x:c>
      <x:c r="P22" s="26" t="str">
        <x:v>Andugulamani (36701020625)</x:v>
      </x:c>
      <x:c r="Q22" s="26" t="str">
        <x:v>36701020625</x:v>
      </x:c>
      <x:c r="R22" s="26" t="n">
        <x:v>51</x:v>
      </x:c>
      <x:c r="S22" s="36" t="n">
        <x:v>50000</x:v>
      </x:c>
      <x:c r="T22" s="26" t="str">
        <x:v>Water Filter	
Gas Stove&amp; Regulator
Pressure Cooker	
Slides	
Kids Chairs	
Fans &amp; Lights	
Storage Bins	
Egg &amp; Milk Storge Racks	
Digital GMD
</x:v>
      </x:c>
      <x:c r="U22" s="26" t="str">
        <x:v>Water Filter	
Gas Stove&amp; Regulator
Pressure Cooker	
Slides	
Kids Chairs	
Fans &amp; Lights	
Storage Bins	
Egg &amp; Milk Storge Racks	
Digital GMD
</x:v>
      </x:c>
      <x:c r="V22" s="27" t="b">
        <x:v>1</x:v>
      </x:c>
      <x:c r="W22" s="26" t="n">
        <x:v>8</x:v>
      </x:c>
      <x:c r="X22" s="26" t="n">
        <x:v>0</x:v>
      </x:c>
      <x:c r="Y22" s="26" t="n">
        <x:f>SUMIF('Activity Detail'!$E$4:$E$706,F22,'Activity Detail'!$L$4:$L$706)</x:f>
        <x:v>38</x:v>
      </x:c>
      <x:c r="Z22" s="26" t="n">
        <x:f>SUMIF('Activity Detail'!$E$4:$E$706,F22,'Activity Detail'!$N$4:$N$706)</x:f>
        <x:v>0</x:v>
      </x:c>
      <x:c r="AA22" s="26" t="n">
        <x:f>MAX(Y22-Z22,0)</x:f>
        <x:v>38</x:v>
      </x:c>
      <x:c r="AB22" s="38" t="n">
        <x:f>IFERROR(Z22/Y22,0)</x:f>
        <x:v>0</x:v>
      </x:c>
      <x:c r="AC22" s="26" t="str">
        <x:v>Committed / Not Delivered</x:v>
      </x:c>
      <x:c r="AD22" s="26" t="str">
        <x:v>Approval not recorded in response</x:v>
      </x:c>
      <x:c r="AE22" s="27" t="b">
        <x:v>1</x:v>
      </x:c>
      <x:c r="AF22" s="34" t="n">
        <x:v>46220.01721064815</x:v>
      </x:c>
      <x:c r="AG22" s="34"/>
      <x:c r="AH22" s="26" t="str">
        <x:v>Fully enriched from attached Mulugu project JSON</x:v>
      </x:c>
      <x:c r="AI22" s="26" t="str"/>
      <x:c r="AJ22" s="26" t="str">
        <x:v>Not Started</x:v>
      </x:c>
      <x:c r="AK22" s="26" t="str"/>
      <x:c r="AL22" s="26" t="str"/>
    </x:row>
    <x:row r="23">
      <x:c r="A23" s="26" t="n">
        <x:v>20</x:v>
      </x:c>
      <x:c r="B23" s="26" t="n">
        <x:v>271</x:v>
      </x:c>
      <x:c r="C23" s="26" t="str">
        <x:v>Mulugu</x:v>
      </x:c>
      <x:c r="D23" s="26" t="str">
        <x:v>Telangana</x:v>
      </x:c>
      <x:c r="E23" s="26" t="n">
        <x:v>11328</x:v>
      </x:c>
      <x:c r="F23" s="26" t="str">
        <x:v>PRJ-2026-0011328</x:v>
      </x:c>
      <x:c r="G23" s="26" t="str">
        <x:v>AWC Lingapur</x:v>
      </x:c>
      <x:c r="H23" s="26" t="str">
        <x:v>Mission Saksham Anganwadi &amp; POSHAN 2.0</x:v>
      </x:c>
      <x:c r="I23" s="32" t="n">
        <x:v>46164</x:v>
      </x:c>
      <x:c r="J23" s="32" t="n">
        <x:v>46348</x:v>
      </x:c>
      <x:c r="K23" s="32"/>
      <x:c r="L23" s="26" t="str">
        <x:v>Active: On/After 01-Aug-2026</x:v>
      </x:c>
      <x:c r="M23" s="26" t="str">
        <x:v>Medium</x:v>
      </x:c>
      <x:c r="N23" s="26" t="str">
        <x:v>ECCE Equipment=Minor; Educational Needs=Minor; Electrical Infrastructure=Medium; Health and Safety aids=Minor; Office Needs=Minor</x:v>
      </x:c>
      <x:c r="O23" s="26" t="n">
        <x:v>1</x:v>
      </x:c>
      <x:c r="P23" s="26" t="str">
        <x:v>Lingapur (36701020618)</x:v>
      </x:c>
      <x:c r="Q23" s="26" t="str">
        <x:v>36701020618</x:v>
      </x:c>
      <x:c r="R23" s="26" t="n">
        <x:v>35</x:v>
      </x:c>
      <x:c r="S23" s="36" t="n">
        <x:v>50000</x:v>
      </x:c>
      <x:c r="T23" s="26" t="str">
        <x:v>Water Filter	
Gas Stove&amp; Regulator
Pressure Cooker	
Slides	
Kids Chairs	
Fans &amp; Lights	
Storage Bins	
Egg &amp; Milk Storge Racks	
Digital GMD
</x:v>
      </x:c>
      <x:c r="U23" s="26" t="str">
        <x:v>Water Filter	
Gas Stove&amp; Regulator
Pressure Cooker	
Slides	
Kids Chairs	
Fans &amp; Lights	
Storage Bins	
Egg &amp; Milk Storge Racks	
Digital GMD
</x:v>
      </x:c>
      <x:c r="V23" s="27" t="b">
        <x:v>1</x:v>
      </x:c>
      <x:c r="W23" s="26" t="n">
        <x:v>7</x:v>
      </x:c>
      <x:c r="X23" s="26" t="n">
        <x:v>0</x:v>
      </x:c>
      <x:c r="Y23" s="26" t="n">
        <x:f>SUMIF('Activity Detail'!$E$4:$E$706,F23,'Activity Detail'!$L$4:$L$706)</x:f>
        <x:v>37</x:v>
      </x:c>
      <x:c r="Z23" s="26" t="n">
        <x:f>SUMIF('Activity Detail'!$E$4:$E$706,F23,'Activity Detail'!$N$4:$N$706)</x:f>
        <x:v>0</x:v>
      </x:c>
      <x:c r="AA23" s="26" t="n">
        <x:f>MAX(Y23-Z23,0)</x:f>
        <x:v>37</x:v>
      </x:c>
      <x:c r="AB23" s="38" t="n">
        <x:f>IFERROR(Z23/Y23,0)</x:f>
        <x:v>0</x:v>
      </x:c>
      <x:c r="AC23" s="26" t="str">
        <x:v>Committed / Not Delivered</x:v>
      </x:c>
      <x:c r="AD23" s="26" t="str">
        <x:v>Approval not recorded in response</x:v>
      </x:c>
      <x:c r="AE23" s="27" t="b">
        <x:v>1</x:v>
      </x:c>
      <x:c r="AF23" s="34" t="n">
        <x:v>46220.01719907407</x:v>
      </x:c>
      <x:c r="AG23" s="34"/>
      <x:c r="AH23" s="26" t="str">
        <x:v>Fully enriched from attached Mulugu project JSON</x:v>
      </x:c>
      <x:c r="AI23" s="26" t="str"/>
      <x:c r="AJ23" s="26" t="str">
        <x:v>Not Started</x:v>
      </x:c>
      <x:c r="AK23" s="26" t="str"/>
      <x:c r="AL23" s="26" t="str"/>
    </x:row>
    <x:row r="24">
      <x:c r="A24" s="26" t="n">
        <x:v>21</x:v>
      </x:c>
      <x:c r="B24" s="26" t="n">
        <x:v>272</x:v>
      </x:c>
      <x:c r="C24" s="26" t="str">
        <x:v>Mulugu</x:v>
      </x:c>
      <x:c r="D24" s="26" t="str">
        <x:v>Telangana</x:v>
      </x:c>
      <x:c r="E24" s="26" t="n">
        <x:v>11378</x:v>
      </x:c>
      <x:c r="F24" s="26" t="str">
        <x:v>PRJ-2026-0011378</x:v>
      </x:c>
      <x:c r="G24" s="26" t="str">
        <x:v>Muppanapally-I.</x:v>
      </x:c>
      <x:c r="H24" s="26" t="str">
        <x:v>Mission Saksham Anganwadi &amp; POSHAN 2.0</x:v>
      </x:c>
      <x:c r="I24" s="32" t="n">
        <x:v>46164</x:v>
      </x:c>
      <x:c r="J24" s="32" t="n">
        <x:v>46347</x:v>
      </x:c>
      <x:c r="K24" s="32"/>
      <x:c r="L24" s="26" t="str">
        <x:v>Active: On/After 01-Aug-2026</x:v>
      </x:c>
      <x:c r="M24" s="26" t="str">
        <x:v>Medium</x:v>
      </x:c>
      <x:c r="N24" s="26" t="str">
        <x:v>ECCE Equipment=Minor; Educational Needs=Minor; Electrical Infrastructure=Medium; Health and Safety aids=Minor</x:v>
      </x:c>
      <x:c r="O24" s="26" t="n">
        <x:v>1</x:v>
      </x:c>
      <x:c r="P24" s="26" t="str">
        <x:v>Muppanapally - I (36701010509)</x:v>
      </x:c>
      <x:c r="Q24" s="26" t="str">
        <x:v>36701010509</x:v>
      </x:c>
      <x:c r="R24" s="26" t="n">
        <x:v>16</x:v>
      </x:c>
      <x:c r="S24" s="36" t="n">
        <x:v>50000</x:v>
      </x:c>
      <x:c r="T24" s="26" t="str">
        <x:v>Gas double burners and regulators, Milk storage bins, Fans, Digital CMD, Baby Scales</x:v>
      </x:c>
      <x:c r="U24" s="26" t="str">
        <x:v>Improved hygiene, child-friendly environment, enhanced early childhood learning, safe drinking water access, better nutrition awareness and improved attendance of children at Anganwadi Centres</x:v>
      </x:c>
      <x:c r="V24" s="27" t="b">
        <x:v>1</x:v>
      </x:c>
      <x:c r="W24" s="26" t="n">
        <x:v>6</x:v>
      </x:c>
      <x:c r="X24" s="26" t="n">
        <x:v>0</x:v>
      </x:c>
      <x:c r="Y24" s="26" t="n">
        <x:f>SUMIF('Activity Detail'!$E$4:$E$706,F24,'Activity Detail'!$L$4:$L$706)</x:f>
        <x:v>53</x:v>
      </x:c>
      <x:c r="Z24" s="26" t="n">
        <x:f>SUMIF('Activity Detail'!$E$4:$E$706,F24,'Activity Detail'!$N$4:$N$706)</x:f>
        <x:v>0</x:v>
      </x:c>
      <x:c r="AA24" s="26" t="n">
        <x:f>MAX(Y24-Z24,0)</x:f>
        <x:v>53</x:v>
      </x:c>
      <x:c r="AB24" s="38" t="n">
        <x:f>IFERROR(Z24/Y24,0)</x:f>
        <x:v>0</x:v>
      </x:c>
      <x:c r="AC24" s="26" t="str">
        <x:v>Committed / Not Delivered</x:v>
      </x:c>
      <x:c r="AD24" s="26" t="str">
        <x:v>Approval not recorded in response</x:v>
      </x:c>
      <x:c r="AE24" s="27" t="b">
        <x:v>1</x:v>
      </x:c>
      <x:c r="AF24" s="34" t="n">
        <x:v>46220.01719907407</x:v>
      </x:c>
      <x:c r="AG24" s="34"/>
      <x:c r="AH24" s="26" t="str">
        <x:v>Fully enriched from attached Mulugu project JSON</x:v>
      </x:c>
      <x:c r="AI24" s="26" t="str"/>
      <x:c r="AJ24" s="26" t="str">
        <x:v>Not Started</x:v>
      </x:c>
      <x:c r="AK24" s="26" t="str"/>
      <x:c r="AL24" s="26" t="str"/>
    </x:row>
    <x:row r="25">
      <x:c r="A25" s="26" t="n">
        <x:v>22</x:v>
      </x:c>
      <x:c r="B25" s="26" t="n">
        <x:v>269</x:v>
      </x:c>
      <x:c r="C25" s="26" t="str">
        <x:v>Mulugu</x:v>
      </x:c>
      <x:c r="D25" s="26" t="str">
        <x:v>Telangana</x:v>
      </x:c>
      <x:c r="E25" s="26" t="n">
        <x:v>11743</x:v>
      </x:c>
      <x:c r="F25" s="26" t="str">
        <x:v>PRJ-2026-0011743</x:v>
      </x:c>
      <x:c r="G25" s="26" t="str">
        <x:v>AWC Thimmapur I</x:v>
      </x:c>
      <x:c r="H25" s="26" t="str">
        <x:v>Mission Saksham Anganwadi &amp; POSHAN 2.0</x:v>
      </x:c>
      <x:c r="I25" s="32" t="n">
        <x:v>46164</x:v>
      </x:c>
      <x:c r="J25" s="32" t="n">
        <x:v>46348</x:v>
      </x:c>
      <x:c r="K25" s="32"/>
      <x:c r="L25" s="26" t="str">
        <x:v>Active: On/After 01-Aug-2026</x:v>
      </x:c>
      <x:c r="M25" s="26" t="str">
        <x:v>Medium</x:v>
      </x:c>
      <x:c r="N25" s="26" t="str">
        <x:v>ECCE Equipment=Minor; Educational Needs=Minor; Electrical Infrastructure=Medium; Health and Safety aids=Minor; Office Needs=Minor</x:v>
      </x:c>
      <x:c r="O25" s="26" t="n">
        <x:v>1</x:v>
      </x:c>
      <x:c r="P25" s="26" t="str">
        <x:v>Thimmapur-1 (36701020608)</x:v>
      </x:c>
      <x:c r="Q25" s="26" t="str">
        <x:v>36701020608</x:v>
      </x:c>
      <x:c r="R25" s="26" t="n">
        <x:v>26</x:v>
      </x:c>
      <x:c r="S25" s="36" t="n">
        <x:v>50000</x:v>
      </x:c>
      <x:c r="T25" s="26" t="str">
        <x:v>Water Filter	
Gas Stove&amp; Regulator
Pressure Cooker	
Slides	
Kids Chairs	
Fans &amp; Lights	
Storage Bins	
Egg &amp; Milk Storge Racks	
Digital GMD
</x:v>
      </x:c>
      <x:c r="U25" s="26" t="str">
        <x:v>Water Filter	
Gas Stove&amp; Regulator
Pressure Cooker	
Slides	
Kids Chairs	
Fans &amp; Lights	
Storage Bins	
Egg &amp; Milk Storge Racks	
Digital GMD
</x:v>
      </x:c>
      <x:c r="V25" s="27" t="b">
        <x:v>1</x:v>
      </x:c>
      <x:c r="W25" s="26" t="n">
        <x:v>7</x:v>
      </x:c>
      <x:c r="X25" s="26" t="n">
        <x:v>0</x:v>
      </x:c>
      <x:c r="Y25" s="26" t="n">
        <x:f>SUMIF('Activity Detail'!$E$4:$E$706,F25,'Activity Detail'!$L$4:$L$706)</x:f>
        <x:v>36</x:v>
      </x:c>
      <x:c r="Z25" s="26" t="n">
        <x:f>SUMIF('Activity Detail'!$E$4:$E$706,F25,'Activity Detail'!$N$4:$N$706)</x:f>
        <x:v>0</x:v>
      </x:c>
      <x:c r="AA25" s="26" t="n">
        <x:f>MAX(Y25-Z25,0)</x:f>
        <x:v>36</x:v>
      </x:c>
      <x:c r="AB25" s="38" t="n">
        <x:f>IFERROR(Z25/Y25,0)</x:f>
        <x:v>0</x:v>
      </x:c>
      <x:c r="AC25" s="26" t="str">
        <x:v>Committed / Not Delivered</x:v>
      </x:c>
      <x:c r="AD25" s="26" t="str">
        <x:v>Approval not recorded in response</x:v>
      </x:c>
      <x:c r="AE25" s="27" t="b">
        <x:v>1</x:v>
      </x:c>
      <x:c r="AF25" s="34" t="n">
        <x:v>46220.0171875</x:v>
      </x:c>
      <x:c r="AG25" s="34"/>
      <x:c r="AH25" s="26" t="str">
        <x:v>Fully enriched from attached Mulugu project JSON</x:v>
      </x:c>
      <x:c r="AI25" s="26" t="str"/>
      <x:c r="AJ25" s="26" t="str">
        <x:v>Not Started</x:v>
      </x:c>
      <x:c r="AK25" s="26" t="str"/>
      <x:c r="AL25" s="26" t="str"/>
    </x:row>
    <x:row r="26">
      <x:c r="A26" s="26" t="n">
        <x:v>23</x:v>
      </x:c>
      <x:c r="B26" s="26" t="n">
        <x:v>270</x:v>
      </x:c>
      <x:c r="C26" s="26" t="str">
        <x:v>Mulugu</x:v>
      </x:c>
      <x:c r="D26" s="26" t="str">
        <x:v>Telangana</x:v>
      </x:c>
      <x:c r="E26" s="26" t="n">
        <x:v>11421</x:v>
      </x:c>
      <x:c r="F26" s="26" t="str">
        <x:v>PRJ-2026-0011421</x:v>
      </x:c>
      <x:c r="G26" s="26" t="str">
        <x:v>AWC YellareddyPalli</x:v>
      </x:c>
      <x:c r="H26" s="26" t="str">
        <x:v>Mission Saksham Anganwadi &amp; POSHAN 2.0</x:v>
      </x:c>
      <x:c r="I26" s="32" t="n">
        <x:v>46164</x:v>
      </x:c>
      <x:c r="J26" s="32" t="n">
        <x:v>46348</x:v>
      </x:c>
      <x:c r="K26" s="32"/>
      <x:c r="L26" s="26" t="str">
        <x:v>Active: On/After 01-Aug-2026</x:v>
      </x:c>
      <x:c r="M26" s="26" t="str">
        <x:v>Medium</x:v>
      </x:c>
      <x:c r="N26" s="26" t="str">
        <x:v>ECCE Equipment=Minor; Educational Needs=Minor; Electrical Infrastructure=Medium; Health and Safety aids=Minor; Office Needs=Minor</x:v>
      </x:c>
      <x:c r="O26" s="26" t="n">
        <x:v>1</x:v>
      </x:c>
      <x:c r="P26" s="26" t="str">
        <x:v>Yellareddypalli (36701020601)</x:v>
      </x:c>
      <x:c r="Q26" s="26" t="str">
        <x:v>36701020601</x:v>
      </x:c>
      <x:c r="R26" s="26" t="n">
        <x:v>50</x:v>
      </x:c>
      <x:c r="S26" s="36" t="n">
        <x:v>50000</x:v>
      </x:c>
      <x:c r="T26" s="26" t="str">
        <x:v>Water Filter	
Gas Stove&amp; Regulator
Pressure Cooker	
Slides	
Kids Chairs	
Fans &amp; Lights	
Storage Bins	
Egg &amp; Milk Storge Racks	
Digital GMD
</x:v>
      </x:c>
      <x:c r="U26" s="26" t="str">
        <x:v>Water Filter	
Gas Stove&amp; Regulator
Pressure Cooker	
Slides	
Kids Chairs	
Fans &amp; Lights	
Storage Bins	
Egg &amp; Milk Storge Racks	
Digital GMD
</x:v>
      </x:c>
      <x:c r="V26" s="27" t="b">
        <x:v>1</x:v>
      </x:c>
      <x:c r="W26" s="26" t="n">
        <x:v>7</x:v>
      </x:c>
      <x:c r="X26" s="26" t="n">
        <x:v>0</x:v>
      </x:c>
      <x:c r="Y26" s="26" t="n">
        <x:f>SUMIF('Activity Detail'!$E$4:$E$706,F26,'Activity Detail'!$L$4:$L$706)</x:f>
        <x:v>36</x:v>
      </x:c>
      <x:c r="Z26" s="26" t="n">
        <x:f>SUMIF('Activity Detail'!$E$4:$E$706,F26,'Activity Detail'!$N$4:$N$706)</x:f>
        <x:v>0</x:v>
      </x:c>
      <x:c r="AA26" s="26" t="n">
        <x:f>MAX(Y26-Z26,0)</x:f>
        <x:v>36</x:v>
      </x:c>
      <x:c r="AB26" s="38" t="n">
        <x:f>IFERROR(Z26/Y26,0)</x:f>
        <x:v>0</x:v>
      </x:c>
      <x:c r="AC26" s="26" t="str">
        <x:v>Committed / Not Delivered</x:v>
      </x:c>
      <x:c r="AD26" s="26" t="str">
        <x:v>Approval not recorded in response</x:v>
      </x:c>
      <x:c r="AE26" s="27" t="b">
        <x:v>1</x:v>
      </x:c>
      <x:c r="AF26" s="34" t="n">
        <x:v>46220.0171875</x:v>
      </x:c>
      <x:c r="AG26" s="34"/>
      <x:c r="AH26" s="26" t="str">
        <x:v>Fully enriched from attached Mulugu project JSON</x:v>
      </x:c>
      <x:c r="AI26" s="26" t="str"/>
      <x:c r="AJ26" s="26" t="str">
        <x:v>Not Started</x:v>
      </x:c>
      <x:c r="AK26" s="26" t="str"/>
      <x:c r="AL26" s="26" t="str"/>
    </x:row>
    <x:row r="27">
      <x:c r="A27" s="26" t="n">
        <x:v>24</x:v>
      </x:c>
      <x:c r="B27" s="26" t="n">
        <x:v>268</x:v>
      </x:c>
      <x:c r="C27" s="26" t="str">
        <x:v>Mulugu</x:v>
      </x:c>
      <x:c r="D27" s="26" t="str">
        <x:v>Telangana</x:v>
      </x:c>
      <x:c r="E27" s="26" t="n">
        <x:v>11841</x:v>
      </x:c>
      <x:c r="F27" s="26" t="str">
        <x:v>PRJ-2026-0011841</x:v>
      </x:c>
      <x:c r="G27" s="26" t="str">
        <x:v>AWC  Lambadipally</x:v>
      </x:c>
      <x:c r="H27" s="26" t="str">
        <x:v>Mission Saksham Anganwadi &amp; POSHAN 2.0</x:v>
      </x:c>
      <x:c r="I27" s="32" t="n">
        <x:v>46164</x:v>
      </x:c>
      <x:c r="J27" s="32" t="n">
        <x:v>46348</x:v>
      </x:c>
      <x:c r="K27" s="32"/>
      <x:c r="L27" s="26" t="str">
        <x:v>Active: On/After 01-Aug-2026</x:v>
      </x:c>
      <x:c r="M27" s="26" t="str">
        <x:v>Medium</x:v>
      </x:c>
      <x:c r="N27" s="26" t="str">
        <x:v>ECCE Equipment=Minor; Electrical Infrastructure=Medium; Health and Safety aids=Minor; Office Needs=Minor</x:v>
      </x:c>
      <x:c r="O27" s="26" t="n">
        <x:v>1</x:v>
      </x:c>
      <x:c r="P27" s="26" t="str">
        <x:v>Lambadpally (36701020620)</x:v>
      </x:c>
      <x:c r="Q27" s="26" t="str">
        <x:v>36701020620</x:v>
      </x:c>
      <x:c r="R27" s="26" t="n">
        <x:v>48</x:v>
      </x:c>
      <x:c r="S27" s="36" t="n">
        <x:v>50000</x:v>
      </x:c>
      <x:c r="T27" s="26" t="str">
        <x:v>Water Filter	
Gas Stove&amp; Regulator
Pressure Cooker	
Slides	
Kids Chairs	
Fans &amp; Lights	
Storage Bins	
Egg &amp; Milk Storge Racks	
Digital GMD
</x:v>
      </x:c>
      <x:c r="U27" s="26" t="str">
        <x:v>Water Filter	
Gas Stove&amp; Regulator
Pressure Cooker	
Slides	
Kids Chairs	
Fans &amp; Lights	
Storage Bins	
Egg &amp; Milk Storge Racks	
Digital GMD
</x:v>
      </x:c>
      <x:c r="V27" s="27" t="b">
        <x:v>1</x:v>
      </x:c>
      <x:c r="W27" s="26" t="n">
        <x:v>6</x:v>
      </x:c>
      <x:c r="X27" s="26" t="n">
        <x:v>0</x:v>
      </x:c>
      <x:c r="Y27" s="26" t="n">
        <x:f>SUMIF('Activity Detail'!$E$4:$E$706,F27,'Activity Detail'!$L$4:$L$706)</x:f>
        <x:v>27</x:v>
      </x:c>
      <x:c r="Z27" s="26" t="n">
        <x:f>SUMIF('Activity Detail'!$E$4:$E$706,F27,'Activity Detail'!$N$4:$N$706)</x:f>
        <x:v>0</x:v>
      </x:c>
      <x:c r="AA27" s="26" t="n">
        <x:f>MAX(Y27-Z27,0)</x:f>
        <x:v>27</x:v>
      </x:c>
      <x:c r="AB27" s="38" t="n">
        <x:f>IFERROR(Z27/Y27,0)</x:f>
        <x:v>0</x:v>
      </x:c>
      <x:c r="AC27" s="26" t="str">
        <x:v>Committed / Not Delivered</x:v>
      </x:c>
      <x:c r="AD27" s="26" t="str">
        <x:v>Approval not recorded in response</x:v>
      </x:c>
      <x:c r="AE27" s="27" t="b">
        <x:v>1</x:v>
      </x:c>
      <x:c r="AF27" s="34" t="n">
        <x:v>46220.017175925925</x:v>
      </x:c>
      <x:c r="AG27" s="34"/>
      <x:c r="AH27" s="26" t="str">
        <x:v>Fully enriched from attached Mulugu project JSON</x:v>
      </x:c>
      <x:c r="AI27" s="26" t="str"/>
      <x:c r="AJ27" s="26" t="str">
        <x:v>Not Started</x:v>
      </x:c>
      <x:c r="AK27" s="26" t="str"/>
      <x:c r="AL27" s="26" t="str"/>
    </x:row>
    <x:row r="28">
      <x:c r="A28" s="26" t="n">
        <x:v>25</x:v>
      </x:c>
      <x:c r="B28" s="26" t="n">
        <x:v>266</x:v>
      </x:c>
      <x:c r="C28" s="26" t="str">
        <x:v>Mulugu</x:v>
      </x:c>
      <x:c r="D28" s="26" t="str">
        <x:v>Telangana</x:v>
      </x:c>
      <x:c r="E28" s="26" t="n">
        <x:v>13054</x:v>
      </x:c>
      <x:c r="F28" s="26" t="str">
        <x:v>PRJ-2026-0013054</x:v>
      </x:c>
      <x:c r="G28" s="26" t="str">
        <x:v>AWC Infrastructure</x:v>
      </x:c>
      <x:c r="H28" s="26" t="str">
        <x:v>Mission Saksham Anganwadi &amp; POSHAN 2.0</x:v>
      </x:c>
      <x:c r="I28" s="32" t="n">
        <x:v>46165</x:v>
      </x:c>
      <x:c r="J28" s="32" t="n">
        <x:v>46349</x:v>
      </x:c>
      <x:c r="K28" s="32"/>
      <x:c r="L28" s="26" t="str">
        <x:v>Active: On/After 01-Aug-2026</x:v>
      </x:c>
      <x:c r="M28" s="26" t="str">
        <x:v>Medium</x:v>
      </x:c>
      <x:c r="N28" s="26" t="str">
        <x:v>Digital Infrastructure=Medium; Health and Safety aids=Minor</x:v>
      </x:c>
      <x:c r="O28" s="26" t="n">
        <x:v>1</x:v>
      </x:c>
      <x:c r="P28" s="26" t="str">
        <x:v>Churchipeta (Mini) (36701040619)</x:v>
      </x:c>
      <x:c r="Q28" s="26" t="str">
        <x:v>36701040619</x:v>
      </x:c>
      <x:c r="R28" s="26" t="n">
        <x:v>21</x:v>
      </x:c>
      <x:c r="S28" s="36" t="n">
        <x:v>50000</x:v>
      </x:c>
      <x:c r="T28" s="26" t="str">
        <x:v>Gas stove, regulator 	Water Filter			Digital GMD	Rain Water Harvesting System	Poshan Vatika
</x:v>
      </x:c>
      <x:c r="U28" s="26" t="str">
        <x:v>Gas stove, regulator 	Water Filter			Digital GMD	Rain Water Harvesting System	Poshan Vatika
</x:v>
      </x:c>
      <x:c r="V28" s="27" t="b">
        <x:v>0</x:v>
      </x:c>
      <x:c r="W28" s="26" t="n">
        <x:v>2</x:v>
      </x:c>
      <x:c r="X28" s="26" t="n">
        <x:v>0</x:v>
      </x:c>
      <x:c r="Y28" s="26" t="n">
        <x:f>SUMIF('Activity Detail'!$E$4:$E$706,F28,'Activity Detail'!$L$4:$L$706)</x:f>
        <x:v>2</x:v>
      </x:c>
      <x:c r="Z28" s="26" t="n">
        <x:f>SUMIF('Activity Detail'!$E$4:$E$706,F28,'Activity Detail'!$N$4:$N$706)</x:f>
        <x:v>0</x:v>
      </x:c>
      <x:c r="AA28" s="26" t="n">
        <x:f>MAX(Y28-Z28,0)</x:f>
        <x:v>2</x:v>
      </x:c>
      <x:c r="AB28" s="38" t="n">
        <x:f>IFERROR(Z28/Y28,0)</x:f>
        <x:v>0</x:v>
      </x:c>
      <x:c r="AC28" s="26" t="str">
        <x:v>Committed / Not Delivered</x:v>
      </x:c>
      <x:c r="AD28" s="26" t="str">
        <x:v>Approval not recorded in response</x:v>
      </x:c>
      <x:c r="AE28" s="27" t="b">
        <x:v>1</x:v>
      </x:c>
      <x:c r="AF28" s="34" t="n">
        <x:v>46220.017164351855</x:v>
      </x:c>
      <x:c r="AG28" s="34"/>
      <x:c r="AH28" s="26" t="str">
        <x:v>Fully enriched from attached Mulugu project JSON</x:v>
      </x:c>
      <x:c r="AI28" s="26" t="str"/>
      <x:c r="AJ28" s="26" t="str">
        <x:v>Not Started</x:v>
      </x:c>
      <x:c r="AK28" s="26" t="str"/>
      <x:c r="AL28" s="26" t="str"/>
    </x:row>
    <x:row r="29">
      <x:c r="A29" s="26" t="n">
        <x:v>26</x:v>
      </x:c>
      <x:c r="B29" s="26" t="n">
        <x:v>267</x:v>
      </x:c>
      <x:c r="C29" s="26" t="str">
        <x:v>Mulugu</x:v>
      </x:c>
      <x:c r="D29" s="26" t="str">
        <x:v>Telangana</x:v>
      </x:c>
      <x:c r="E29" s="26" t="n">
        <x:v>13051</x:v>
      </x:c>
      <x:c r="F29" s="26" t="str">
        <x:v>PRJ-2026-0013051</x:v>
      </x:c>
      <x:c r="G29" s="26" t="str">
        <x:v>AWC Infrastructure</x:v>
      </x:c>
      <x:c r="H29" s="26" t="str">
        <x:v>Mission Saksham Anganwadi &amp; POSHAN 2.0</x:v>
      </x:c>
      <x:c r="I29" s="32" t="n">
        <x:v>46165</x:v>
      </x:c>
      <x:c r="J29" s="32" t="n">
        <x:v>46349</x:v>
      </x:c>
      <x:c r="K29" s="32"/>
      <x:c r="L29" s="26" t="str">
        <x:v>Active: On/After 01-Aug-2026</x:v>
      </x:c>
      <x:c r="M29" s="26" t="str">
        <x:v>Complex</x:v>
      </x:c>
      <x:c r="N29" s="26" t="str">
        <x:v>Civil Infrastructure=Complex</x:v>
      </x:c>
      <x:c r="O29" s="26" t="n">
        <x:v>1</x:v>
      </x:c>
      <x:c r="P29" s="26" t="str">
        <x:v>Jakkulavaari veedhi (36701040616)</x:v>
      </x:c>
      <x:c r="Q29" s="26" t="str">
        <x:v>36701040616</x:v>
      </x:c>
      <x:c r="R29" s="26" t="n">
        <x:v>22</x:v>
      </x:c>
      <x:c r="S29" s="36" t="n">
        <x:v>50000</x:v>
      </x:c>
      <x:c r="T29" s="26" t="str">
        <x:v>Gas stove, regulator 	Water Filter	Play Area		Digital GMD	Rain Water Harvesting System	Poshan Vatika
</x:v>
      </x:c>
      <x:c r="U29" s="26" t="str">
        <x:v>Gas stove, regulator 	Water Filter	Play Area		Digital GMD	Rain Water Harvesting System	Poshan Vatika
</x:v>
      </x:c>
      <x:c r="V29" s="27" t="b">
        <x:v>0</x:v>
      </x:c>
      <x:c r="W29" s="26" t="n">
        <x:v>1</x:v>
      </x:c>
      <x:c r="X29" s="26" t="n">
        <x:v>0</x:v>
      </x:c>
      <x:c r="Y29" s="26" t="n">
        <x:f>SUMIF('Activity Detail'!$E$4:$E$706,F29,'Activity Detail'!$L$4:$L$706)</x:f>
        <x:v>1</x:v>
      </x:c>
      <x:c r="Z29" s="26" t="n">
        <x:f>SUMIF('Activity Detail'!$E$4:$E$706,F29,'Activity Detail'!$N$4:$N$706)</x:f>
        <x:v>0</x:v>
      </x:c>
      <x:c r="AA29" s="26" t="n">
        <x:f>MAX(Y29-Z29,0)</x:f>
        <x:v>1</x:v>
      </x:c>
      <x:c r="AB29" s="38" t="n">
        <x:f>IFERROR(Z29/Y29,0)</x:f>
        <x:v>0</x:v>
      </x:c>
      <x:c r="AC29" s="26" t="str">
        <x:v>Committed / Not Delivered</x:v>
      </x:c>
      <x:c r="AD29" s="26" t="str">
        <x:v>Approval not recorded in response</x:v>
      </x:c>
      <x:c r="AE29" s="27" t="b">
        <x:v>1</x:v>
      </x:c>
      <x:c r="AF29" s="34" t="n">
        <x:v>46220.017164351855</x:v>
      </x:c>
      <x:c r="AG29" s="34"/>
      <x:c r="AH29" s="26" t="str">
        <x:v>Fully enriched from attached Mulugu project JSON</x:v>
      </x:c>
      <x:c r="AI29" s="26" t="str"/>
      <x:c r="AJ29" s="26" t="str">
        <x:v>Not Started</x:v>
      </x:c>
      <x:c r="AK29" s="26" t="str"/>
      <x:c r="AL29" s="26" t="str"/>
    </x:row>
    <x:row r="30">
      <x:c r="A30" s="26" t="n">
        <x:v>27</x:v>
      </x:c>
      <x:c r="B30" s="26" t="n">
        <x:v>264</x:v>
      </x:c>
      <x:c r="C30" s="26" t="str">
        <x:v>Mulugu</x:v>
      </x:c>
      <x:c r="D30" s="26" t="str">
        <x:v>Telangana</x:v>
      </x:c>
      <x:c r="E30" s="26" t="n">
        <x:v>13066</x:v>
      </x:c>
      <x:c r="F30" s="26" t="str">
        <x:v>PRJ-2026-0013066</x:v>
      </x:c>
      <x:c r="G30" s="26" t="str">
        <x:v>AWC Infrastructure</x:v>
      </x:c>
      <x:c r="H30" s="26" t="str">
        <x:v>Mission Saksham Anganwadi &amp; POSHAN 2.0</x:v>
      </x:c>
      <x:c r="I30" s="32" t="n">
        <x:v>46165</x:v>
      </x:c>
      <x:c r="J30" s="32" t="n">
        <x:v>46349</x:v>
      </x:c>
      <x:c r="K30" s="32"/>
      <x:c r="L30" s="26" t="str">
        <x:v>Active: On/After 01-Aug-2026</x:v>
      </x:c>
      <x:c r="M30" s="26" t="str">
        <x:v>Complex</x:v>
      </x:c>
      <x:c r="N30" s="26" t="str">
        <x:v>Civil Infrastructure=Complex</x:v>
      </x:c>
      <x:c r="O30" s="26" t="n">
        <x:v>1</x:v>
      </x:c>
      <x:c r="P30" s="26" t="str">
        <x:v>BC Marrigudem (Mini) (36701040624)</x:v>
      </x:c>
      <x:c r="Q30" s="26" t="str">
        <x:v>36701040624</x:v>
      </x:c>
      <x:c r="R30" s="26" t="n">
        <x:v>24</x:v>
      </x:c>
      <x:c r="S30" s="36" t="n">
        <x:v>50000</x:v>
      </x:c>
      <x:c r="T30" s="26" t="str">
        <x:v>Gas stove, regulator 	Water Filter	Play Area		Digital GMD	Rain Water Harvesting System	Poshan Vatika
</x:v>
      </x:c>
      <x:c r="U30" s="26" t="str">
        <x:v>Gas stove, regulator 	Water Filter	Play Area		Digital GMD	Rain Water Harvesting System	Poshan Vatika
</x:v>
      </x:c>
      <x:c r="V30" s="27" t="b">
        <x:v>0</x:v>
      </x:c>
      <x:c r="W30" s="26" t="n">
        <x:v>1</x:v>
      </x:c>
      <x:c r="X30" s="26" t="n">
        <x:v>0</x:v>
      </x:c>
      <x:c r="Y30" s="26" t="n">
        <x:f>SUMIF('Activity Detail'!$E$4:$E$706,F30,'Activity Detail'!$L$4:$L$706)</x:f>
        <x:v>1</x:v>
      </x:c>
      <x:c r="Z30" s="26" t="n">
        <x:f>SUMIF('Activity Detail'!$E$4:$E$706,F30,'Activity Detail'!$N$4:$N$706)</x:f>
        <x:v>0</x:v>
      </x:c>
      <x:c r="AA30" s="26" t="n">
        <x:f>MAX(Y30-Z30,0)</x:f>
        <x:v>1</x:v>
      </x:c>
      <x:c r="AB30" s="38" t="n">
        <x:f>IFERROR(Z30/Y30,0)</x:f>
        <x:v>0</x:v>
      </x:c>
      <x:c r="AC30" s="26" t="str">
        <x:v>Committed / Not Delivered</x:v>
      </x:c>
      <x:c r="AD30" s="26" t="str">
        <x:v>Approval not recorded in response</x:v>
      </x:c>
      <x:c r="AE30" s="27" t="b">
        <x:v>1</x:v>
      </x:c>
      <x:c r="AF30" s="34" t="n">
        <x:v>46220.01715277778</x:v>
      </x:c>
      <x:c r="AG30" s="34"/>
      <x:c r="AH30" s="26" t="str">
        <x:v>Fully enriched from attached Mulugu project JSON</x:v>
      </x:c>
      <x:c r="AI30" s="26" t="str"/>
      <x:c r="AJ30" s="26" t="str">
        <x:v>Not Started</x:v>
      </x:c>
      <x:c r="AK30" s="26" t="str"/>
      <x:c r="AL30" s="26" t="str"/>
    </x:row>
    <x:row r="31">
      <x:c r="A31" s="26" t="n">
        <x:v>28</x:v>
      </x:c>
      <x:c r="B31" s="26" t="n">
        <x:v>265</x:v>
      </x:c>
      <x:c r="C31" s="26" t="str">
        <x:v>Mulugu</x:v>
      </x:c>
      <x:c r="D31" s="26" t="str">
        <x:v>Telangana</x:v>
      </x:c>
      <x:c r="E31" s="26" t="n">
        <x:v>13063</x:v>
      </x:c>
      <x:c r="F31" s="26" t="str">
        <x:v>PRJ-2026-0013063</x:v>
      </x:c>
      <x:c r="G31" s="26" t="str">
        <x:v>AWC Infrastructure</x:v>
      </x:c>
      <x:c r="H31" s="26" t="str">
        <x:v>Mission Saksham Anganwadi &amp; POSHAN 2.0</x:v>
      </x:c>
      <x:c r="I31" s="32" t="n">
        <x:v>46165</x:v>
      </x:c>
      <x:c r="J31" s="32" t="n">
        <x:v>46349</x:v>
      </x:c>
      <x:c r="K31" s="32"/>
      <x:c r="L31" s="26" t="str">
        <x:v>Active: On/After 01-Aug-2026</x:v>
      </x:c>
      <x:c r="M31" s="26" t="str">
        <x:v>Complex</x:v>
      </x:c>
      <x:c r="N31" s="26" t="str">
        <x:v>Civil Infrastructure=Complex</x:v>
      </x:c>
      <x:c r="O31" s="26" t="n">
        <x:v>1</x:v>
      </x:c>
      <x:c r="P31" s="26" t="str">
        <x:v>Chokkala-1 (36701040623)</x:v>
      </x:c>
      <x:c r="Q31" s="26" t="str">
        <x:v>36701040623</x:v>
      </x:c>
      <x:c r="R31" s="26" t="n">
        <x:v>30</x:v>
      </x:c>
      <x:c r="S31" s="36" t="n">
        <x:v>50000</x:v>
      </x:c>
      <x:c r="T31" s="26" t="str">
        <x:v>Gas stove, regulator 		Play Area		Digital GMD	Rain Water Harvesting System		Solar Panel	Kitchen Construction
</x:v>
      </x:c>
      <x:c r="U31" s="26" t="str">
        <x:v>Gas stove, regulator 		Play Area		Digital GMD	Rain Water Harvesting System		Solar Panel	Kitchen Construction
</x:v>
      </x:c>
      <x:c r="V31" s="27" t="b">
        <x:v>0</x:v>
      </x:c>
      <x:c r="W31" s="26" t="n">
        <x:v>1</x:v>
      </x:c>
      <x:c r="X31" s="26" t="n">
        <x:v>0</x:v>
      </x:c>
      <x:c r="Y31" s="26" t="n">
        <x:f>SUMIF('Activity Detail'!$E$4:$E$706,F31,'Activity Detail'!$L$4:$L$706)</x:f>
        <x:v>1</x:v>
      </x:c>
      <x:c r="Z31" s="26" t="n">
        <x:f>SUMIF('Activity Detail'!$E$4:$E$706,F31,'Activity Detail'!$N$4:$N$706)</x:f>
        <x:v>0</x:v>
      </x:c>
      <x:c r="AA31" s="26" t="n">
        <x:f>MAX(Y31-Z31,0)</x:f>
        <x:v>1</x:v>
      </x:c>
      <x:c r="AB31" s="38" t="n">
        <x:f>IFERROR(Z31/Y31,0)</x:f>
        <x:v>0</x:v>
      </x:c>
      <x:c r="AC31" s="26" t="str">
        <x:v>Committed / Not Delivered</x:v>
      </x:c>
      <x:c r="AD31" s="26" t="str">
        <x:v>Approval not recorded in response</x:v>
      </x:c>
      <x:c r="AE31" s="27" t="b">
        <x:v>1</x:v>
      </x:c>
      <x:c r="AF31" s="34" t="n">
        <x:v>46220.01715277778</x:v>
      </x:c>
      <x:c r="AG31" s="34"/>
      <x:c r="AH31" s="26" t="str">
        <x:v>Fully enriched from attached Mulugu project JSON</x:v>
      </x:c>
      <x:c r="AI31" s="26" t="str"/>
      <x:c r="AJ31" s="26" t="str">
        <x:v>Not Started</x:v>
      </x:c>
      <x:c r="AK31" s="26" t="str"/>
      <x:c r="AL31" s="26" t="str"/>
    </x:row>
    <x:row r="32">
      <x:c r="A32" s="26" t="n">
        <x:v>29</x:v>
      </x:c>
      <x:c r="B32" s="26" t="n">
        <x:v>263</x:v>
      </x:c>
      <x:c r="C32" s="26" t="str">
        <x:v>Mulugu</x:v>
      </x:c>
      <x:c r="D32" s="26" t="str">
        <x:v>Telangana</x:v>
      </x:c>
      <x:c r="E32" s="26" t="n">
        <x:v>13084</x:v>
      </x:c>
      <x:c r="F32" s="26" t="str">
        <x:v>PRJ-2026-0013084</x:v>
      </x:c>
      <x:c r="G32" s="26" t="str">
        <x:v>AWC Porkapally</x:v>
      </x:c>
      <x:c r="H32" s="26" t="str">
        <x:v>Mission Saksham Anganwadi &amp; POSHAN 2.0</x:v>
      </x:c>
      <x:c r="I32" s="32" t="n">
        <x:v>46165</x:v>
      </x:c>
      <x:c r="J32" s="32" t="n">
        <x:v>46349</x:v>
      </x:c>
      <x:c r="K32" s="32"/>
      <x:c r="L32" s="26" t="str">
        <x:v>Active: On/After 01-Aug-2026</x:v>
      </x:c>
      <x:c r="M32" s="26" t="str">
        <x:v>Medium</x:v>
      </x:c>
      <x:c r="N32" s="26" t="str">
        <x:v>ECCE Equipment=Minor; Educational Needs=Minor; Electrical Infrastructure=Medium; Health and Safety aids=Minor; Office Needs=Minor</x:v>
      </x:c>
      <x:c r="O32" s="26" t="n">
        <x:v>1</x:v>
      </x:c>
      <x:c r="P32" s="26" t="str">
        <x:v>Porkapally (36701020611)</x:v>
      </x:c>
      <x:c r="Q32" s="26" t="str">
        <x:v>36701020611</x:v>
      </x:c>
      <x:c r="R32" s="26" t="n">
        <x:v>50</x:v>
      </x:c>
      <x:c r="S32" s="36" t="n">
        <x:v>50000</x:v>
      </x:c>
      <x:c r="T32" s="26" t="str">
        <x:v>Water Filter Gas Stove&amp; Regulator Pressure Cooker Slides Kids Chairs Fans &amp; Lights Storage Bins Egg &amp; Milk Storge Racks Digital GMD</x:v>
      </x:c>
      <x:c r="U32" s="26" t="str">
        <x:v>Water Filter Gas Stove&amp; Regulator Pressure Cooker Slides Kids Chairs Fans &amp; Lights Storage Bins Egg &amp; Milk Storge Racks Digital GMD</x:v>
      </x:c>
      <x:c r="V32" s="27" t="b">
        <x:v>1</x:v>
      </x:c>
      <x:c r="W32" s="26" t="n">
        <x:v>8</x:v>
      </x:c>
      <x:c r="X32" s="26" t="n">
        <x:v>0</x:v>
      </x:c>
      <x:c r="Y32" s="26" t="n">
        <x:f>SUMIF('Activity Detail'!$E$4:$E$706,F32,'Activity Detail'!$L$4:$L$706)</x:f>
        <x:v>38</x:v>
      </x:c>
      <x:c r="Z32" s="26" t="n">
        <x:f>SUMIF('Activity Detail'!$E$4:$E$706,F32,'Activity Detail'!$N$4:$N$706)</x:f>
        <x:v>0</x:v>
      </x:c>
      <x:c r="AA32" s="26" t="n">
        <x:f>MAX(Y32-Z32,0)</x:f>
        <x:v>38</x:v>
      </x:c>
      <x:c r="AB32" s="38" t="n">
        <x:f>IFERROR(Z32/Y32,0)</x:f>
        <x:v>0</x:v>
      </x:c>
      <x:c r="AC32" s="26" t="str">
        <x:v>Committed / Not Delivered</x:v>
      </x:c>
      <x:c r="AD32" s="26" t="str">
        <x:v>Approval not recorded in response</x:v>
      </x:c>
      <x:c r="AE32" s="27" t="b">
        <x:v>1</x:v>
      </x:c>
      <x:c r="AF32" s="34" t="n">
        <x:v>46220.0171412037</x:v>
      </x:c>
      <x:c r="AG32" s="34"/>
      <x:c r="AH32" s="26" t="str">
        <x:v>Fully enriched from attached Mulugu project JSON</x:v>
      </x:c>
      <x:c r="AI32" s="26" t="str"/>
      <x:c r="AJ32" s="26" t="str">
        <x:v>Not Started</x:v>
      </x:c>
      <x:c r="AK32" s="26" t="str"/>
      <x:c r="AL32" s="26" t="str"/>
    </x:row>
    <x:row r="33">
      <x:c r="A33" s="26" t="n">
        <x:v>30</x:v>
      </x:c>
      <x:c r="B33" s="26" t="n">
        <x:v>262</x:v>
      </x:c>
      <x:c r="C33" s="26" t="str">
        <x:v>Mulugu</x:v>
      </x:c>
      <x:c r="D33" s="26" t="str">
        <x:v>Telangana</x:v>
      </x:c>
      <x:c r="E33" s="26" t="n">
        <x:v>13573</x:v>
      </x:c>
      <x:c r="F33" s="26" t="str">
        <x:v>PRJ-2026-0013573</x:v>
      </x:c>
      <x:c r="G33" s="26" t="str">
        <x:v>Egg &amp; Milk Storge Racks</x:v>
      </x:c>
      <x:c r="H33" s="26" t="str">
        <x:v>Mission Saksham Anganwadi &amp; POSHAN 2.0</x:v>
      </x:c>
      <x:c r="I33" s="32" t="n">
        <x:v>46175</x:v>
      </x:c>
      <x:c r="J33" s="32" t="n">
        <x:v>46358</x:v>
      </x:c>
      <x:c r="K33" s="32"/>
      <x:c r="L33" s="26" t="str">
        <x:v>Active: On/After 01-Aug-2026</x:v>
      </x:c>
      <x:c r="M33" s="26" t="str">
        <x:v>Medium</x:v>
      </x:c>
      <x:c r="N33" s="26" t="str">
        <x:v>ECCE Equipment=Minor; Electrical Infrastructure=Medium; Health and Safety aids=Minor; Office Needs=Minor</x:v>
      </x:c>
      <x:c r="O33" s="26" t="n">
        <x:v>1</x:v>
      </x:c>
      <x:c r="P33" s="26" t="str">
        <x:v>Weavers Colony (36701020401)</x:v>
      </x:c>
      <x:c r="Q33" s="26" t="str">
        <x:v>36701020401</x:v>
      </x:c>
      <x:c r="R33" s="26" t="n">
        <x:v>10</x:v>
      </x:c>
      <x:c r="S33" s="36" t="n">
        <x:v>50000</x:v>
      </x:c>
      <x:c r="T33" s="26" t="str">
        <x:v>Egg &amp; Milk Storge Racks
</x:v>
      </x:c>
      <x:c r="U33" s="26" t="str">
        <x:v>Egg &amp; Milk Storge Racks
</x:v>
      </x:c>
      <x:c r="V33" s="27" t="b">
        <x:v>1</x:v>
      </x:c>
      <x:c r="W33" s="26" t="n">
        <x:v>6</x:v>
      </x:c>
      <x:c r="X33" s="26" t="n">
        <x:v>0</x:v>
      </x:c>
      <x:c r="Y33" s="26" t="n">
        <x:f>SUMIF('Activity Detail'!$E$4:$E$706,F33,'Activity Detail'!$L$4:$L$706)</x:f>
        <x:v>26</x:v>
      </x:c>
      <x:c r="Z33" s="26" t="n">
        <x:f>SUMIF('Activity Detail'!$E$4:$E$706,F33,'Activity Detail'!$N$4:$N$706)</x:f>
        <x:v>0</x:v>
      </x:c>
      <x:c r="AA33" s="26" t="n">
        <x:f>MAX(Y33-Z33,0)</x:f>
        <x:v>26</x:v>
      </x:c>
      <x:c r="AB33" s="38" t="n">
        <x:f>IFERROR(Z33/Y33,0)</x:f>
        <x:v>0</x:v>
      </x:c>
      <x:c r="AC33" s="26" t="str">
        <x:v>Committed / Not Delivered</x:v>
      </x:c>
      <x:c r="AD33" s="26" t="str">
        <x:v>Approval not recorded in response</x:v>
      </x:c>
      <x:c r="AE33" s="27" t="b">
        <x:v>1</x:v>
      </x:c>
      <x:c r="AF33" s="34" t="n">
        <x:v>46220.01712962963</x:v>
      </x:c>
      <x:c r="AG33" s="34"/>
      <x:c r="AH33" s="26" t="str">
        <x:v>Fully enriched from attached Mulugu project JSON</x:v>
      </x:c>
      <x:c r="AI33" s="26" t="str"/>
      <x:c r="AJ33" s="26" t="str">
        <x:v>Not Started</x:v>
      </x:c>
      <x:c r="AK33" s="26" t="str"/>
      <x:c r="AL33" s="26" t="str"/>
    </x:row>
    <x:row r="34">
      <x:c r="A34" s="26" t="n">
        <x:v>31</x:v>
      </x:c>
      <x:c r="B34" s="26" t="n">
        <x:v>261</x:v>
      </x:c>
      <x:c r="C34" s="26" t="str">
        <x:v>Mulugu</x:v>
      </x:c>
      <x:c r="D34" s="26" t="str">
        <x:v>Telangana</x:v>
      </x:c>
      <x:c r="E34" s="26" t="n">
        <x:v>13053</x:v>
      </x:c>
      <x:c r="F34" s="26" t="str">
        <x:v>PRJ-2026-0013053</x:v>
      </x:c>
      <x:c r="G34" s="26" t="str">
        <x:v>AWC Infrastructure</x:v>
      </x:c>
      <x:c r="H34" s="26" t="str">
        <x:v>Mission Saksham Anganwadi &amp; POSHAN 2.0</x:v>
      </x:c>
      <x:c r="I34" s="32" t="n">
        <x:v>46165</x:v>
      </x:c>
      <x:c r="J34" s="32" t="n">
        <x:v>46349</x:v>
      </x:c>
      <x:c r="K34" s="32"/>
      <x:c r="L34" s="26" t="str">
        <x:v>Active: On/After 01-Aug-2026</x:v>
      </x:c>
      <x:c r="M34" s="26" t="str">
        <x:v>Complex</x:v>
      </x:c>
      <x:c r="N34" s="26" t="str">
        <x:v>Civil Infrastructure=Complex; Electrical Infrastructure=Medium</x:v>
      </x:c>
      <x:c r="O34" s="26" t="n">
        <x:v>1</x:v>
      </x:c>
      <x:c r="P34" s="26" t="str">
        <x:v>Harijana colony (36701040618)</x:v>
      </x:c>
      <x:c r="Q34" s="26" t="str">
        <x:v>36701040618</x:v>
      </x:c>
      <x:c r="R34" s="26" t="n">
        <x:v>36</x:v>
      </x:c>
      <x:c r="S34" s="36" t="n">
        <x:v>50000</x:v>
      </x:c>
      <x:c r="T34" s="26" t="str">
        <x:v>BaLA paintings	Gas stove, regulator 	Water Filter	Play Area	Boundary Walls	Digital GMD	Rain Water Harvesting System	Poshan Vatika	Solar Panel
</x:v>
      </x:c>
      <x:c r="U34" s="26" t="str">
        <x:v>BaLA paintings	Gas stove, regulator 	Water Filter	Play Area	Boundary Walls	Digital GMD	Rain Water Harvesting System	Poshan Vatika	Solar Panel
</x:v>
      </x:c>
      <x:c r="V34" s="27" t="b">
        <x:v>0</x:v>
      </x:c>
      <x:c r="W34" s="26" t="n">
        <x:v>2</x:v>
      </x:c>
      <x:c r="X34" s="26" t="n">
        <x:v>0</x:v>
      </x:c>
      <x:c r="Y34" s="26" t="n">
        <x:f>SUMIF('Activity Detail'!$E$4:$E$706,F34,'Activity Detail'!$L$4:$L$706)</x:f>
        <x:v>2</x:v>
      </x:c>
      <x:c r="Z34" s="26" t="n">
        <x:f>SUMIF('Activity Detail'!$E$4:$E$706,F34,'Activity Detail'!$N$4:$N$706)</x:f>
        <x:v>0</x:v>
      </x:c>
      <x:c r="AA34" s="26" t="n">
        <x:f>MAX(Y34-Z34,0)</x:f>
        <x:v>2</x:v>
      </x:c>
      <x:c r="AB34" s="38" t="n">
        <x:f>IFERROR(Z34/Y34,0)</x:f>
        <x:v>0</x:v>
      </x:c>
      <x:c r="AC34" s="26" t="str">
        <x:v>Committed / Not Delivered</x:v>
      </x:c>
      <x:c r="AD34" s="26" t="str">
        <x:v>Approval not recorded in response</x:v>
      </x:c>
      <x:c r="AE34" s="27" t="b">
        <x:v>1</x:v>
      </x:c>
      <x:c r="AF34" s="34" t="n">
        <x:v>46220.01424768518</x:v>
      </x:c>
      <x:c r="AG34" s="34"/>
      <x:c r="AH34" s="26" t="str">
        <x:v>Fully enriched from attached Mulugu project JSON</x:v>
      </x:c>
      <x:c r="AI34" s="26" t="str"/>
      <x:c r="AJ34" s="26" t="str">
        <x:v>Not Started</x:v>
      </x:c>
      <x:c r="AK34" s="26" t="str"/>
      <x:c r="AL34" s="26" t="str"/>
    </x:row>
    <x:row r="35">
      <x:c r="A35" s="26" t="n">
        <x:v>32</x:v>
      </x:c>
      <x:c r="B35" s="26" t="n">
        <x:v>260</x:v>
      </x:c>
      <x:c r="C35" s="26" t="str">
        <x:v>Mulugu</x:v>
      </x:c>
      <x:c r="D35" s="26" t="str">
        <x:v>Telangana</x:v>
      </x:c>
      <x:c r="E35" s="26" t="n">
        <x:v>13049</x:v>
      </x:c>
      <x:c r="F35" s="26" t="str">
        <x:v>PRJ-2026-0013049</x:v>
      </x:c>
      <x:c r="G35" s="26" t="str">
        <x:v>AWC Infrastructure</x:v>
      </x:c>
      <x:c r="H35" s="26" t="str">
        <x:v>Mission Saksham Anganwadi &amp; POSHAN 2.0</x:v>
      </x:c>
      <x:c r="I35" s="32" t="n">
        <x:v>46165</x:v>
      </x:c>
      <x:c r="J35" s="32" t="n">
        <x:v>46349</x:v>
      </x:c>
      <x:c r="K35" s="32"/>
      <x:c r="L35" s="26" t="str">
        <x:v>Active: On/After 01-Aug-2026</x:v>
      </x:c>
      <x:c r="M35" s="26" t="str">
        <x:v>Complex</x:v>
      </x:c>
      <x:c r="N35" s="26" t="str">
        <x:v>Civil Infrastructure=Complex; Electrical Infrastructure=Medium</x:v>
      </x:c>
      <x:c r="O35" s="26" t="n">
        <x:v>1</x:v>
      </x:c>
      <x:c r="P35" s="26" t="str">
        <x:v>Karivaniguppa (Mini) (36701040615)</x:v>
      </x:c>
      <x:c r="Q35" s="26" t="str">
        <x:v>36701040615</x:v>
      </x:c>
      <x:c r="R35" s="26" t="n">
        <x:v>18</x:v>
      </x:c>
      <x:c r="S35" s="36" t="n">
        <x:v>50000</x:v>
      </x:c>
      <x:c r="T35" s="26" t="str">
        <x:v>BaLA paintings	Gas stove, regulator 	Water Filter	Play Area	Boundary Walls	Digital GMD	Rain Water Harvesting System	Poshan Vatika	Solar Panel
</x:v>
      </x:c>
      <x:c r="U35" s="26" t="str">
        <x:v>BaLA paintings	Gas stove, regulator 	Water Filter	Play Area	Boundary Walls	Digital GMD	Rain Water Harvesting System	Poshan Vatika	Solar Panel
</x:v>
      </x:c>
      <x:c r="V35" s="27" t="b">
        <x:v>0</x:v>
      </x:c>
      <x:c r="W35" s="26" t="n">
        <x:v>2</x:v>
      </x:c>
      <x:c r="X35" s="26" t="n">
        <x:v>0</x:v>
      </x:c>
      <x:c r="Y35" s="26" t="n">
        <x:f>SUMIF('Activity Detail'!$E$4:$E$706,F35,'Activity Detail'!$L$4:$L$706)</x:f>
        <x:v>2</x:v>
      </x:c>
      <x:c r="Z35" s="26" t="n">
        <x:f>SUMIF('Activity Detail'!$E$4:$E$706,F35,'Activity Detail'!$N$4:$N$706)</x:f>
        <x:v>0</x:v>
      </x:c>
      <x:c r="AA35" s="26" t="n">
        <x:f>MAX(Y35-Z35,0)</x:f>
        <x:v>2</x:v>
      </x:c>
      <x:c r="AB35" s="38" t="n">
        <x:f>IFERROR(Z35/Y35,0)</x:f>
        <x:v>0</x:v>
      </x:c>
      <x:c r="AC35" s="26" t="str">
        <x:v>Committed / Not Delivered</x:v>
      </x:c>
      <x:c r="AD35" s="26" t="str">
        <x:v>Approval not recorded in response</x:v>
      </x:c>
      <x:c r="AE35" s="27" t="b">
        <x:v>1</x:v>
      </x:c>
      <x:c r="AF35" s="34" t="n">
        <x:v>46220.014236111114</x:v>
      </x:c>
      <x:c r="AG35" s="34"/>
      <x:c r="AH35" s="26" t="str">
        <x:v>Fully enriched from attached Mulugu project JSON</x:v>
      </x:c>
      <x:c r="AI35" s="26" t="str"/>
      <x:c r="AJ35" s="26" t="str">
        <x:v>Not Started</x:v>
      </x:c>
      <x:c r="AK35" s="26" t="str"/>
      <x:c r="AL35" s="26" t="str"/>
    </x:row>
    <x:row r="36">
      <x:c r="A36" s="26" t="n">
        <x:v>33</x:v>
      </x:c>
      <x:c r="B36" s="26" t="n">
        <x:v>258</x:v>
      </x:c>
      <x:c r="C36" s="26" t="str">
        <x:v>Mulugu</x:v>
      </x:c>
      <x:c r="D36" s="26" t="str">
        <x:v>Telangana</x:v>
      </x:c>
      <x:c r="E36" s="26" t="n">
        <x:v>8038</x:v>
      </x:c>
      <x:c r="F36" s="26" t="str">
        <x:v>PRJ-2026-0008038</x:v>
      </x:c>
      <x:c r="G36" s="26" t="str">
        <x:v>AWC Bhagyathanda</x:v>
      </x:c>
      <x:c r="H36" s="26" t="str">
        <x:v>Mission Saksham Anganwadi &amp; POSHAN 2.0</x:v>
      </x:c>
      <x:c r="I36" s="32" t="n">
        <x:v>46164</x:v>
      </x:c>
      <x:c r="J36" s="32" t="n">
        <x:v>46348</x:v>
      </x:c>
      <x:c r="K36" s="32"/>
      <x:c r="L36" s="26" t="str">
        <x:v>Active: On/After 01-Aug-2026</x:v>
      </x:c>
      <x:c r="M36" s="26" t="str">
        <x:v>Complex</x:v>
      </x:c>
      <x:c r="N36" s="26" t="str">
        <x:v>Civil Infrastructure=Complex; ECCE Equipment=Minor; Educational Needs=Minor; Electrical Infrastructure=Medium; Office Needs=Minor</x:v>
      </x:c>
      <x:c r="O36" s="26" t="n">
        <x:v>1</x:v>
      </x:c>
      <x:c r="P36" s="26" t="str">
        <x:v>Bhagyathanda (36701020220)</x:v>
      </x:c>
      <x:c r="Q36" s="26" t="str">
        <x:v>36701020220</x:v>
      </x:c>
      <x:c r="R36" s="26" t="n">
        <x:v>15</x:v>
      </x:c>
      <x:c r="S36" s="36" t="n">
        <x:v>50000</x:v>
      </x:c>
      <x:c r="T36" s="26" t="str">
        <x:v>Civil Repair
Water Filter	
Gas Stove&amp; Regulator	
Balapainting					
Pressure Cooker	
Slides	
Kids Chairs	
Fans &amp; Lights	
Storage Bins	
Egg &amp; Milk Storge Racks	
Digital GMD
</x:v>
      </x:c>
      <x:c r="U36" s="26" t="str">
        <x:v>Civil Repair
	Water Filter	
Gas Stove&amp; Regulator	
Balapainting					
Pressure Cooker	
Slides	
Kids Chairs	
Fans &amp; Lights	
Storage Bins	
Egg &amp; Milk Storge Racks	
Digital GMD
</x:v>
      </x:c>
      <x:c r="V36" s="27" t="b">
        <x:v>1</x:v>
      </x:c>
      <x:c r="W36" s="26" t="n">
        <x:v>6</x:v>
      </x:c>
      <x:c r="X36" s="26" t="n">
        <x:v>0</x:v>
      </x:c>
      <x:c r="Y36" s="26" t="n">
        <x:f>SUMIF('Activity Detail'!$E$4:$E$706,F36,'Activity Detail'!$L$4:$L$706)</x:f>
        <x:v>22</x:v>
      </x:c>
      <x:c r="Z36" s="26" t="n">
        <x:f>SUMIF('Activity Detail'!$E$4:$E$706,F36,'Activity Detail'!$N$4:$N$706)</x:f>
        <x:v>0</x:v>
      </x:c>
      <x:c r="AA36" s="26" t="n">
        <x:f>MAX(Y36-Z36,0)</x:f>
        <x:v>22</x:v>
      </x:c>
      <x:c r="AB36" s="38" t="n">
        <x:f>IFERROR(Z36/Y36,0)</x:f>
        <x:v>0</x:v>
      </x:c>
      <x:c r="AC36" s="26" t="str">
        <x:v>Committed / Not Delivered</x:v>
      </x:c>
      <x:c r="AD36" s="26" t="str">
        <x:v>Approval not recorded in response</x:v>
      </x:c>
      <x:c r="AE36" s="27" t="b">
        <x:v>1</x:v>
      </x:c>
      <x:c r="AF36" s="34" t="n">
        <x:v>46220.01422453704</x:v>
      </x:c>
      <x:c r="AG36" s="34"/>
      <x:c r="AH36" s="26" t="str">
        <x:v>Fully enriched from attached Mulugu project JSON</x:v>
      </x:c>
      <x:c r="AI36" s="26" t="str"/>
      <x:c r="AJ36" s="26" t="str">
        <x:v>Not Started</x:v>
      </x:c>
      <x:c r="AK36" s="26" t="str"/>
      <x:c r="AL36" s="26" t="str"/>
    </x:row>
    <x:row r="37">
      <x:c r="A37" s="26" t="n">
        <x:v>34</x:v>
      </x:c>
      <x:c r="B37" s="26" t="n">
        <x:v>259</x:v>
      </x:c>
      <x:c r="C37" s="26" t="str">
        <x:v>Mulugu</x:v>
      </x:c>
      <x:c r="D37" s="26" t="str">
        <x:v>Telangana</x:v>
      </x:c>
      <x:c r="E37" s="26" t="n">
        <x:v>13048</x:v>
      </x:c>
      <x:c r="F37" s="26" t="str">
        <x:v>PRJ-2026-0013048</x:v>
      </x:c>
      <x:c r="G37" s="26" t="str">
        <x:v>AWC Infrastructure</x:v>
      </x:c>
      <x:c r="H37" s="26" t="str">
        <x:v>Mission Saksham Anganwadi &amp; POSHAN 2.0</x:v>
      </x:c>
      <x:c r="I37" s="32" t="n">
        <x:v>46165</x:v>
      </x:c>
      <x:c r="J37" s="32" t="n">
        <x:v>46349</x:v>
      </x:c>
      <x:c r="K37" s="32"/>
      <x:c r="L37" s="26" t="str">
        <x:v>Active: On/After 01-Aug-2026</x:v>
      </x:c>
      <x:c r="M37" s="26" t="str">
        <x:v>Complex</x:v>
      </x:c>
      <x:c r="N37" s="26" t="str">
        <x:v>Civil Infrastructure=Complex; Electrical Infrastructure=Medium</x:v>
      </x:c>
      <x:c r="O37" s="26" t="n">
        <x:v>1</x:v>
      </x:c>
      <x:c r="P37" s="26" t="str">
        <x:v>Mallapuram (Mini) (36701040613)</x:v>
      </x:c>
      <x:c r="Q37" s="26" t="str">
        <x:v>36701040613</x:v>
      </x:c>
      <x:c r="R37" s="26" t="n">
        <x:v>19</x:v>
      </x:c>
      <x:c r="S37" s="36" t="n">
        <x:v>50000</x:v>
      </x:c>
      <x:c r="T37" s="26" t="str">
        <x:v>BaLA paintings	Gas stove, regulator 	Water Filter	Play Area	Boundary Walls	Digital GMD	Rain Water Harvesting System	Poshan Vatika	Solar Panel
</x:v>
      </x:c>
      <x:c r="U37" s="26" t="str">
        <x:v>BaLA paintings	Gas stove, regulator 	Water Filter	Play Area	Boundary Walls	Digital GMD	Rain Water Harvesting System	Poshan Vatika	Solar Panel
</x:v>
      </x:c>
      <x:c r="V37" s="27" t="b">
        <x:v>0</x:v>
      </x:c>
      <x:c r="W37" s="26" t="n">
        <x:v>2</x:v>
      </x:c>
      <x:c r="X37" s="26" t="n">
        <x:v>0</x:v>
      </x:c>
      <x:c r="Y37" s="26" t="n">
        <x:f>SUMIF('Activity Detail'!$E$4:$E$706,F37,'Activity Detail'!$L$4:$L$706)</x:f>
        <x:v>2</x:v>
      </x:c>
      <x:c r="Z37" s="26" t="n">
        <x:f>SUMIF('Activity Detail'!$E$4:$E$706,F37,'Activity Detail'!$N$4:$N$706)</x:f>
        <x:v>0</x:v>
      </x:c>
      <x:c r="AA37" s="26" t="n">
        <x:f>MAX(Y37-Z37,0)</x:f>
        <x:v>2</x:v>
      </x:c>
      <x:c r="AB37" s="38" t="n">
        <x:f>IFERROR(Z37/Y37,0)</x:f>
        <x:v>0</x:v>
      </x:c>
      <x:c r="AC37" s="26" t="str">
        <x:v>Committed / Not Delivered</x:v>
      </x:c>
      <x:c r="AD37" s="26" t="str">
        <x:v>Approval not recorded in response</x:v>
      </x:c>
      <x:c r="AE37" s="27" t="b">
        <x:v>1</x:v>
      </x:c>
      <x:c r="AF37" s="34" t="n">
        <x:v>46220.01422453704</x:v>
      </x:c>
      <x:c r="AG37" s="34"/>
      <x:c r="AH37" s="26" t="str">
        <x:v>Fully enriched from attached Mulugu project JSON</x:v>
      </x:c>
      <x:c r="AI37" s="26" t="str"/>
      <x:c r="AJ37" s="26" t="str">
        <x:v>Not Started</x:v>
      </x:c>
      <x:c r="AK37" s="26" t="str"/>
      <x:c r="AL37" s="26" t="str"/>
    </x:row>
    <x:row r="38">
      <x:c r="A38" s="26" t="n">
        <x:v>35</x:v>
      </x:c>
      <x:c r="B38" s="26" t="n">
        <x:v>257</x:v>
      </x:c>
      <x:c r="C38" s="26" t="str">
        <x:v>Mulugu</x:v>
      </x:c>
      <x:c r="D38" s="26" t="str">
        <x:v>Telangana</x:v>
      </x:c>
      <x:c r="E38" s="26" t="n">
        <x:v>8276</x:v>
      </x:c>
      <x:c r="F38" s="26" t="str">
        <x:v>PRJ-2026-0008276</x:v>
      </x:c>
      <x:c r="G38" s="26" t="str">
        <x:v>AWC Banalapally</x:v>
      </x:c>
      <x:c r="H38" s="26" t="str">
        <x:v>Mission Saksham Anganwadi &amp; POSHAN 2.0</x:v>
      </x:c>
      <x:c r="I38" s="32" t="n">
        <x:v>46164</x:v>
      </x:c>
      <x:c r="J38" s="32" t="n">
        <x:v>46348</x:v>
      </x:c>
      <x:c r="K38" s="32"/>
      <x:c r="L38" s="26" t="str">
        <x:v>Active: On/After 01-Aug-2026</x:v>
      </x:c>
      <x:c r="M38" s="26" t="str">
        <x:v>Complex</x:v>
      </x:c>
      <x:c r="N38" s="26" t="str">
        <x:v>Civil Infrastructure=Complex; ECCE Equipment=Minor; Educational Needs=Minor; Electrical Infrastructure=Medium; Office Needs=Minor</x:v>
      </x:c>
      <x:c r="O38" s="26" t="n">
        <x:v>1</x:v>
      </x:c>
      <x:c r="P38" s="26" t="str">
        <x:v>Banalapalli (36701020221)</x:v>
      </x:c>
      <x:c r="Q38" s="26" t="str">
        <x:v>36701020221</x:v>
      </x:c>
      <x:c r="R38" s="26" t="n">
        <x:v>25</x:v>
      </x:c>
      <x:c r="S38" s="36" t="n">
        <x:v>50000</x:v>
      </x:c>
      <x:c r="T38" s="26" t="str">
        <x:v>Civil Repair	
Water Filter	
Gas Stove&amp; Regulator	
Balapainting					
Pressure Cooker	
Slides	
Kids Chairs	
Fans &amp; Lights	
Storage Bins	
Egg &amp; Milk Storge Racks	
Digital GMD
</x:v>
      </x:c>
      <x:c r="U38" s="26" t="str">
        <x:v>Civil Repair	
Water Filter	
Gas Stove&amp; Regulator	
Balapainting					
Pressure Cooker	
Slides	
Kids Chairs	
Fans &amp; Lights	
Storage Bins	
Egg &amp; Milk Storge Racks	
Digital GMD
</x:v>
      </x:c>
      <x:c r="V38" s="27" t="b">
        <x:v>1</x:v>
      </x:c>
      <x:c r="W38" s="26" t="n">
        <x:v>8</x:v>
      </x:c>
      <x:c r="X38" s="26" t="n">
        <x:v>0</x:v>
      </x:c>
      <x:c r="Y38" s="26" t="n">
        <x:f>SUMIF('Activity Detail'!$E$4:$E$706,F38,'Activity Detail'!$L$4:$L$706)</x:f>
        <x:v>62</x:v>
      </x:c>
      <x:c r="Z38" s="26" t="n">
        <x:f>SUMIF('Activity Detail'!$E$4:$E$706,F38,'Activity Detail'!$N$4:$N$706)</x:f>
        <x:v>0</x:v>
      </x:c>
      <x:c r="AA38" s="26" t="n">
        <x:f>MAX(Y38-Z38,0)</x:f>
        <x:v>62</x:v>
      </x:c>
      <x:c r="AB38" s="38" t="n">
        <x:f>IFERROR(Z38/Y38,0)</x:f>
        <x:v>0</x:v>
      </x:c>
      <x:c r="AC38" s="26" t="str">
        <x:v>Committed / Not Delivered</x:v>
      </x:c>
      <x:c r="AD38" s="26" t="str">
        <x:v>Approval not recorded in response</x:v>
      </x:c>
      <x:c r="AE38" s="27" t="b">
        <x:v>1</x:v>
      </x:c>
      <x:c r="AF38" s="34" t="n">
        <x:v>46220.01421296296</x:v>
      </x:c>
      <x:c r="AG38" s="34"/>
      <x:c r="AH38" s="26" t="str">
        <x:v>Fully enriched from attached Mulugu project JSON</x:v>
      </x:c>
      <x:c r="AI38" s="26" t="str"/>
      <x:c r="AJ38" s="26" t="str">
        <x:v>Not Started</x:v>
      </x:c>
      <x:c r="AK38" s="26" t="str"/>
      <x:c r="AL38" s="26" t="str"/>
    </x:row>
    <x:row r="39">
      <x:c r="A39" s="26" t="n">
        <x:v>36</x:v>
      </x:c>
      <x:c r="B39" s="26" t="n">
        <x:v>256</x:v>
      </x:c>
      <x:c r="C39" s="26" t="str">
        <x:v>Mulugu</x:v>
      </x:c>
      <x:c r="D39" s="26" t="str">
        <x:v>Telangana</x:v>
      </x:c>
      <x:c r="E39" s="26" t="n">
        <x:v>10856</x:v>
      </x:c>
      <x:c r="F39" s="26" t="str">
        <x:v>PRJ-2026-0010856</x:v>
      </x:c>
      <x:c r="G39" s="26" t="str">
        <x:v>AWC Infrastructure</x:v>
      </x:c>
      <x:c r="H39" s="26" t="str">
        <x:v>Mission Saksham Anganwadi &amp; POSHAN 2.0</x:v>
      </x:c>
      <x:c r="I39" s="32" t="n">
        <x:v>46164</x:v>
      </x:c>
      <x:c r="J39" s="32" t="n">
        <x:v>46348</x:v>
      </x:c>
      <x:c r="K39" s="32"/>
      <x:c r="L39" s="26" t="str">
        <x:v>Active: On/After 01-Aug-2026</x:v>
      </x:c>
      <x:c r="M39" s="26" t="str">
        <x:v>Complex</x:v>
      </x:c>
      <x:c r="N39" s="26" t="str">
        <x:v>Civil Infrastructure=Complex</x:v>
      </x:c>
      <x:c r="O39" s="26" t="n">
        <x:v>1</x:v>
      </x:c>
      <x:c r="P39" s="26" t="str">
        <x:v>Arunachalapuram (36701040324)</x:v>
      </x:c>
      <x:c r="Q39" s="26" t="str">
        <x:v>36701040324</x:v>
      </x:c>
      <x:c r="R39" s="26" t="n">
        <x:v>30</x:v>
      </x:c>
      <x:c r="S39" s="36" t="n">
        <x:v>50000</x:v>
      </x:c>
      <x:c r="T39" s="26" t="str">
        <x:v>BaLA paintings	Gas stove, regulator 	Water Filter	Play Area		Digital GMD	Rain Water Harvesting System	Poshan Vatika		Kitchen Construction
</x:v>
      </x:c>
      <x:c r="U39" s="26" t="str">
        <x:v>BaLA paintings	Gas stove, regulator 	Water Filter	Play Area		Digital GMD	Rain Water Harvesting System	Poshan Vatika		Kitchen Construction
</x:v>
      </x:c>
      <x:c r="V39" s="27" t="b">
        <x:v>0</x:v>
      </x:c>
      <x:c r="W39" s="26" t="n">
        <x:v>2</x:v>
      </x:c>
      <x:c r="X39" s="26" t="n">
        <x:v>0</x:v>
      </x:c>
      <x:c r="Y39" s="26" t="n">
        <x:f>SUMIF('Activity Detail'!$E$4:$E$706,F39,'Activity Detail'!$L$4:$L$706)</x:f>
        <x:v>2</x:v>
      </x:c>
      <x:c r="Z39" s="26" t="n">
        <x:f>SUMIF('Activity Detail'!$E$4:$E$706,F39,'Activity Detail'!$N$4:$N$706)</x:f>
        <x:v>0</x:v>
      </x:c>
      <x:c r="AA39" s="26" t="n">
        <x:f>MAX(Y39-Z39,0)</x:f>
        <x:v>2</x:v>
      </x:c>
      <x:c r="AB39" s="38" t="n">
        <x:f>IFERROR(Z39/Y39,0)</x:f>
        <x:v>0</x:v>
      </x:c>
      <x:c r="AC39" s="26" t="str">
        <x:v>Committed / Not Delivered</x:v>
      </x:c>
      <x:c r="AD39" s="26" t="str">
        <x:v>Approval not recorded in response</x:v>
      </x:c>
      <x:c r="AE39" s="27" t="b">
        <x:v>1</x:v>
      </x:c>
      <x:c r="AF39" s="34" t="n">
        <x:v>46220.01420138889</x:v>
      </x:c>
      <x:c r="AG39" s="34"/>
      <x:c r="AH39" s="26" t="str">
        <x:v>Fully enriched from attached Mulugu project JSON</x:v>
      </x:c>
      <x:c r="AI39" s="26" t="str"/>
      <x:c r="AJ39" s="26" t="str">
        <x:v>Not Started</x:v>
      </x:c>
      <x:c r="AK39" s="26" t="str"/>
      <x:c r="AL39" s="26" t="str"/>
    </x:row>
    <x:row r="40">
      <x:c r="A40" s="26" t="n">
        <x:v>37</x:v>
      </x:c>
      <x:c r="B40" s="26" t="n">
        <x:v>255</x:v>
      </x:c>
      <x:c r="C40" s="26" t="str">
        <x:v>Kumuram Bheem Asifabad</x:v>
      </x:c>
      <x:c r="D40" s="26" t="str">
        <x:v>Telangana</x:v>
      </x:c>
      <x:c r="E40" s="26" t="n">
        <x:v>9927</x:v>
      </x:c>
      <x:c r="F40" s="26" t="str">
        <x:v>PRJ-2026-0009927</x:v>
      </x:c>
      <x:c r="G40" s="26" t="str">
        <x:v>Rain Water Harvesting System : Water Filter Kitchen Construction : Poshan Vatika  kitchen Shelves : Gas stove, regulator : Solar Panel : Civil Repair : Toilet</x:v>
      </x:c>
      <x:c r="H40" s="26" t="str">
        <x:v>Mission Saksham Anganwadi &amp; POSHAN 2.0</x:v>
      </x:c>
      <x:c r="I40" s="32" t="n">
        <x:v>46164</x:v>
      </x:c>
      <x:c r="J40" s="32" t="n">
        <x:v>46255</x:v>
      </x:c>
      <x:c r="K40" s="32"/>
      <x:c r="L40" s="26" t="str">
        <x:v>Active: On/After 01-Aug-2026</x:v>
      </x:c>
      <x:c r="M40" s="26" t="str">
        <x:v>Pending Mapping</x:v>
      </x:c>
      <x:c r="N40" s="26" t="str">
        <x:v>Original project JSON not available</x:v>
      </x:c>
      <x:c r="O40" s="26"/>
      <x:c r="P40" s="26" t="str"/>
      <x:c r="Q40" s="26" t="str"/>
      <x:c r="R40" s="26"/>
      <x:c r="S40" s="36"/>
      <x:c r="T40" s="26"/>
      <x:c r="U40" s="26"/>
      <x:c r="V40" s="26"/>
      <x:c r="W40" s="26" t="n">
        <x:v>4</x:v>
      </x:c>
      <x:c r="X40" s="26" t="n">
        <x:v>0</x:v>
      </x:c>
      <x:c r="Y40" s="26" t="n">
        <x:f>SUMIF('Activity Detail'!$E$4:$E$706,F40,'Activity Detail'!$L$4:$L$706)</x:f>
        <x:v>4</x:v>
      </x:c>
      <x:c r="Z40" s="26" t="n">
        <x:f>SUMIF('Activity Detail'!$E$4:$E$706,F40,'Activity Detail'!$N$4:$N$706)</x:f>
        <x:v>0</x:v>
      </x:c>
      <x:c r="AA40" s="26" t="n">
        <x:f>MAX(Y40-Z40,0)</x:f>
        <x:v>4</x:v>
      </x:c>
      <x:c r="AB40" s="38" t="n">
        <x:f>IFERROR(Z40/Y40,0)</x:f>
        <x:v>0</x:v>
      </x:c>
      <x:c r="AC40" s="26" t="str">
        <x:v>Committed / Not Delivered</x:v>
      </x:c>
      <x:c r="AD40" s="26" t="str">
        <x:v>Approval not recorded in response</x:v>
      </x:c>
      <x:c r="AE40" s="27" t="b">
        <x:v>1</x:v>
      </x:c>
      <x:c r="AF40" s="34" t="n">
        <x:v>46220.000069444446</x:v>
      </x:c>
      <x:c r="AG40" s="34"/>
      <x:c r="AH40" s="26" t="str">
        <x:v>Contribution API fields only; original project JSON needed for line-item names/centres/category</x:v>
      </x:c>
      <x:c r="AI40" s="26" t="str"/>
      <x:c r="AJ40" s="26" t="str">
        <x:v>Not Started</x:v>
      </x:c>
      <x:c r="AK40" s="26" t="str"/>
      <x:c r="AL40" s="26" t="str"/>
    </x:row>
    <x:row r="41">
      <x:c r="A41" s="26" t="n">
        <x:v>38</x:v>
      </x:c>
      <x:c r="B41" s="26" t="n">
        <x:v>254</x:v>
      </x:c>
      <x:c r="C41" s="26" t="str">
        <x:v>Kumuram Bheem Asifabad</x:v>
      </x:c>
      <x:c r="D41" s="26" t="str">
        <x:v>Telangana</x:v>
      </x:c>
      <x:c r="E41" s="26" t="n">
        <x:v>9928</x:v>
      </x:c>
      <x:c r="F41" s="26" t="str">
        <x:v>PRJ-2026-0009928</x:v>
      </x:c>
      <x:c r="G41" s="26" t="str">
        <x:v>Proposal for upgradation of Anganwadi centre</x:v>
      </x:c>
      <x:c r="H41" s="26" t="str">
        <x:v>Mission Saksham Anganwadi &amp; POSHAN 2.0</x:v>
      </x:c>
      <x:c r="I41" s="32" t="n">
        <x:v>46171</x:v>
      </x:c>
      <x:c r="J41" s="32" t="n">
        <x:v>46203</x:v>
      </x:c>
      <x:c r="K41" s="32"/>
      <x:c r="L41" s="26" t="str">
        <x:v>Exclude: Before 01-Aug-2026</x:v>
      </x:c>
      <x:c r="M41" s="26" t="str">
        <x:v>Pending Mapping</x:v>
      </x:c>
      <x:c r="N41" s="26" t="str">
        <x:v>Original project JSON not available</x:v>
      </x:c>
      <x:c r="O41" s="26"/>
      <x:c r="P41" s="26" t="str"/>
      <x:c r="Q41" s="26" t="str"/>
      <x:c r="R41" s="26"/>
      <x:c r="S41" s="36"/>
      <x:c r="T41" s="26"/>
      <x:c r="U41" s="26"/>
      <x:c r="V41" s="26"/>
      <x:c r="W41" s="26" t="n">
        <x:v>3</x:v>
      </x:c>
      <x:c r="X41" s="26" t="n">
        <x:v>0</x:v>
      </x:c>
      <x:c r="Y41" s="26" t="n">
        <x:f>SUMIF('Activity Detail'!$E$4:$E$706,F41,'Activity Detail'!$L$4:$L$706)</x:f>
        <x:v>3</x:v>
      </x:c>
      <x:c r="Z41" s="26" t="n">
        <x:f>SUMIF('Activity Detail'!$E$4:$E$706,F41,'Activity Detail'!$N$4:$N$706)</x:f>
        <x:v>0</x:v>
      </x:c>
      <x:c r="AA41" s="26" t="n">
        <x:f>MAX(Y41-Z41,0)</x:f>
        <x:v>3</x:v>
      </x:c>
      <x:c r="AB41" s="38" t="n">
        <x:f>IFERROR(Z41/Y41,0)</x:f>
        <x:v>0</x:v>
      </x:c>
      <x:c r="AC41" s="26" t="str">
        <x:v>Committed / Not Delivered</x:v>
      </x:c>
      <x:c r="AD41" s="26" t="str">
        <x:v>Approval not recorded in response</x:v>
      </x:c>
      <x:c r="AE41" s="27" t="b">
        <x:v>1</x:v>
      </x:c>
      <x:c r="AF41" s="34" t="n">
        <x:v>46220.00005787037</x:v>
      </x:c>
      <x:c r="AG41" s="34"/>
      <x:c r="AH41" s="26" t="str">
        <x:v>Contribution API fields only; original project JSON needed for line-item names/centres/category</x:v>
      </x:c>
      <x:c r="AI41" s="26" t="str"/>
      <x:c r="AJ41" s="26" t="str">
        <x:v>Not Started</x:v>
      </x:c>
      <x:c r="AK41" s="26" t="str"/>
      <x:c r="AL41" s="26" t="str"/>
    </x:row>
    <x:row r="42">
      <x:c r="A42" s="26" t="n">
        <x:v>39</x:v>
      </x:c>
      <x:c r="B42" s="26" t="n">
        <x:v>252</x:v>
      </x:c>
      <x:c r="C42" s="26" t="str">
        <x:v>Kumuram Bheem Asifabad</x:v>
      </x:c>
      <x:c r="D42" s="26" t="str">
        <x:v>Telangana</x:v>
      </x:c>
      <x:c r="E42" s="26" t="n">
        <x:v>9968</x:v>
      </x:c>
      <x:c r="F42" s="26" t="str">
        <x:v>PRJ-2026-0009968</x:v>
      </x:c>
      <x:c r="G42" s="26" t="str">
        <x:v>Proposal for upgradation of Anganwadi centre</x:v>
      </x:c>
      <x:c r="H42" s="26" t="str">
        <x:v>Mission Saksham Anganwadi &amp; POSHAN 2.0</x:v>
      </x:c>
      <x:c r="I42" s="32" t="n">
        <x:v>46164</x:v>
      </x:c>
      <x:c r="J42" s="32" t="n">
        <x:v>46203</x:v>
      </x:c>
      <x:c r="K42" s="32"/>
      <x:c r="L42" s="26" t="str">
        <x:v>Exclude: Before 01-Aug-2026</x:v>
      </x:c>
      <x:c r="M42" s="26" t="str">
        <x:v>Pending Mapping</x:v>
      </x:c>
      <x:c r="N42" s="26" t="str">
        <x:v>Original project JSON not available</x:v>
      </x:c>
      <x:c r="O42" s="26"/>
      <x:c r="P42" s="26" t="str"/>
      <x:c r="Q42" s="26" t="str"/>
      <x:c r="R42" s="26"/>
      <x:c r="S42" s="36"/>
      <x:c r="T42" s="26"/>
      <x:c r="U42" s="26"/>
      <x:c r="V42" s="26"/>
      <x:c r="W42" s="26" t="n">
        <x:v>2</x:v>
      </x:c>
      <x:c r="X42" s="26" t="n">
        <x:v>0</x:v>
      </x:c>
      <x:c r="Y42" s="26" t="n">
        <x:f>SUMIF('Activity Detail'!$E$4:$E$706,F42,'Activity Detail'!$L$4:$L$706)</x:f>
        <x:v>2</x:v>
      </x:c>
      <x:c r="Z42" s="26" t="n">
        <x:f>SUMIF('Activity Detail'!$E$4:$E$706,F42,'Activity Detail'!$N$4:$N$706)</x:f>
        <x:v>0</x:v>
      </x:c>
      <x:c r="AA42" s="26" t="n">
        <x:f>MAX(Y42-Z42,0)</x:f>
        <x:v>2</x:v>
      </x:c>
      <x:c r="AB42" s="38" t="n">
        <x:f>IFERROR(Z42/Y42,0)</x:f>
        <x:v>0</x:v>
      </x:c>
      <x:c r="AC42" s="26" t="str">
        <x:v>Committed / Not Delivered</x:v>
      </x:c>
      <x:c r="AD42" s="26" t="str">
        <x:v>Approval not recorded in response</x:v>
      </x:c>
      <x:c r="AE42" s="27" t="b">
        <x:v>1</x:v>
      </x:c>
      <x:c r="AF42" s="34" t="n">
        <x:v>46220.0000462963</x:v>
      </x:c>
      <x:c r="AG42" s="34"/>
      <x:c r="AH42" s="26" t="str">
        <x:v>Contribution API fields only; original project JSON needed for line-item names/centres/category</x:v>
      </x:c>
      <x:c r="AI42" s="26" t="str"/>
      <x:c r="AJ42" s="26" t="str">
        <x:v>Not Started</x:v>
      </x:c>
      <x:c r="AK42" s="26" t="str"/>
      <x:c r="AL42" s="26" t="str"/>
    </x:row>
    <x:row r="43">
      <x:c r="A43" s="26" t="n">
        <x:v>40</x:v>
      </x:c>
      <x:c r="B43" s="26" t="n">
        <x:v>253</x:v>
      </x:c>
      <x:c r="C43" s="26" t="str">
        <x:v>Kumuram Bheem Asifabad</x:v>
      </x:c>
      <x:c r="D43" s="26" t="str">
        <x:v>Telangana</x:v>
      </x:c>
      <x:c r="E43" s="26" t="n">
        <x:v>9960</x:v>
      </x:c>
      <x:c r="F43" s="26" t="str">
        <x:v>PRJ-2026-0009960</x:v>
      </x:c>
      <x:c r="G43" s="26" t="str">
        <x:v>Rain Water Harvesting System : Water Filter Kitchen Construction : Poshan Vatika  kitchen Shelves : Gas stove, regulator : Solar Panel : Civil Repair : Toilet</x:v>
      </x:c>
      <x:c r="H43" s="26" t="str">
        <x:v>Mission Saksham Anganwadi &amp; POSHAN 2.0</x:v>
      </x:c>
      <x:c r="I43" s="32" t="n">
        <x:v>46164</x:v>
      </x:c>
      <x:c r="J43" s="32" t="n">
        <x:v>46255</x:v>
      </x:c>
      <x:c r="K43" s="32"/>
      <x:c r="L43" s="26" t="str">
        <x:v>Active: On/After 01-Aug-2026</x:v>
      </x:c>
      <x:c r="M43" s="26" t="str">
        <x:v>Pending Mapping</x:v>
      </x:c>
      <x:c r="N43" s="26" t="str">
        <x:v>Original project JSON not available</x:v>
      </x:c>
      <x:c r="O43" s="26"/>
      <x:c r="P43" s="26" t="str"/>
      <x:c r="Q43" s="26" t="str"/>
      <x:c r="R43" s="26"/>
      <x:c r="S43" s="36"/>
      <x:c r="T43" s="26"/>
      <x:c r="U43" s="26"/>
      <x:c r="V43" s="26"/>
      <x:c r="W43" s="26" t="n">
        <x:v>4</x:v>
      </x:c>
      <x:c r="X43" s="26" t="n">
        <x:v>0</x:v>
      </x:c>
      <x:c r="Y43" s="26" t="n">
        <x:f>SUMIF('Activity Detail'!$E$4:$E$706,F43,'Activity Detail'!$L$4:$L$706)</x:f>
        <x:v>4</x:v>
      </x:c>
      <x:c r="Z43" s="26" t="n">
        <x:f>SUMIF('Activity Detail'!$E$4:$E$706,F43,'Activity Detail'!$N$4:$N$706)</x:f>
        <x:v>0</x:v>
      </x:c>
      <x:c r="AA43" s="26" t="n">
        <x:f>MAX(Y43-Z43,0)</x:f>
        <x:v>4</x:v>
      </x:c>
      <x:c r="AB43" s="38" t="n">
        <x:f>IFERROR(Z43/Y43,0)</x:f>
        <x:v>0</x:v>
      </x:c>
      <x:c r="AC43" s="26" t="str">
        <x:v>Committed / Not Delivered</x:v>
      </x:c>
      <x:c r="AD43" s="26" t="str">
        <x:v>Approval not recorded in response</x:v>
      </x:c>
      <x:c r="AE43" s="27" t="b">
        <x:v>1</x:v>
      </x:c>
      <x:c r="AF43" s="34" t="n">
        <x:v>46220.0000462963</x:v>
      </x:c>
      <x:c r="AG43" s="34"/>
      <x:c r="AH43" s="26" t="str">
        <x:v>Contribution API fields only; original project JSON needed for line-item names/centres/category</x:v>
      </x:c>
      <x:c r="AI43" s="26" t="str"/>
      <x:c r="AJ43" s="26" t="str">
        <x:v>Not Started</x:v>
      </x:c>
      <x:c r="AK43" s="26" t="str"/>
      <x:c r="AL43" s="26" t="str"/>
    </x:row>
    <x:row r="44">
      <x:c r="A44" s="26" t="n">
        <x:v>41</x:v>
      </x:c>
      <x:c r="B44" s="26" t="n">
        <x:v>250</x:v>
      </x:c>
      <x:c r="C44" s="26" t="str">
        <x:v>Kumuram Bheem Asifabad</x:v>
      </x:c>
      <x:c r="D44" s="26" t="str">
        <x:v>Telangana</x:v>
      </x:c>
      <x:c r="E44" s="26" t="n">
        <x:v>10004</x:v>
      </x:c>
      <x:c r="F44" s="26" t="str">
        <x:v>PRJ-2026-0010004</x:v>
      </x:c>
      <x:c r="G44" s="26" t="str">
        <x:v>Proposal for upgradation of AWC</x:v>
      </x:c>
      <x:c r="H44" s="26" t="str">
        <x:v>Mission Saksham Anganwadi &amp; POSHAN 2.0</x:v>
      </x:c>
      <x:c r="I44" s="32" t="n">
        <x:v>46164</x:v>
      </x:c>
      <x:c r="J44" s="32" t="n">
        <x:v>46203</x:v>
      </x:c>
      <x:c r="K44" s="32"/>
      <x:c r="L44" s="26" t="str">
        <x:v>Exclude: Before 01-Aug-2026</x:v>
      </x:c>
      <x:c r="M44" s="26" t="str">
        <x:v>Pending Mapping</x:v>
      </x:c>
      <x:c r="N44" s="26" t="str">
        <x:v>Original project JSON not available</x:v>
      </x:c>
      <x:c r="O44" s="26"/>
      <x:c r="P44" s="26" t="str"/>
      <x:c r="Q44" s="26" t="str"/>
      <x:c r="R44" s="26"/>
      <x:c r="S44" s="36"/>
      <x:c r="T44" s="26"/>
      <x:c r="U44" s="26"/>
      <x:c r="V44" s="26"/>
      <x:c r="W44" s="26" t="n">
        <x:v>2</x:v>
      </x:c>
      <x:c r="X44" s="26" t="n">
        <x:v>0</x:v>
      </x:c>
      <x:c r="Y44" s="26" t="n">
        <x:f>SUMIF('Activity Detail'!$E$4:$E$706,F44,'Activity Detail'!$L$4:$L$706)</x:f>
        <x:v>2</x:v>
      </x:c>
      <x:c r="Z44" s="26" t="n">
        <x:f>SUMIF('Activity Detail'!$E$4:$E$706,F44,'Activity Detail'!$N$4:$N$706)</x:f>
        <x:v>0</x:v>
      </x:c>
      <x:c r="AA44" s="26" t="n">
        <x:f>MAX(Y44-Z44,0)</x:f>
        <x:v>2</x:v>
      </x:c>
      <x:c r="AB44" s="38" t="n">
        <x:f>IFERROR(Z44/Y44,0)</x:f>
        <x:v>0</x:v>
      </x:c>
      <x:c r="AC44" s="26" t="str">
        <x:v>Committed / Not Delivered</x:v>
      </x:c>
      <x:c r="AD44" s="26" t="str">
        <x:v>Approval not recorded in response</x:v>
      </x:c>
      <x:c r="AE44" s="27" t="b">
        <x:v>1</x:v>
      </x:c>
      <x:c r="AF44" s="34" t="n">
        <x:v>46220.00003472222</x:v>
      </x:c>
      <x:c r="AG44" s="34"/>
      <x:c r="AH44" s="26" t="str">
        <x:v>Contribution API fields only; original project JSON needed for line-item names/centres/category</x:v>
      </x:c>
      <x:c r="AI44" s="26" t="str"/>
      <x:c r="AJ44" s="26" t="str">
        <x:v>Not Started</x:v>
      </x:c>
      <x:c r="AK44" s="26" t="str"/>
      <x:c r="AL44" s="26" t="str"/>
    </x:row>
    <x:row r="45">
      <x:c r="A45" s="26" t="n">
        <x:v>42</x:v>
      </x:c>
      <x:c r="B45" s="26" t="n">
        <x:v>251</x:v>
      </x:c>
      <x:c r="C45" s="26" t="str">
        <x:v>Kumuram Bheem Asifabad</x:v>
      </x:c>
      <x:c r="D45" s="26" t="str">
        <x:v>Telangana</x:v>
      </x:c>
      <x:c r="E45" s="26" t="n">
        <x:v>9991</x:v>
      </x:c>
      <x:c r="F45" s="26" t="str">
        <x:v>PRJ-2026-0009991</x:v>
      </x:c>
      <x:c r="G45" s="26" t="str">
        <x:v>Rain Water Harvesting System : Water Filter Kitchen Construction : Poshan Vatika  kitchen Shelves : Gas stove, regulator : Solar Panel : Civil Repair : Toilet</x:v>
      </x:c>
      <x:c r="H45" s="26" t="str">
        <x:v>Mission Saksham Anganwadi &amp; POSHAN 2.0</x:v>
      </x:c>
      <x:c r="I45" s="32" t="n">
        <x:v>46164</x:v>
      </x:c>
      <x:c r="J45" s="32" t="n">
        <x:v>46255</x:v>
      </x:c>
      <x:c r="K45" s="32"/>
      <x:c r="L45" s="26" t="str">
        <x:v>Active: On/After 01-Aug-2026</x:v>
      </x:c>
      <x:c r="M45" s="26" t="str">
        <x:v>Pending Mapping</x:v>
      </x:c>
      <x:c r="N45" s="26" t="str">
        <x:v>Original project JSON not available</x:v>
      </x:c>
      <x:c r="O45" s="26"/>
      <x:c r="P45" s="26" t="str"/>
      <x:c r="Q45" s="26" t="str"/>
      <x:c r="R45" s="26"/>
      <x:c r="S45" s="36"/>
      <x:c r="T45" s="26"/>
      <x:c r="U45" s="26"/>
      <x:c r="V45" s="26"/>
      <x:c r="W45" s="26" t="n">
        <x:v>4</x:v>
      </x:c>
      <x:c r="X45" s="26" t="n">
        <x:v>0</x:v>
      </x:c>
      <x:c r="Y45" s="26" t="n">
        <x:f>SUMIF('Activity Detail'!$E$4:$E$706,F45,'Activity Detail'!$L$4:$L$706)</x:f>
        <x:v>4</x:v>
      </x:c>
      <x:c r="Z45" s="26" t="n">
        <x:f>SUMIF('Activity Detail'!$E$4:$E$706,F45,'Activity Detail'!$N$4:$N$706)</x:f>
        <x:v>0</x:v>
      </x:c>
      <x:c r="AA45" s="26" t="n">
        <x:f>MAX(Y45-Z45,0)</x:f>
        <x:v>4</x:v>
      </x:c>
      <x:c r="AB45" s="38" t="n">
        <x:f>IFERROR(Z45/Y45,0)</x:f>
        <x:v>0</x:v>
      </x:c>
      <x:c r="AC45" s="26" t="str">
        <x:v>Committed / Not Delivered</x:v>
      </x:c>
      <x:c r="AD45" s="26" t="str">
        <x:v>Approval not recorded in response</x:v>
      </x:c>
      <x:c r="AE45" s="27" t="b">
        <x:v>1</x:v>
      </x:c>
      <x:c r="AF45" s="34" t="n">
        <x:v>46220.00003472222</x:v>
      </x:c>
      <x:c r="AG45" s="34"/>
      <x:c r="AH45" s="26" t="str">
        <x:v>Contribution API fields only; original project JSON needed for line-item names/centres/category</x:v>
      </x:c>
      <x:c r="AI45" s="26" t="str"/>
      <x:c r="AJ45" s="26" t="str">
        <x:v>Not Started</x:v>
      </x:c>
      <x:c r="AK45" s="26" t="str"/>
      <x:c r="AL45" s="26" t="str"/>
    </x:row>
    <x:row r="46">
      <x:c r="A46" s="26" t="n">
        <x:v>43</x:v>
      </x:c>
      <x:c r="B46" s="26" t="n">
        <x:v>249</x:v>
      </x:c>
      <x:c r="C46" s="26" t="str">
        <x:v>Kumuram Bheem Asifabad</x:v>
      </x:c>
      <x:c r="D46" s="26" t="str">
        <x:v>Telangana</x:v>
      </x:c>
      <x:c r="E46" s="26" t="n">
        <x:v>10024</x:v>
      </x:c>
      <x:c r="F46" s="26" t="str">
        <x:v>PRJ-2026-0010024</x:v>
      </x:c>
      <x:c r="G46" s="26" t="str">
        <x:v>Rain Water Harvesting System : Water Filter Kitchen Construction : Poshan Vatika  kitchen Shelves : Gas stove, regulator : Solar Panel : Civil Repair : Toilet</x:v>
      </x:c>
      <x:c r="H46" s="26" t="str">
        <x:v>Mission Saksham Anganwadi &amp; POSHAN 2.0</x:v>
      </x:c>
      <x:c r="I46" s="32" t="n">
        <x:v>46164</x:v>
      </x:c>
      <x:c r="J46" s="32" t="n">
        <x:v>46255</x:v>
      </x:c>
      <x:c r="K46" s="32"/>
      <x:c r="L46" s="26" t="str">
        <x:v>Active: On/After 01-Aug-2026</x:v>
      </x:c>
      <x:c r="M46" s="26" t="str">
        <x:v>Pending Mapping</x:v>
      </x:c>
      <x:c r="N46" s="26" t="str">
        <x:v>Original project JSON not available</x:v>
      </x:c>
      <x:c r="O46" s="26"/>
      <x:c r="P46" s="26" t="str"/>
      <x:c r="Q46" s="26" t="str"/>
      <x:c r="R46" s="26"/>
      <x:c r="S46" s="36"/>
      <x:c r="T46" s="26"/>
      <x:c r="U46" s="26"/>
      <x:c r="V46" s="26"/>
      <x:c r="W46" s="26" t="n">
        <x:v>4</x:v>
      </x:c>
      <x:c r="X46" s="26" t="n">
        <x:v>0</x:v>
      </x:c>
      <x:c r="Y46" s="26" t="n">
        <x:f>SUMIF('Activity Detail'!$E$4:$E$706,F46,'Activity Detail'!$L$4:$L$706)</x:f>
        <x:v>4</x:v>
      </x:c>
      <x:c r="Z46" s="26" t="n">
        <x:f>SUMIF('Activity Detail'!$E$4:$E$706,F46,'Activity Detail'!$N$4:$N$706)</x:f>
        <x:v>0</x:v>
      </x:c>
      <x:c r="AA46" s="26" t="n">
        <x:f>MAX(Y46-Z46,0)</x:f>
        <x:v>4</x:v>
      </x:c>
      <x:c r="AB46" s="38" t="n">
        <x:f>IFERROR(Z46/Y46,0)</x:f>
        <x:v>0</x:v>
      </x:c>
      <x:c r="AC46" s="26" t="str">
        <x:v>Committed / Not Delivered</x:v>
      </x:c>
      <x:c r="AD46" s="26" t="str">
        <x:v>Approval not recorded in response</x:v>
      </x:c>
      <x:c r="AE46" s="27" t="b">
        <x:v>1</x:v>
      </x:c>
      <x:c r="AF46" s="34" t="n">
        <x:v>46220.000023148146</x:v>
      </x:c>
      <x:c r="AG46" s="34"/>
      <x:c r="AH46" s="26" t="str">
        <x:v>Contribution API fields only; original project JSON needed for line-item names/centres/category</x:v>
      </x:c>
      <x:c r="AI46" s="26" t="str"/>
      <x:c r="AJ46" s="26" t="str">
        <x:v>Not Started</x:v>
      </x:c>
      <x:c r="AK46" s="26" t="str"/>
      <x:c r="AL46" s="26" t="str"/>
    </x:row>
    <x:row r="47">
      <x:c r="A47" s="26" t="n">
        <x:v>44</x:v>
      </x:c>
      <x:c r="B47" s="26" t="n">
        <x:v>248</x:v>
      </x:c>
      <x:c r="C47" s="26" t="str">
        <x:v>Kumuram Bheem Asifabad</x:v>
      </x:c>
      <x:c r="D47" s="26" t="str">
        <x:v>Telangana</x:v>
      </x:c>
      <x:c r="E47" s="26" t="n">
        <x:v>10046</x:v>
      </x:c>
      <x:c r="F47" s="26" t="str">
        <x:v>PRJ-2026-0010046</x:v>
      </x:c>
      <x:c r="G47" s="26" t="str">
        <x:v>Proposal for upgradation of AWC</x:v>
      </x:c>
      <x:c r="H47" s="26" t="str">
        <x:v>Mission Saksham Anganwadi &amp; POSHAN 2.0</x:v>
      </x:c>
      <x:c r="I47" s="32" t="n">
        <x:v>46164</x:v>
      </x:c>
      <x:c r="J47" s="32" t="n">
        <x:v>46203</x:v>
      </x:c>
      <x:c r="K47" s="32"/>
      <x:c r="L47" s="26" t="str">
        <x:v>Exclude: Before 01-Aug-2026</x:v>
      </x:c>
      <x:c r="M47" s="26" t="str">
        <x:v>Pending Mapping</x:v>
      </x:c>
      <x:c r="N47" s="26" t="str">
        <x:v>Original project JSON not available</x:v>
      </x:c>
      <x:c r="O47" s="26"/>
      <x:c r="P47" s="26" t="str"/>
      <x:c r="Q47" s="26" t="str"/>
      <x:c r="R47" s="26"/>
      <x:c r="S47" s="36"/>
      <x:c r="T47" s="26"/>
      <x:c r="U47" s="26"/>
      <x:c r="V47" s="26"/>
      <x:c r="W47" s="26" t="n">
        <x:v>4</x:v>
      </x:c>
      <x:c r="X47" s="26" t="n">
        <x:v>0</x:v>
      </x:c>
      <x:c r="Y47" s="26" t="n">
        <x:f>SUMIF('Activity Detail'!$E$4:$E$706,F47,'Activity Detail'!$L$4:$L$706)</x:f>
        <x:v>22</x:v>
      </x:c>
      <x:c r="Z47" s="26" t="n">
        <x:f>SUMIF('Activity Detail'!$E$4:$E$706,F47,'Activity Detail'!$N$4:$N$706)</x:f>
        <x:v>0</x:v>
      </x:c>
      <x:c r="AA47" s="26" t="n">
        <x:f>MAX(Y47-Z47,0)</x:f>
        <x:v>22</x:v>
      </x:c>
      <x:c r="AB47" s="38" t="n">
        <x:f>IFERROR(Z47/Y47,0)</x:f>
        <x:v>0</x:v>
      </x:c>
      <x:c r="AC47" s="26" t="str">
        <x:v>Committed / Not Delivered</x:v>
      </x:c>
      <x:c r="AD47" s="26" t="str">
        <x:v>Approval not recorded in response</x:v>
      </x:c>
      <x:c r="AE47" s="27" t="b">
        <x:v>1</x:v>
      </x:c>
      <x:c r="AF47" s="34" t="n">
        <x:v>46220.00001157408</x:v>
      </x:c>
      <x:c r="AG47" s="34"/>
      <x:c r="AH47" s="26" t="str">
        <x:v>Contribution API fields only; original project JSON needed for line-item names/centres/category</x:v>
      </x:c>
      <x:c r="AI47" s="26" t="str"/>
      <x:c r="AJ47" s="26" t="str">
        <x:v>Not Started</x:v>
      </x:c>
      <x:c r="AK47" s="26" t="str"/>
      <x:c r="AL47" s="26" t="str"/>
    </x:row>
    <x:row r="48">
      <x:c r="A48" s="26" t="n">
        <x:v>45</x:v>
      </x:c>
      <x:c r="B48" s="26" t="n">
        <x:v>246</x:v>
      </x:c>
      <x:c r="C48" s="26" t="str">
        <x:v>Kumuram Bheem Asifabad</x:v>
      </x:c>
      <x:c r="D48" s="26" t="str">
        <x:v>Telangana</x:v>
      </x:c>
      <x:c r="E48" s="26" t="n">
        <x:v>10089</x:v>
      </x:c>
      <x:c r="F48" s="26" t="str">
        <x:v>PRJ-2026-0010089</x:v>
      </x:c>
      <x:c r="G48" s="26" t="str">
        <x:v>Rain Water Harvesting System : Water Filter Kitchen Construction : Poshan Vatika  kitchen Shelves : Gas stove, regulator : Solar Panel : Civil Repair : Toilet</x:v>
      </x:c>
      <x:c r="H48" s="26" t="str">
        <x:v>Mission Saksham Anganwadi &amp; POSHAN 2.0</x:v>
      </x:c>
      <x:c r="I48" s="32" t="n">
        <x:v>46164</x:v>
      </x:c>
      <x:c r="J48" s="32" t="n">
        <x:v>46255</x:v>
      </x:c>
      <x:c r="K48" s="32"/>
      <x:c r="L48" s="26" t="str">
        <x:v>Active: On/After 01-Aug-2026</x:v>
      </x:c>
      <x:c r="M48" s="26" t="str">
        <x:v>Pending Mapping</x:v>
      </x:c>
      <x:c r="N48" s="26" t="str">
        <x:v>Original project JSON not available</x:v>
      </x:c>
      <x:c r="O48" s="26"/>
      <x:c r="P48" s="26" t="str"/>
      <x:c r="Q48" s="26" t="str"/>
      <x:c r="R48" s="26"/>
      <x:c r="S48" s="36"/>
      <x:c r="T48" s="26"/>
      <x:c r="U48" s="26"/>
      <x:c r="V48" s="26"/>
      <x:c r="W48" s="26" t="n">
        <x:v>4</x:v>
      </x:c>
      <x:c r="X48" s="26" t="n">
        <x:v>0</x:v>
      </x:c>
      <x:c r="Y48" s="26" t="n">
        <x:f>SUMIF('Activity Detail'!$E$4:$E$706,F48,'Activity Detail'!$L$4:$L$706)</x:f>
        <x:v>4</x:v>
      </x:c>
      <x:c r="Z48" s="26" t="n">
        <x:f>SUMIF('Activity Detail'!$E$4:$E$706,F48,'Activity Detail'!$N$4:$N$706)</x:f>
        <x:v>0</x:v>
      </x:c>
      <x:c r="AA48" s="26" t="n">
        <x:f>MAX(Y48-Z48,0)</x:f>
        <x:v>4</x:v>
      </x:c>
      <x:c r="AB48" s="38" t="n">
        <x:f>IFERROR(Z48/Y48,0)</x:f>
        <x:v>0</x:v>
      </x:c>
      <x:c r="AC48" s="26" t="str">
        <x:v>Committed / Not Delivered</x:v>
      </x:c>
      <x:c r="AD48" s="26" t="str">
        <x:v>Approval not recorded in response</x:v>
      </x:c>
      <x:c r="AE48" s="27" t="b">
        <x:v>1</x:v>
      </x:c>
      <x:c r="AF48" s="34" t="n">
        <x:v>46220</x:v>
      </x:c>
      <x:c r="AG48" s="34"/>
      <x:c r="AH48" s="26" t="str">
        <x:v>Contribution API fields only; original project JSON needed for line-item names/centres/category</x:v>
      </x:c>
      <x:c r="AI48" s="26" t="str"/>
      <x:c r="AJ48" s="26" t="str">
        <x:v>Not Started</x:v>
      </x:c>
      <x:c r="AK48" s="26" t="str"/>
      <x:c r="AL48" s="26" t="str"/>
    </x:row>
    <x:row r="49">
      <x:c r="A49" s="26" t="n">
        <x:v>46</x:v>
      </x:c>
      <x:c r="B49" s="26" t="n">
        <x:v>247</x:v>
      </x:c>
      <x:c r="C49" s="26" t="str">
        <x:v>Kumuram Bheem Asifabad</x:v>
      </x:c>
      <x:c r="D49" s="26" t="str">
        <x:v>Telangana</x:v>
      </x:c>
      <x:c r="E49" s="26" t="n">
        <x:v>10055</x:v>
      </x:c>
      <x:c r="F49" s="26" t="str">
        <x:v>PRJ-2026-0010055</x:v>
      </x:c>
      <x:c r="G49" s="26" t="str">
        <x:v>Rain Water Harvesting System : Water Filter Kitchen Construction : Poshan Vatika  kitchen Shelves : Gas stove, regulator : Solar Panel : Civil Repair : Toilet</x:v>
      </x:c>
      <x:c r="H49" s="26" t="str">
        <x:v>Mission Saksham Anganwadi &amp; POSHAN 2.0</x:v>
      </x:c>
      <x:c r="I49" s="32" t="n">
        <x:v>46164</x:v>
      </x:c>
      <x:c r="J49" s="32" t="n">
        <x:v>46256</x:v>
      </x:c>
      <x:c r="K49" s="32"/>
      <x:c r="L49" s="26" t="str">
        <x:v>Active: On/After 01-Aug-2026</x:v>
      </x:c>
      <x:c r="M49" s="26" t="str">
        <x:v>Pending Mapping</x:v>
      </x:c>
      <x:c r="N49" s="26" t="str">
        <x:v>Original project JSON not available</x:v>
      </x:c>
      <x:c r="O49" s="26"/>
      <x:c r="P49" s="26" t="str"/>
      <x:c r="Q49" s="26" t="str"/>
      <x:c r="R49" s="26"/>
      <x:c r="S49" s="36"/>
      <x:c r="T49" s="26"/>
      <x:c r="U49" s="26"/>
      <x:c r="V49" s="26"/>
      <x:c r="W49" s="26" t="n">
        <x:v>4</x:v>
      </x:c>
      <x:c r="X49" s="26" t="n">
        <x:v>0</x:v>
      </x:c>
      <x:c r="Y49" s="26" t="n">
        <x:f>SUMIF('Activity Detail'!$E$4:$E$706,F49,'Activity Detail'!$L$4:$L$706)</x:f>
        <x:v>4</x:v>
      </x:c>
      <x:c r="Z49" s="26" t="n">
        <x:f>SUMIF('Activity Detail'!$E$4:$E$706,F49,'Activity Detail'!$N$4:$N$706)</x:f>
        <x:v>0</x:v>
      </x:c>
      <x:c r="AA49" s="26" t="n">
        <x:f>MAX(Y49-Z49,0)</x:f>
        <x:v>4</x:v>
      </x:c>
      <x:c r="AB49" s="38" t="n">
        <x:f>IFERROR(Z49/Y49,0)</x:f>
        <x:v>0</x:v>
      </x:c>
      <x:c r="AC49" s="26" t="str">
        <x:v>Committed / Not Delivered</x:v>
      </x:c>
      <x:c r="AD49" s="26" t="str">
        <x:v>Approval not recorded in response</x:v>
      </x:c>
      <x:c r="AE49" s="27" t="b">
        <x:v>1</x:v>
      </x:c>
      <x:c r="AF49" s="34" t="n">
        <x:v>46220</x:v>
      </x:c>
      <x:c r="AG49" s="34"/>
      <x:c r="AH49" s="26" t="str">
        <x:v>Contribution API fields only; original project JSON needed for line-item names/centres/category</x:v>
      </x:c>
      <x:c r="AI49" s="26" t="str"/>
      <x:c r="AJ49" s="26" t="str">
        <x:v>Not Started</x:v>
      </x:c>
      <x:c r="AK49" s="26" t="str"/>
      <x:c r="AL49" s="26" t="str"/>
    </x:row>
    <x:row r="50">
      <x:c r="A50" s="26" t="n">
        <x:v>47</x:v>
      </x:c>
      <x:c r="B50" s="26" t="n">
        <x:v>245</x:v>
      </x:c>
      <x:c r="C50" s="26" t="str">
        <x:v>Kumuram Bheem Asifabad</x:v>
      </x:c>
      <x:c r="D50" s="26" t="str">
        <x:v>Telangana</x:v>
      </x:c>
      <x:c r="E50" s="26" t="n">
        <x:v>10093</x:v>
      </x:c>
      <x:c r="F50" s="26" t="str">
        <x:v>PRJ-2026-0010093</x:v>
      </x:c>
      <x:c r="G50" s="26" t="str">
        <x:v>Proposal for upgradation of AWC</x:v>
      </x:c>
      <x:c r="H50" s="26" t="str">
        <x:v>Mission Saksham Anganwadi &amp; POSHAN 2.0</x:v>
      </x:c>
      <x:c r="I50" s="32" t="n">
        <x:v>46164</x:v>
      </x:c>
      <x:c r="J50" s="32" t="n">
        <x:v>46203</x:v>
      </x:c>
      <x:c r="K50" s="32"/>
      <x:c r="L50" s="26" t="str">
        <x:v>Exclude: Before 01-Aug-2026</x:v>
      </x:c>
      <x:c r="M50" s="26" t="str">
        <x:v>Pending Mapping</x:v>
      </x:c>
      <x:c r="N50" s="26" t="str">
        <x:v>Original project JSON not available</x:v>
      </x:c>
      <x:c r="O50" s="26"/>
      <x:c r="P50" s="26" t="str"/>
      <x:c r="Q50" s="26" t="str"/>
      <x:c r="R50" s="26"/>
      <x:c r="S50" s="36"/>
      <x:c r="T50" s="26"/>
      <x:c r="U50" s="26"/>
      <x:c r="V50" s="26"/>
      <x:c r="W50" s="26" t="n">
        <x:v>4</x:v>
      </x:c>
      <x:c r="X50" s="26" t="n">
        <x:v>0</x:v>
      </x:c>
      <x:c r="Y50" s="26" t="n">
        <x:f>SUMIF('Activity Detail'!$E$4:$E$706,F50,'Activity Detail'!$L$4:$L$706)</x:f>
        <x:v>8</x:v>
      </x:c>
      <x:c r="Z50" s="26" t="n">
        <x:f>SUMIF('Activity Detail'!$E$4:$E$706,F50,'Activity Detail'!$N$4:$N$706)</x:f>
        <x:v>0</x:v>
      </x:c>
      <x:c r="AA50" s="26" t="n">
        <x:f>MAX(Y50-Z50,0)</x:f>
        <x:v>8</x:v>
      </x:c>
      <x:c r="AB50" s="38" t="n">
        <x:f>IFERROR(Z50/Y50,0)</x:f>
        <x:v>0</x:v>
      </x:c>
      <x:c r="AC50" s="26" t="str">
        <x:v>Committed / Not Delivered</x:v>
      </x:c>
      <x:c r="AD50" s="26" t="str">
        <x:v>Approval not recorded in response</x:v>
      </x:c>
      <x:c r="AE50" s="27" t="b">
        <x:v>1</x:v>
      </x:c>
      <x:c r="AF50" s="34" t="n">
        <x:v>46219.99998842592</x:v>
      </x:c>
      <x:c r="AG50" s="34"/>
      <x:c r="AH50" s="26" t="str">
        <x:v>Contribution API fields only; original project JSON needed for line-item names/centres/category</x:v>
      </x:c>
      <x:c r="AI50" s="26" t="str"/>
      <x:c r="AJ50" s="26" t="str">
        <x:v>Not Started</x:v>
      </x:c>
      <x:c r="AK50" s="26" t="str"/>
      <x:c r="AL50" s="26" t="str"/>
    </x:row>
    <x:row r="51">
      <x:c r="A51" s="26" t="n">
        <x:v>48</x:v>
      </x:c>
      <x:c r="B51" s="26" t="n">
        <x:v>244</x:v>
      </x:c>
      <x:c r="C51" s="26" t="str">
        <x:v>Kumuram Bheem Asifabad</x:v>
      </x:c>
      <x:c r="D51" s="26" t="str">
        <x:v>Telangana</x:v>
      </x:c>
      <x:c r="E51" s="26" t="n">
        <x:v>10113</x:v>
      </x:c>
      <x:c r="F51" s="26" t="str">
        <x:v>PRJ-2026-0010113</x:v>
      </x:c>
      <x:c r="G51" s="26" t="str">
        <x:v>Rain Water Harvesting System : Water Filter Kitchen Construction : Poshan Vatika  kitchen Shelves : Gas stove, regulator : Solar Panel : Civil Repair : Toilet</x:v>
      </x:c>
      <x:c r="H51" s="26" t="str">
        <x:v>Mission Saksham Anganwadi &amp; POSHAN 2.0</x:v>
      </x:c>
      <x:c r="I51" s="32" t="n">
        <x:v>46164</x:v>
      </x:c>
      <x:c r="J51" s="32" t="n">
        <x:v>46255</x:v>
      </x:c>
      <x:c r="K51" s="32"/>
      <x:c r="L51" s="26" t="str">
        <x:v>Active: On/After 01-Aug-2026</x:v>
      </x:c>
      <x:c r="M51" s="26" t="str">
        <x:v>Pending Mapping</x:v>
      </x:c>
      <x:c r="N51" s="26" t="str">
        <x:v>Original project JSON not available</x:v>
      </x:c>
      <x:c r="O51" s="26"/>
      <x:c r="P51" s="26" t="str"/>
      <x:c r="Q51" s="26" t="str"/>
      <x:c r="R51" s="26"/>
      <x:c r="S51" s="36"/>
      <x:c r="T51" s="26"/>
      <x:c r="U51" s="26"/>
      <x:c r="V51" s="26"/>
      <x:c r="W51" s="26" t="n">
        <x:v>4</x:v>
      </x:c>
      <x:c r="X51" s="26" t="n">
        <x:v>0</x:v>
      </x:c>
      <x:c r="Y51" s="26" t="n">
        <x:f>SUMIF('Activity Detail'!$E$4:$E$706,F51,'Activity Detail'!$L$4:$L$706)</x:f>
        <x:v>4</x:v>
      </x:c>
      <x:c r="Z51" s="26" t="n">
        <x:f>SUMIF('Activity Detail'!$E$4:$E$706,F51,'Activity Detail'!$N$4:$N$706)</x:f>
        <x:v>0</x:v>
      </x:c>
      <x:c r="AA51" s="26" t="n">
        <x:f>MAX(Y51-Z51,0)</x:f>
        <x:v>4</x:v>
      </x:c>
      <x:c r="AB51" s="38" t="n">
        <x:f>IFERROR(Z51/Y51,0)</x:f>
        <x:v>0</x:v>
      </x:c>
      <x:c r="AC51" s="26" t="str">
        <x:v>Committed / Not Delivered</x:v>
      </x:c>
      <x:c r="AD51" s="26" t="str">
        <x:v>Approval not recorded in response</x:v>
      </x:c>
      <x:c r="AE51" s="27" t="b">
        <x:v>1</x:v>
      </x:c>
      <x:c r="AF51" s="34" t="n">
        <x:v>46219.999976851854</x:v>
      </x:c>
      <x:c r="AG51" s="34"/>
      <x:c r="AH51" s="26" t="str">
        <x:v>Contribution API fields only; original project JSON needed for line-item names/centres/category</x:v>
      </x:c>
      <x:c r="AI51" s="26" t="str"/>
      <x:c r="AJ51" s="26" t="str">
        <x:v>Not Started</x:v>
      </x:c>
      <x:c r="AK51" s="26" t="str"/>
      <x:c r="AL51" s="26" t="str"/>
    </x:row>
    <x:row r="52">
      <x:c r="A52" s="26" t="n">
        <x:v>49</x:v>
      </x:c>
      <x:c r="B52" s="26" t="n">
        <x:v>242</x:v>
      </x:c>
      <x:c r="C52" s="26" t="str">
        <x:v>Kumuram Bheem Asifabad</x:v>
      </x:c>
      <x:c r="D52" s="26" t="str">
        <x:v>Telangana</x:v>
      </x:c>
      <x:c r="E52" s="26" t="n">
        <x:v>10141</x:v>
      </x:c>
      <x:c r="F52" s="26" t="str">
        <x:v>PRJ-2026-0010141</x:v>
      </x:c>
      <x:c r="G52" s="26" t="str">
        <x:v>Rain Water Harvesting System : Water Filter Kitchen Construction : Poshan Vatika  kitchen Shelves : Gas stove, regulator : Solar Panel : Civil Repair : Toilet</x:v>
      </x:c>
      <x:c r="H52" s="26" t="str">
        <x:v>Mission Saksham Anganwadi &amp; POSHAN 2.0</x:v>
      </x:c>
      <x:c r="I52" s="32" t="n">
        <x:v>46164</x:v>
      </x:c>
      <x:c r="J52" s="32" t="n">
        <x:v>46255</x:v>
      </x:c>
      <x:c r="K52" s="32"/>
      <x:c r="L52" s="26" t="str">
        <x:v>Active: On/After 01-Aug-2026</x:v>
      </x:c>
      <x:c r="M52" s="26" t="str">
        <x:v>Pending Mapping</x:v>
      </x:c>
      <x:c r="N52" s="26" t="str">
        <x:v>Original project JSON not available</x:v>
      </x:c>
      <x:c r="O52" s="26"/>
      <x:c r="P52" s="26" t="str"/>
      <x:c r="Q52" s="26" t="str"/>
      <x:c r="R52" s="26"/>
      <x:c r="S52" s="36"/>
      <x:c r="T52" s="26"/>
      <x:c r="U52" s="26"/>
      <x:c r="V52" s="26"/>
      <x:c r="W52" s="26" t="n">
        <x:v>4</x:v>
      </x:c>
      <x:c r="X52" s="26" t="n">
        <x:v>0</x:v>
      </x:c>
      <x:c r="Y52" s="26" t="n">
        <x:f>SUMIF('Activity Detail'!$E$4:$E$706,F52,'Activity Detail'!$L$4:$L$706)</x:f>
        <x:v>4</x:v>
      </x:c>
      <x:c r="Z52" s="26" t="n">
        <x:f>SUMIF('Activity Detail'!$E$4:$E$706,F52,'Activity Detail'!$N$4:$N$706)</x:f>
        <x:v>0</x:v>
      </x:c>
      <x:c r="AA52" s="26" t="n">
        <x:f>MAX(Y52-Z52,0)</x:f>
        <x:v>4</x:v>
      </x:c>
      <x:c r="AB52" s="38" t="n">
        <x:f>IFERROR(Z52/Y52,0)</x:f>
        <x:v>0</x:v>
      </x:c>
      <x:c r="AC52" s="26" t="str">
        <x:v>Committed / Not Delivered</x:v>
      </x:c>
      <x:c r="AD52" s="26" t="str">
        <x:v>Approval not recorded in response</x:v>
      </x:c>
      <x:c r="AE52" s="27" t="b">
        <x:v>1</x:v>
      </x:c>
      <x:c r="AF52" s="34" t="n">
        <x:v>46219.99996527778</x:v>
      </x:c>
      <x:c r="AG52" s="34"/>
      <x:c r="AH52" s="26" t="str">
        <x:v>Contribution API fields only; original project JSON needed for line-item names/centres/category</x:v>
      </x:c>
      <x:c r="AI52" s="26" t="str"/>
      <x:c r="AJ52" s="26" t="str">
        <x:v>Not Started</x:v>
      </x:c>
      <x:c r="AK52" s="26" t="str"/>
      <x:c r="AL52" s="26" t="str"/>
    </x:row>
    <x:row r="53">
      <x:c r="A53" s="26" t="n">
        <x:v>50</x:v>
      </x:c>
      <x:c r="B53" s="26" t="n">
        <x:v>243</x:v>
      </x:c>
      <x:c r="C53" s="26" t="str">
        <x:v>Kumuram Bheem Asifabad</x:v>
      </x:c>
      <x:c r="D53" s="26" t="str">
        <x:v>Telangana</x:v>
      </x:c>
      <x:c r="E53" s="26" t="n">
        <x:v>10135</x:v>
      </x:c>
      <x:c r="F53" s="26" t="str">
        <x:v>PRJ-2026-0010135</x:v>
      </x:c>
      <x:c r="G53" s="26" t="str">
        <x:v>Proposal for upgradation of Anganwadi centre</x:v>
      </x:c>
      <x:c r="H53" s="26" t="str">
        <x:v>Mission Saksham Anganwadi &amp; POSHAN 2.0</x:v>
      </x:c>
      <x:c r="I53" s="32" t="n">
        <x:v>46164</x:v>
      </x:c>
      <x:c r="J53" s="32" t="n">
        <x:v>46234</x:v>
      </x:c>
      <x:c r="K53" s="32"/>
      <x:c r="L53" s="26" t="str">
        <x:v>Exclude: Before 01-Aug-2026</x:v>
      </x:c>
      <x:c r="M53" s="26" t="str">
        <x:v>Pending Mapping</x:v>
      </x:c>
      <x:c r="N53" s="26" t="str">
        <x:v>Original project JSON not available</x:v>
      </x:c>
      <x:c r="O53" s="26"/>
      <x:c r="P53" s="26" t="str"/>
      <x:c r="Q53" s="26" t="str"/>
      <x:c r="R53" s="26"/>
      <x:c r="S53" s="36"/>
      <x:c r="T53" s="26"/>
      <x:c r="U53" s="26"/>
      <x:c r="V53" s="26"/>
      <x:c r="W53" s="26" t="n">
        <x:v>3</x:v>
      </x:c>
      <x:c r="X53" s="26" t="n">
        <x:v>0</x:v>
      </x:c>
      <x:c r="Y53" s="26" t="n">
        <x:f>SUMIF('Activity Detail'!$E$4:$E$706,F53,'Activity Detail'!$L$4:$L$706)</x:f>
        <x:v>3</x:v>
      </x:c>
      <x:c r="Z53" s="26" t="n">
        <x:f>SUMIF('Activity Detail'!$E$4:$E$706,F53,'Activity Detail'!$N$4:$N$706)</x:f>
        <x:v>0</x:v>
      </x:c>
      <x:c r="AA53" s="26" t="n">
        <x:f>MAX(Y53-Z53,0)</x:f>
        <x:v>3</x:v>
      </x:c>
      <x:c r="AB53" s="38" t="n">
        <x:f>IFERROR(Z53/Y53,0)</x:f>
        <x:v>0</x:v>
      </x:c>
      <x:c r="AC53" s="26" t="str">
        <x:v>Committed / Not Delivered</x:v>
      </x:c>
      <x:c r="AD53" s="26" t="str">
        <x:v>Approval not recorded in response</x:v>
      </x:c>
      <x:c r="AE53" s="27" t="b">
        <x:v>1</x:v>
      </x:c>
      <x:c r="AF53" s="34" t="n">
        <x:v>46219.99996527778</x:v>
      </x:c>
      <x:c r="AG53" s="34"/>
      <x:c r="AH53" s="26" t="str">
        <x:v>Contribution API fields only; original project JSON needed for line-item names/centres/category</x:v>
      </x:c>
      <x:c r="AI53" s="26" t="str"/>
      <x:c r="AJ53" s="26" t="str">
        <x:v>Not Started</x:v>
      </x:c>
      <x:c r="AK53" s="26" t="str"/>
      <x:c r="AL53" s="26" t="str"/>
    </x:row>
    <x:row r="54">
      <x:c r="A54" s="26" t="n">
        <x:v>51</x:v>
      </x:c>
      <x:c r="B54" s="26" t="n">
        <x:v>241</x:v>
      </x:c>
      <x:c r="C54" s="26" t="str">
        <x:v>Kumuram Bheem Asifabad</x:v>
      </x:c>
      <x:c r="D54" s="26" t="str">
        <x:v>Telangana</x:v>
      </x:c>
      <x:c r="E54" s="26" t="n">
        <x:v>11148</x:v>
      </x:c>
      <x:c r="F54" s="26" t="str">
        <x:v>PRJ-2026-0011148</x:v>
      </x:c>
      <x:c r="G54" s="26" t="str">
        <x:v>Water filter, ECCE metirial </x:v>
      </x:c>
      <x:c r="H54" s="26" t="str">
        <x:v>Mission Saksham Anganwadi &amp; POSHAN 2.0</x:v>
      </x:c>
      <x:c r="I54" s="32" t="n">
        <x:v>46164</x:v>
      </x:c>
      <x:c r="J54" s="32" t="n">
        <x:v>46265</x:v>
      </x:c>
      <x:c r="K54" s="32"/>
      <x:c r="L54" s="26" t="str">
        <x:v>Active: On/After 01-Aug-2026</x:v>
      </x:c>
      <x:c r="M54" s="26" t="str">
        <x:v>Pending Mapping</x:v>
      </x:c>
      <x:c r="N54" s="26" t="str">
        <x:v>Original project JSON not available</x:v>
      </x:c>
      <x:c r="O54" s="26"/>
      <x:c r="P54" s="26" t="str"/>
      <x:c r="Q54" s="26" t="str"/>
      <x:c r="R54" s="26"/>
      <x:c r="S54" s="36"/>
      <x:c r="T54" s="26"/>
      <x:c r="U54" s="26"/>
      <x:c r="V54" s="26"/>
      <x:c r="W54" s="26" t="n">
        <x:v>6</x:v>
      </x:c>
      <x:c r="X54" s="26" t="n">
        <x:v>0</x:v>
      </x:c>
      <x:c r="Y54" s="26" t="n">
        <x:f>SUMIF('Activity Detail'!$E$4:$E$706,F54,'Activity Detail'!$L$4:$L$706)</x:f>
        <x:v>12</x:v>
      </x:c>
      <x:c r="Z54" s="26" t="n">
        <x:f>SUMIF('Activity Detail'!$E$4:$E$706,F54,'Activity Detail'!$N$4:$N$706)</x:f>
        <x:v>0</x:v>
      </x:c>
      <x:c r="AA54" s="26" t="n">
        <x:f>MAX(Y54-Z54,0)</x:f>
        <x:v>12</x:v>
      </x:c>
      <x:c r="AB54" s="38" t="n">
        <x:f>IFERROR(Z54/Y54,0)</x:f>
        <x:v>0</x:v>
      </x:c>
      <x:c r="AC54" s="26" t="str">
        <x:v>Committed / Not Delivered</x:v>
      </x:c>
      <x:c r="AD54" s="26" t="str">
        <x:v>Approval not recorded in response</x:v>
      </x:c>
      <x:c r="AE54" s="27" t="b">
        <x:v>1</x:v>
      </x:c>
      <x:c r="AF54" s="34" t="n">
        <x:v>46219.9999537037</x:v>
      </x:c>
      <x:c r="AG54" s="34"/>
      <x:c r="AH54" s="26" t="str">
        <x:v>Contribution API fields only; original project JSON needed for line-item names/centres/category</x:v>
      </x:c>
      <x:c r="AI54" s="26" t="str"/>
      <x:c r="AJ54" s="26" t="str">
        <x:v>Not Started</x:v>
      </x:c>
      <x:c r="AK54" s="26" t="str"/>
      <x:c r="AL54" s="26" t="str"/>
    </x:row>
    <x:row r="55">
      <x:c r="A55" s="26" t="n">
        <x:v>52</x:v>
      </x:c>
      <x:c r="B55" s="26" t="n">
        <x:v>240</x:v>
      </x:c>
      <x:c r="C55" s="26" t="str">
        <x:v>Kumuram Bheem Asifabad</x:v>
      </x:c>
      <x:c r="D55" s="26" t="str">
        <x:v>Telangana</x:v>
      </x:c>
      <x:c r="E55" s="26" t="n">
        <x:v>9205</x:v>
      </x:c>
      <x:c r="F55" s="26" t="str">
        <x:v>PRJ-2026-0009205</x:v>
      </x:c>
      <x:c r="G55" s="26" t="str">
        <x:v>Proposal for upgradation of Anganwadi centre</x:v>
      </x:c>
      <x:c r="H55" s="26" t="str">
        <x:v>Mission Saksham Anganwadi &amp; POSHAN 2.0</x:v>
      </x:c>
      <x:c r="I55" s="32" t="n">
        <x:v>46164</x:v>
      </x:c>
      <x:c r="J55" s="32" t="n">
        <x:v>46203</x:v>
      </x:c>
      <x:c r="K55" s="32"/>
      <x:c r="L55" s="26" t="str">
        <x:v>Exclude: Before 01-Aug-2026</x:v>
      </x:c>
      <x:c r="M55" s="26" t="str">
        <x:v>Pending Mapping</x:v>
      </x:c>
      <x:c r="N55" s="26" t="str">
        <x:v>Original project JSON not available</x:v>
      </x:c>
      <x:c r="O55" s="26"/>
      <x:c r="P55" s="26" t="str"/>
      <x:c r="Q55" s="26" t="str"/>
      <x:c r="R55" s="26"/>
      <x:c r="S55" s="36"/>
      <x:c r="T55" s="26"/>
      <x:c r="U55" s="26"/>
      <x:c r="V55" s="26"/>
      <x:c r="W55" s="26" t="n">
        <x:v>4</x:v>
      </x:c>
      <x:c r="X55" s="26" t="n">
        <x:v>0</x:v>
      </x:c>
      <x:c r="Y55" s="26" t="n">
        <x:f>SUMIF('Activity Detail'!$E$4:$E$706,F55,'Activity Detail'!$L$4:$L$706)</x:f>
        <x:v>8</x:v>
      </x:c>
      <x:c r="Z55" s="26" t="n">
        <x:f>SUMIF('Activity Detail'!$E$4:$E$706,F55,'Activity Detail'!$N$4:$N$706)</x:f>
        <x:v>0</x:v>
      </x:c>
      <x:c r="AA55" s="26" t="n">
        <x:f>MAX(Y55-Z55,0)</x:f>
        <x:v>8</x:v>
      </x:c>
      <x:c r="AB55" s="38" t="n">
        <x:f>IFERROR(Z55/Y55,0)</x:f>
        <x:v>0</x:v>
      </x:c>
      <x:c r="AC55" s="26" t="str">
        <x:v>Committed / Not Delivered</x:v>
      </x:c>
      <x:c r="AD55" s="26" t="str">
        <x:v>Approval not recorded in response</x:v>
      </x:c>
      <x:c r="AE55" s="27" t="b">
        <x:v>1</x:v>
      </x:c>
      <x:c r="AF55" s="34" t="n">
        <x:v>46219.856261574074</x:v>
      </x:c>
      <x:c r="AG55" s="34"/>
      <x:c r="AH55" s="26" t="str">
        <x:v>Contribution API fields only; original project JSON needed for line-item names/centres/category</x:v>
      </x:c>
      <x:c r="AI55" s="26" t="str"/>
      <x:c r="AJ55" s="26" t="str">
        <x:v>Not Started</x:v>
      </x:c>
      <x:c r="AK55" s="26" t="str"/>
      <x:c r="AL55" s="26" t="str"/>
    </x:row>
    <x:row r="56">
      <x:c r="A56" s="26" t="n">
        <x:v>53</x:v>
      </x:c>
      <x:c r="B56" s="26" t="n">
        <x:v>238</x:v>
      </x:c>
      <x:c r="C56" s="26" t="str">
        <x:v>Kumuram Bheem Asifabad</x:v>
      </x:c>
      <x:c r="D56" s="26" t="str">
        <x:v>Telangana</x:v>
      </x:c>
      <x:c r="E56" s="26" t="n">
        <x:v>10228</x:v>
      </x:c>
      <x:c r="F56" s="26" t="str">
        <x:v>PRJ-2026-0010228</x:v>
      </x:c>
      <x:c r="G56" s="26" t="str">
        <x:v>Rain Water Harvesting System : Water Filter Kitchen Construction : Poshan Vatika  kitchen Shelves : Gas stove, regulator : Solar Panel : Civil Repair : Toilet</x:v>
      </x:c>
      <x:c r="H56" s="26" t="str">
        <x:v>Mission Saksham Anganwadi &amp; POSHAN 2.0</x:v>
      </x:c>
      <x:c r="I56" s="32" t="n">
        <x:v>46164</x:v>
      </x:c>
      <x:c r="J56" s="32" t="n">
        <x:v>46164</x:v>
      </x:c>
      <x:c r="K56" s="32"/>
      <x:c r="L56" s="26" t="str">
        <x:v>Exclude: Before 01-Aug-2026</x:v>
      </x:c>
      <x:c r="M56" s="26" t="str">
        <x:v>Pending Mapping</x:v>
      </x:c>
      <x:c r="N56" s="26" t="str">
        <x:v>Original project JSON not available</x:v>
      </x:c>
      <x:c r="O56" s="26"/>
      <x:c r="P56" s="26" t="str"/>
      <x:c r="Q56" s="26" t="str"/>
      <x:c r="R56" s="26"/>
      <x:c r="S56" s="36"/>
      <x:c r="T56" s="26"/>
      <x:c r="U56" s="26"/>
      <x:c r="V56" s="26"/>
      <x:c r="W56" s="26" t="n">
        <x:v>4</x:v>
      </x:c>
      <x:c r="X56" s="26" t="n">
        <x:v>0</x:v>
      </x:c>
      <x:c r="Y56" s="26" t="n">
        <x:f>SUMIF('Activity Detail'!$E$4:$E$706,F56,'Activity Detail'!$L$4:$L$706)</x:f>
        <x:v>4</x:v>
      </x:c>
      <x:c r="Z56" s="26" t="n">
        <x:f>SUMIF('Activity Detail'!$E$4:$E$706,F56,'Activity Detail'!$N$4:$N$706)</x:f>
        <x:v>0</x:v>
      </x:c>
      <x:c r="AA56" s="26" t="n">
        <x:f>MAX(Y56-Z56,0)</x:f>
        <x:v>4</x:v>
      </x:c>
      <x:c r="AB56" s="38" t="n">
        <x:f>IFERROR(Z56/Y56,0)</x:f>
        <x:v>0</x:v>
      </x:c>
      <x:c r="AC56" s="26" t="str">
        <x:v>Committed / Not Delivered</x:v>
      </x:c>
      <x:c r="AD56" s="26" t="str">
        <x:v>Approval not recorded in response</x:v>
      </x:c>
      <x:c r="AE56" s="27" t="b">
        <x:v>1</x:v>
      </x:c>
      <x:c r="AF56" s="34" t="n">
        <x:v>46219.85625</x:v>
      </x:c>
      <x:c r="AG56" s="34"/>
      <x:c r="AH56" s="26" t="str">
        <x:v>Contribution API fields only; original project JSON needed for line-item names/centres/category</x:v>
      </x:c>
      <x:c r="AI56" s="26" t="str"/>
      <x:c r="AJ56" s="26" t="str">
        <x:v>Not Started</x:v>
      </x:c>
      <x:c r="AK56" s="26" t="str"/>
      <x:c r="AL56" s="26" t="str"/>
    </x:row>
    <x:row r="57">
      <x:c r="A57" s="26" t="n">
        <x:v>54</x:v>
      </x:c>
      <x:c r="B57" s="26" t="n">
        <x:v>239</x:v>
      </x:c>
      <x:c r="C57" s="26" t="str">
        <x:v>Kumuram Bheem Asifabad</x:v>
      </x:c>
      <x:c r="D57" s="26" t="str">
        <x:v>Telangana</x:v>
      </x:c>
      <x:c r="E57" s="26" t="n">
        <x:v>8790</x:v>
      </x:c>
      <x:c r="F57" s="26" t="str">
        <x:v>PRJ-2026-0008790</x:v>
      </x:c>
      <x:c r="G57" s="26" t="str">
        <x:v>Rain Water Harvesting System : Water Filter Kitchen Construction : Poshan Vatika  kitchen Shelves : Gas stove, regulator : Solar Panel : Civil Repair : Toilet</x:v>
      </x:c>
      <x:c r="H57" s="26" t="str">
        <x:v>Mission Saksham Anganwadi &amp; POSHAN 2.0</x:v>
      </x:c>
      <x:c r="I57" s="32" t="n">
        <x:v>46165</x:v>
      </x:c>
      <x:c r="J57" s="32" t="n">
        <x:v>46255</x:v>
      </x:c>
      <x:c r="K57" s="32"/>
      <x:c r="L57" s="26" t="str">
        <x:v>Active: On/After 01-Aug-2026</x:v>
      </x:c>
      <x:c r="M57" s="26" t="str">
        <x:v>Pending Mapping</x:v>
      </x:c>
      <x:c r="N57" s="26" t="str">
        <x:v>Original project JSON not available</x:v>
      </x:c>
      <x:c r="O57" s="26"/>
      <x:c r="P57" s="26" t="str"/>
      <x:c r="Q57" s="26" t="str"/>
      <x:c r="R57" s="26"/>
      <x:c r="S57" s="36"/>
      <x:c r="T57" s="26"/>
      <x:c r="U57" s="26"/>
      <x:c r="V57" s="26"/>
      <x:c r="W57" s="26" t="n">
        <x:v>4</x:v>
      </x:c>
      <x:c r="X57" s="26" t="n">
        <x:v>0</x:v>
      </x:c>
      <x:c r="Y57" s="26" t="n">
        <x:f>SUMIF('Activity Detail'!$E$4:$E$706,F57,'Activity Detail'!$L$4:$L$706)</x:f>
        <x:v>4</x:v>
      </x:c>
      <x:c r="Z57" s="26" t="n">
        <x:f>SUMIF('Activity Detail'!$E$4:$E$706,F57,'Activity Detail'!$N$4:$N$706)</x:f>
        <x:v>0</x:v>
      </x:c>
      <x:c r="AA57" s="26" t="n">
        <x:f>MAX(Y57-Z57,0)</x:f>
        <x:v>4</x:v>
      </x:c>
      <x:c r="AB57" s="38" t="n">
        <x:f>IFERROR(Z57/Y57,0)</x:f>
        <x:v>0</x:v>
      </x:c>
      <x:c r="AC57" s="26" t="str">
        <x:v>Committed / Not Delivered</x:v>
      </x:c>
      <x:c r="AD57" s="26" t="str">
        <x:v>Approval not recorded in response</x:v>
      </x:c>
      <x:c r="AE57" s="27" t="b">
        <x:v>1</x:v>
      </x:c>
      <x:c r="AF57" s="34" t="n">
        <x:v>46219.85625</x:v>
      </x:c>
      <x:c r="AG57" s="34"/>
      <x:c r="AH57" s="26" t="str">
        <x:v>Contribution API fields only; original project JSON needed for line-item names/centres/category</x:v>
      </x:c>
      <x:c r="AI57" s="26" t="str"/>
      <x:c r="AJ57" s="26" t="str">
        <x:v>Not Started</x:v>
      </x:c>
      <x:c r="AK57" s="26" t="str"/>
      <x:c r="AL57" s="26" t="str"/>
    </x:row>
    <x:row r="58">
      <x:c r="A58" s="26" t="n">
        <x:v>55</x:v>
      </x:c>
      <x:c r="B58" s="26" t="n">
        <x:v>237</x:v>
      </x:c>
      <x:c r="C58" s="26" t="str">
        <x:v>Kumuram Bheem Asifabad</x:v>
      </x:c>
      <x:c r="D58" s="26" t="str">
        <x:v>Telangana</x:v>
      </x:c>
      <x:c r="E58" s="26" t="n">
        <x:v>10201</x:v>
      </x:c>
      <x:c r="F58" s="26" t="str">
        <x:v>PRJ-2026-0010201</x:v>
      </x:c>
      <x:c r="G58" s="26" t="str">
        <x:v>Rain Water Harvesting System : Water Filter Kitchen Construction : Poshan Vatika  kitchen Shelves : Gas stove, regulator : Solar Panel : Civil Repair : Toilet</x:v>
      </x:c>
      <x:c r="H58" s="26" t="str">
        <x:v>Mission Saksham Anganwadi &amp; POSHAN 2.0</x:v>
      </x:c>
      <x:c r="I58" s="32" t="n">
        <x:v>46164</x:v>
      </x:c>
      <x:c r="J58" s="32" t="n">
        <x:v>46255</x:v>
      </x:c>
      <x:c r="K58" s="32"/>
      <x:c r="L58" s="26" t="str">
        <x:v>Active: On/After 01-Aug-2026</x:v>
      </x:c>
      <x:c r="M58" s="26" t="str">
        <x:v>Pending Mapping</x:v>
      </x:c>
      <x:c r="N58" s="26" t="str">
        <x:v>Original project JSON not available</x:v>
      </x:c>
      <x:c r="O58" s="26"/>
      <x:c r="P58" s="26" t="str"/>
      <x:c r="Q58" s="26" t="str"/>
      <x:c r="R58" s="26"/>
      <x:c r="S58" s="36"/>
      <x:c r="T58" s="26"/>
      <x:c r="U58" s="26"/>
      <x:c r="V58" s="26"/>
      <x:c r="W58" s="26" t="n">
        <x:v>4</x:v>
      </x:c>
      <x:c r="X58" s="26" t="n">
        <x:v>0</x:v>
      </x:c>
      <x:c r="Y58" s="26" t="n">
        <x:f>SUMIF('Activity Detail'!$E$4:$E$706,F58,'Activity Detail'!$L$4:$L$706)</x:f>
        <x:v>4</x:v>
      </x:c>
      <x:c r="Z58" s="26" t="n">
        <x:f>SUMIF('Activity Detail'!$E$4:$E$706,F58,'Activity Detail'!$N$4:$N$706)</x:f>
        <x:v>0</x:v>
      </x:c>
      <x:c r="AA58" s="26" t="n">
        <x:f>MAX(Y58-Z58,0)</x:f>
        <x:v>4</x:v>
      </x:c>
      <x:c r="AB58" s="38" t="n">
        <x:f>IFERROR(Z58/Y58,0)</x:f>
        <x:v>0</x:v>
      </x:c>
      <x:c r="AC58" s="26" t="str">
        <x:v>Committed / Not Delivered</x:v>
      </x:c>
      <x:c r="AD58" s="26" t="str">
        <x:v>Approval not recorded in response</x:v>
      </x:c>
      <x:c r="AE58" s="27" t="b">
        <x:v>1</x:v>
      </x:c>
      <x:c r="AF58" s="34" t="n">
        <x:v>46219.85622685185</x:v>
      </x:c>
      <x:c r="AG58" s="34"/>
      <x:c r="AH58" s="26" t="str">
        <x:v>Contribution API fields only; original project JSON needed for line-item names/centres/category</x:v>
      </x:c>
      <x:c r="AI58" s="26" t="str"/>
      <x:c r="AJ58" s="26" t="str">
        <x:v>Not Started</x:v>
      </x:c>
      <x:c r="AK58" s="26" t="str"/>
      <x:c r="AL58" s="26" t="str"/>
    </x:row>
    <x:row r="59">
      <x:c r="A59" s="26" t="n">
        <x:v>56</x:v>
      </x:c>
      <x:c r="B59" s="26" t="n">
        <x:v>236</x:v>
      </x:c>
      <x:c r="C59" s="26" t="str">
        <x:v>Medak</x:v>
      </x:c>
      <x:c r="D59" s="26" t="str">
        <x:v>Telangana</x:v>
      </x:c>
      <x:c r="E59" s="26" t="n">
        <x:v>14755</x:v>
      </x:c>
      <x:c r="F59" s="26" t="str">
        <x:v>PRJ-2026-0014755</x:v>
      </x:c>
      <x:c r="G59" s="26" t="str">
        <x:v>AWC Upgradation Koppulapally Thanda</x:v>
      </x:c>
      <x:c r="H59" s="26" t="str">
        <x:v>Mission Saksham Anganwadi &amp; POSHAN 2.0</x:v>
      </x:c>
      <x:c r="I59" s="32" t="n">
        <x:v>46167</x:v>
      </x:c>
      <x:c r="J59" s="32" t="n">
        <x:v>46351</x:v>
      </x:c>
      <x:c r="K59" s="32"/>
      <x:c r="L59" s="26" t="str">
        <x:v>Active: On/After 01-Aug-2026</x:v>
      </x:c>
      <x:c r="M59" s="26" t="str">
        <x:v>Pending Mapping</x:v>
      </x:c>
      <x:c r="N59" s="26" t="str">
        <x:v>Original project JSON not available</x:v>
      </x:c>
      <x:c r="O59" s="26"/>
      <x:c r="P59" s="26" t="str"/>
      <x:c r="Q59" s="26" t="str"/>
      <x:c r="R59" s="26"/>
      <x:c r="S59" s="36"/>
      <x:c r="T59" s="26"/>
      <x:c r="U59" s="26"/>
      <x:c r="V59" s="26"/>
      <x:c r="W59" s="26" t="n">
        <x:v>5</x:v>
      </x:c>
      <x:c r="X59" s="26" t="n">
        <x:v>0</x:v>
      </x:c>
      <x:c r="Y59" s="26" t="n">
        <x:f>SUMIF('Activity Detail'!$E$4:$E$706,F59,'Activity Detail'!$L$4:$L$706)</x:f>
        <x:v>30</x:v>
      </x:c>
      <x:c r="Z59" s="26" t="n">
        <x:f>SUMIF('Activity Detail'!$E$4:$E$706,F59,'Activity Detail'!$N$4:$N$706)</x:f>
        <x:v>0</x:v>
      </x:c>
      <x:c r="AA59" s="26" t="n">
        <x:f>MAX(Y59-Z59,0)</x:f>
        <x:v>30</x:v>
      </x:c>
      <x:c r="AB59" s="38" t="n">
        <x:f>IFERROR(Z59/Y59,0)</x:f>
        <x:v>0</x:v>
      </x:c>
      <x:c r="AC59" s="26" t="str">
        <x:v>Committed / Not Delivered</x:v>
      </x:c>
      <x:c r="AD59" s="26" t="str">
        <x:v>Approval not recorded in response</x:v>
      </x:c>
      <x:c r="AE59" s="27" t="b">
        <x:v>1</x:v>
      </x:c>
      <x:c r="AF59" s="34" t="n">
        <x:v>46219.85320601852</x:v>
      </x:c>
      <x:c r="AG59" s="34"/>
      <x:c r="AH59" s="26" t="str">
        <x:v>Contribution API fields only; original project JSON needed for line-item names/centres/category</x:v>
      </x:c>
      <x:c r="AI59" s="26" t="str"/>
      <x:c r="AJ59" s="26" t="str">
        <x:v>Not Started</x:v>
      </x:c>
      <x:c r="AK59" s="26" t="str"/>
      <x:c r="AL59" s="26" t="str"/>
    </x:row>
    <x:row r="60">
      <x:c r="A60" s="26" t="n">
        <x:v>57</x:v>
      </x:c>
      <x:c r="B60" s="26" t="n">
        <x:v>234</x:v>
      </x:c>
      <x:c r="C60" s="26" t="str">
        <x:v>Medak</x:v>
      </x:c>
      <x:c r="D60" s="26" t="str">
        <x:v>Telangana</x:v>
      </x:c>
      <x:c r="E60" s="26" t="n">
        <x:v>14756</x:v>
      </x:c>
      <x:c r="F60" s="26" t="str">
        <x:v>PRJ-2026-0014756</x:v>
      </x:c>
      <x:c r="G60" s="26" t="str">
        <x:v>AWC Upgradation Station Masaipet </x:v>
      </x:c>
      <x:c r="H60" s="26" t="str">
        <x:v>Mission Saksham Anganwadi &amp; POSHAN 2.0</x:v>
      </x:c>
      <x:c r="I60" s="32" t="n">
        <x:v>46167</x:v>
      </x:c>
      <x:c r="J60" s="32" t="n">
        <x:v>46351</x:v>
      </x:c>
      <x:c r="K60" s="32"/>
      <x:c r="L60" s="26" t="str">
        <x:v>Active: On/After 01-Aug-2026</x:v>
      </x:c>
      <x:c r="M60" s="26" t="str">
        <x:v>Pending Mapping</x:v>
      </x:c>
      <x:c r="N60" s="26" t="str">
        <x:v>Original project JSON not available</x:v>
      </x:c>
      <x:c r="O60" s="26"/>
      <x:c r="P60" s="26" t="str"/>
      <x:c r="Q60" s="26" t="str"/>
      <x:c r="R60" s="26"/>
      <x:c r="S60" s="36"/>
      <x:c r="T60" s="26"/>
      <x:c r="U60" s="26"/>
      <x:c r="V60" s="26"/>
      <x:c r="W60" s="26" t="n">
        <x:v>5</x:v>
      </x:c>
      <x:c r="X60" s="26" t="n">
        <x:v>0</x:v>
      </x:c>
      <x:c r="Y60" s="26" t="n">
        <x:f>SUMIF('Activity Detail'!$E$4:$E$706,F60,'Activity Detail'!$L$4:$L$706)</x:f>
        <x:v>29</x:v>
      </x:c>
      <x:c r="Z60" s="26" t="n">
        <x:f>SUMIF('Activity Detail'!$E$4:$E$706,F60,'Activity Detail'!$N$4:$N$706)</x:f>
        <x:v>0</x:v>
      </x:c>
      <x:c r="AA60" s="26" t="n">
        <x:f>MAX(Y60-Z60,0)</x:f>
        <x:v>29</x:v>
      </x:c>
      <x:c r="AB60" s="38" t="n">
        <x:f>IFERROR(Z60/Y60,0)</x:f>
        <x:v>0</x:v>
      </x:c>
      <x:c r="AC60" s="26" t="str">
        <x:v>Committed / Not Delivered</x:v>
      </x:c>
      <x:c r="AD60" s="26" t="str">
        <x:v>Approval not recorded in response</x:v>
      </x:c>
      <x:c r="AE60" s="27" t="b">
        <x:v>1</x:v>
      </x:c>
      <x:c r="AF60" s="34" t="n">
        <x:v>46219.85319444445</x:v>
      </x:c>
      <x:c r="AG60" s="34"/>
      <x:c r="AH60" s="26" t="str">
        <x:v>Contribution API fields only; original project JSON needed for line-item names/centres/category</x:v>
      </x:c>
      <x:c r="AI60" s="26" t="str"/>
      <x:c r="AJ60" s="26" t="str">
        <x:v>Not Started</x:v>
      </x:c>
      <x:c r="AK60" s="26" t="str"/>
      <x:c r="AL60" s="26" t="str"/>
    </x:row>
    <x:row r="61">
      <x:c r="A61" s="26" t="n">
        <x:v>58</x:v>
      </x:c>
      <x:c r="B61" s="26" t="n">
        <x:v>235</x:v>
      </x:c>
      <x:c r="C61" s="26" t="str">
        <x:v>Medak</x:v>
      </x:c>
      <x:c r="D61" s="26" t="str">
        <x:v>Telangana</x:v>
      </x:c>
      <x:c r="E61" s="26" t="n">
        <x:v>14761</x:v>
      </x:c>
      <x:c r="F61" s="26" t="str">
        <x:v>PRJ-2026-0014761</x:v>
      </x:c>
      <x:c r="G61" s="26" t="str">
        <x:v>AWC Upgradation Hastalpur</x:v>
      </x:c>
      <x:c r="H61" s="26" t="str">
        <x:v>Mission Saksham Anganwadi &amp; POSHAN 2.0</x:v>
      </x:c>
      <x:c r="I61" s="32" t="n">
        <x:v>46167</x:v>
      </x:c>
      <x:c r="J61" s="32" t="n">
        <x:v>46351</x:v>
      </x:c>
      <x:c r="K61" s="32"/>
      <x:c r="L61" s="26" t="str">
        <x:v>Active: On/After 01-Aug-2026</x:v>
      </x:c>
      <x:c r="M61" s="26" t="str">
        <x:v>Pending Mapping</x:v>
      </x:c>
      <x:c r="N61" s="26" t="str">
        <x:v>Original project JSON not available</x:v>
      </x:c>
      <x:c r="O61" s="26"/>
      <x:c r="P61" s="26" t="str"/>
      <x:c r="Q61" s="26" t="str"/>
      <x:c r="R61" s="26"/>
      <x:c r="S61" s="36"/>
      <x:c r="T61" s="26"/>
      <x:c r="U61" s="26"/>
      <x:c r="V61" s="26"/>
      <x:c r="W61" s="26" t="n">
        <x:v>4</x:v>
      </x:c>
      <x:c r="X61" s="26" t="n">
        <x:v>0</x:v>
      </x:c>
      <x:c r="Y61" s="26" t="n">
        <x:f>SUMIF('Activity Detail'!$E$4:$E$706,F61,'Activity Detail'!$L$4:$L$706)</x:f>
        <x:v>29</x:v>
      </x:c>
      <x:c r="Z61" s="26" t="n">
        <x:f>SUMIF('Activity Detail'!$E$4:$E$706,F61,'Activity Detail'!$N$4:$N$706)</x:f>
        <x:v>0</x:v>
      </x:c>
      <x:c r="AA61" s="26" t="n">
        <x:f>MAX(Y61-Z61,0)</x:f>
        <x:v>29</x:v>
      </x:c>
      <x:c r="AB61" s="38" t="n">
        <x:f>IFERROR(Z61/Y61,0)</x:f>
        <x:v>0</x:v>
      </x:c>
      <x:c r="AC61" s="26" t="str">
        <x:v>Committed / Not Delivered</x:v>
      </x:c>
      <x:c r="AD61" s="26" t="str">
        <x:v>Approval not recorded in response</x:v>
      </x:c>
      <x:c r="AE61" s="27" t="b">
        <x:v>1</x:v>
      </x:c>
      <x:c r="AF61" s="34" t="n">
        <x:v>46219.85319444445</x:v>
      </x:c>
      <x:c r="AG61" s="34"/>
      <x:c r="AH61" s="26" t="str">
        <x:v>Contribution API fields only; original project JSON needed for line-item names/centres/category</x:v>
      </x:c>
      <x:c r="AI61" s="26" t="str"/>
      <x:c r="AJ61" s="26" t="str">
        <x:v>Not Started</x:v>
      </x:c>
      <x:c r="AK61" s="26" t="str"/>
      <x:c r="AL61" s="26" t="str"/>
    </x:row>
    <x:row r="62">
      <x:c r="A62" s="26" t="n">
        <x:v>59</x:v>
      </x:c>
      <x:c r="B62" s="26" t="n">
        <x:v>232</x:v>
      </x:c>
      <x:c r="C62" s="26" t="str">
        <x:v>Medak</x:v>
      </x:c>
      <x:c r="D62" s="26" t="str">
        <x:v>Telangana</x:v>
      </x:c>
      <x:c r="E62" s="26" t="n">
        <x:v>14765</x:v>
      </x:c>
      <x:c r="F62" s="26" t="str">
        <x:v>PRJ-2026-0014765</x:v>
      </x:c>
      <x:c r="G62" s="26" t="str">
        <x:v>AWC Upgradation Ramanthapur LT</x:v>
      </x:c>
      <x:c r="H62" s="26" t="str">
        <x:v>Mission Saksham Anganwadi &amp; POSHAN 2.0</x:v>
      </x:c>
      <x:c r="I62" s="32" t="n">
        <x:v>46167</x:v>
      </x:c>
      <x:c r="J62" s="32" t="n">
        <x:v>46351</x:v>
      </x:c>
      <x:c r="K62" s="32"/>
      <x:c r="L62" s="26" t="str">
        <x:v>Active: On/After 01-Aug-2026</x:v>
      </x:c>
      <x:c r="M62" s="26" t="str">
        <x:v>Pending Mapping</x:v>
      </x:c>
      <x:c r="N62" s="26" t="str">
        <x:v>Original project JSON not available</x:v>
      </x:c>
      <x:c r="O62" s="26"/>
      <x:c r="P62" s="26" t="str"/>
      <x:c r="Q62" s="26" t="str"/>
      <x:c r="R62" s="26"/>
      <x:c r="S62" s="36"/>
      <x:c r="T62" s="26"/>
      <x:c r="U62" s="26"/>
      <x:c r="V62" s="26"/>
      <x:c r="W62" s="26" t="n">
        <x:v>5</x:v>
      </x:c>
      <x:c r="X62" s="26" t="n">
        <x:v>0</x:v>
      </x:c>
      <x:c r="Y62" s="26" t="n">
        <x:f>SUMIF('Activity Detail'!$E$4:$E$706,F62,'Activity Detail'!$L$4:$L$706)</x:f>
        <x:v>29</x:v>
      </x:c>
      <x:c r="Z62" s="26" t="n">
        <x:f>SUMIF('Activity Detail'!$E$4:$E$706,F62,'Activity Detail'!$N$4:$N$706)</x:f>
        <x:v>0</x:v>
      </x:c>
      <x:c r="AA62" s="26" t="n">
        <x:f>MAX(Y62-Z62,0)</x:f>
        <x:v>29</x:v>
      </x:c>
      <x:c r="AB62" s="38" t="n">
        <x:f>IFERROR(Z62/Y62,0)</x:f>
        <x:v>0</x:v>
      </x:c>
      <x:c r="AC62" s="26" t="str">
        <x:v>Committed / Not Delivered</x:v>
      </x:c>
      <x:c r="AD62" s="26" t="str">
        <x:v>Approval not recorded in response</x:v>
      </x:c>
      <x:c r="AE62" s="27" t="b">
        <x:v>1</x:v>
      </x:c>
      <x:c r="AF62" s="34" t="n">
        <x:v>46219.85318287037</x:v>
      </x:c>
      <x:c r="AG62" s="34"/>
      <x:c r="AH62" s="26" t="str">
        <x:v>Contribution API fields only; original project JSON needed for line-item names/centres/category</x:v>
      </x:c>
      <x:c r="AI62" s="26" t="str"/>
      <x:c r="AJ62" s="26" t="str">
        <x:v>Not Started</x:v>
      </x:c>
      <x:c r="AK62" s="26" t="str"/>
      <x:c r="AL62" s="26" t="str"/>
    </x:row>
    <x:row r="63">
      <x:c r="A63" s="26" t="n">
        <x:v>60</x:v>
      </x:c>
      <x:c r="B63" s="26" t="n">
        <x:v>233</x:v>
      </x:c>
      <x:c r="C63" s="26" t="str">
        <x:v>Medak</x:v>
      </x:c>
      <x:c r="D63" s="26" t="str">
        <x:v>Telangana</x:v>
      </x:c>
      <x:c r="E63" s="26" t="n">
        <x:v>14759</x:v>
      </x:c>
      <x:c r="F63" s="26" t="str">
        <x:v>PRJ-2026-0014759</x:v>
      </x:c>
      <x:c r="G63" s="26" t="str">
        <x:v>AWC Upgradation Masaipet V</x:v>
      </x:c>
      <x:c r="H63" s="26" t="str">
        <x:v>Mission Saksham Anganwadi &amp; POSHAN 2.0</x:v>
      </x:c>
      <x:c r="I63" s="32" t="n">
        <x:v>46167</x:v>
      </x:c>
      <x:c r="J63" s="32" t="n">
        <x:v>46351</x:v>
      </x:c>
      <x:c r="K63" s="32"/>
      <x:c r="L63" s="26" t="str">
        <x:v>Active: On/After 01-Aug-2026</x:v>
      </x:c>
      <x:c r="M63" s="26" t="str">
        <x:v>Pending Mapping</x:v>
      </x:c>
      <x:c r="N63" s="26" t="str">
        <x:v>Original project JSON not available</x:v>
      </x:c>
      <x:c r="O63" s="26"/>
      <x:c r="P63" s="26" t="str"/>
      <x:c r="Q63" s="26" t="str"/>
      <x:c r="R63" s="26"/>
      <x:c r="S63" s="36"/>
      <x:c r="T63" s="26"/>
      <x:c r="U63" s="26"/>
      <x:c r="V63" s="26"/>
      <x:c r="W63" s="26" t="n">
        <x:v>5</x:v>
      </x:c>
      <x:c r="X63" s="26" t="n">
        <x:v>0</x:v>
      </x:c>
      <x:c r="Y63" s="26" t="n">
        <x:f>SUMIF('Activity Detail'!$E$4:$E$706,F63,'Activity Detail'!$L$4:$L$706)</x:f>
        <x:v>29</x:v>
      </x:c>
      <x:c r="Z63" s="26" t="n">
        <x:f>SUMIF('Activity Detail'!$E$4:$E$706,F63,'Activity Detail'!$N$4:$N$706)</x:f>
        <x:v>0</x:v>
      </x:c>
      <x:c r="AA63" s="26" t="n">
        <x:f>MAX(Y63-Z63,0)</x:f>
        <x:v>29</x:v>
      </x:c>
      <x:c r="AB63" s="38" t="n">
        <x:f>IFERROR(Z63/Y63,0)</x:f>
        <x:v>0</x:v>
      </x:c>
      <x:c r="AC63" s="26" t="str">
        <x:v>Committed / Not Delivered</x:v>
      </x:c>
      <x:c r="AD63" s="26" t="str">
        <x:v>Approval not recorded in response</x:v>
      </x:c>
      <x:c r="AE63" s="27" t="b">
        <x:v>1</x:v>
      </x:c>
      <x:c r="AF63" s="34" t="n">
        <x:v>46219.85318287037</x:v>
      </x:c>
      <x:c r="AG63" s="34"/>
      <x:c r="AH63" s="26" t="str">
        <x:v>Contribution API fields only; original project JSON needed for line-item names/centres/category</x:v>
      </x:c>
      <x:c r="AI63" s="26" t="str"/>
      <x:c r="AJ63" s="26" t="str">
        <x:v>Not Started</x:v>
      </x:c>
      <x:c r="AK63" s="26" t="str"/>
      <x:c r="AL63" s="26" t="str"/>
    </x:row>
    <x:row r="64">
      <x:c r="A64" s="26" t="n">
        <x:v>61</x:v>
      </x:c>
      <x:c r="B64" s="26" t="n">
        <x:v>231</x:v>
      </x:c>
      <x:c r="C64" s="26" t="str">
        <x:v>Medak</x:v>
      </x:c>
      <x:c r="D64" s="26" t="str">
        <x:v>Telangana</x:v>
      </x:c>
      <x:c r="E64" s="26" t="n">
        <x:v>14771</x:v>
      </x:c>
      <x:c r="F64" s="26" t="str">
        <x:v>PRJ-2026-0014771</x:v>
      </x:c>
      <x:c r="G64" s="26" t="str">
        <x:v>AWC Upgradation Bandamedipally</x:v>
      </x:c>
      <x:c r="H64" s="26" t="str">
        <x:v>Mission Saksham Anganwadi &amp; POSHAN 2.0</x:v>
      </x:c>
      <x:c r="I64" s="32" t="n">
        <x:v>46167</x:v>
      </x:c>
      <x:c r="J64" s="32" t="n">
        <x:v>46351</x:v>
      </x:c>
      <x:c r="K64" s="32"/>
      <x:c r="L64" s="26" t="str">
        <x:v>Active: On/After 01-Aug-2026</x:v>
      </x:c>
      <x:c r="M64" s="26" t="str">
        <x:v>Pending Mapping</x:v>
      </x:c>
      <x:c r="N64" s="26" t="str">
        <x:v>Original project JSON not available</x:v>
      </x:c>
      <x:c r="O64" s="26"/>
      <x:c r="P64" s="26" t="str"/>
      <x:c r="Q64" s="26" t="str"/>
      <x:c r="R64" s="26"/>
      <x:c r="S64" s="36"/>
      <x:c r="T64" s="26"/>
      <x:c r="U64" s="26"/>
      <x:c r="V64" s="26"/>
      <x:c r="W64" s="26" t="n">
        <x:v>5</x:v>
      </x:c>
      <x:c r="X64" s="26" t="n">
        <x:v>0</x:v>
      </x:c>
      <x:c r="Y64" s="26" t="n">
        <x:f>SUMIF('Activity Detail'!$E$4:$E$706,F64,'Activity Detail'!$L$4:$L$706)</x:f>
        <x:v>29</x:v>
      </x:c>
      <x:c r="Z64" s="26" t="n">
        <x:f>SUMIF('Activity Detail'!$E$4:$E$706,F64,'Activity Detail'!$N$4:$N$706)</x:f>
        <x:v>0</x:v>
      </x:c>
      <x:c r="AA64" s="26" t="n">
        <x:f>MAX(Y64-Z64,0)</x:f>
        <x:v>29</x:v>
      </x:c>
      <x:c r="AB64" s="38" t="n">
        <x:f>IFERROR(Z64/Y64,0)</x:f>
        <x:v>0</x:v>
      </x:c>
      <x:c r="AC64" s="26" t="str">
        <x:v>Committed / Not Delivered</x:v>
      </x:c>
      <x:c r="AD64" s="26" t="str">
        <x:v>Approval not recorded in response</x:v>
      </x:c>
      <x:c r="AE64" s="27" t="b">
        <x:v>1</x:v>
      </x:c>
      <x:c r="AF64" s="34" t="n">
        <x:v>46219.853171296294</x:v>
      </x:c>
      <x:c r="AG64" s="34"/>
      <x:c r="AH64" s="26" t="str">
        <x:v>Contribution API fields only; original project JSON needed for line-item names/centres/category</x:v>
      </x:c>
      <x:c r="AI64" s="26" t="str"/>
      <x:c r="AJ64" s="26" t="str">
        <x:v>Not Started</x:v>
      </x:c>
      <x:c r="AK64" s="26" t="str"/>
      <x:c r="AL64" s="26" t="str"/>
    </x:row>
    <x:row r="65">
      <x:c r="A65" s="26" t="n">
        <x:v>62</x:v>
      </x:c>
      <x:c r="B65" s="26" t="n">
        <x:v>229</x:v>
      </x:c>
      <x:c r="C65" s="26" t="str">
        <x:v>Medak</x:v>
      </x:c>
      <x:c r="D65" s="26" t="str">
        <x:v>Telangana</x:v>
      </x:c>
      <x:c r="E65" s="26" t="n">
        <x:v>114082</x:v>
      </x:c>
      <x:c r="F65" s="26" t="str">
        <x:v>PRJ-2026-0114082</x:v>
      </x:c>
      <x:c r="G65" s="26" t="str">
        <x:v>AWC Upgradation of Komatipally-2</x:v>
      </x:c>
      <x:c r="H65" s="26" t="str">
        <x:v>Mission Saksham Anganwadi &amp; POSHAN 2.0</x:v>
      </x:c>
      <x:c r="I65" s="32" t="n">
        <x:v>46198</x:v>
      </x:c>
      <x:c r="J65" s="32" t="n">
        <x:v>46381</x:v>
      </x:c>
      <x:c r="K65" s="32"/>
      <x:c r="L65" s="26" t="str">
        <x:v>Active: On/After 01-Aug-2026</x:v>
      </x:c>
      <x:c r="M65" s="26" t="str">
        <x:v>Pending Mapping</x:v>
      </x:c>
      <x:c r="N65" s="26" t="str">
        <x:v>Original project JSON not available</x:v>
      </x:c>
      <x:c r="O65" s="26"/>
      <x:c r="P65" s="26" t="str"/>
      <x:c r="Q65" s="26" t="str"/>
      <x:c r="R65" s="26"/>
      <x:c r="S65" s="36"/>
      <x:c r="T65" s="26"/>
      <x:c r="U65" s="26"/>
      <x:c r="V65" s="26"/>
      <x:c r="W65" s="26" t="n">
        <x:v>6</x:v>
      </x:c>
      <x:c r="X65" s="26" t="n">
        <x:v>0</x:v>
      </x:c>
      <x:c r="Y65" s="26" t="n">
        <x:f>SUMIF('Activity Detail'!$E$4:$E$706,F65,'Activity Detail'!$L$4:$L$706)</x:f>
        <x:v>29</x:v>
      </x:c>
      <x:c r="Z65" s="26" t="n">
        <x:f>SUMIF('Activity Detail'!$E$4:$E$706,F65,'Activity Detail'!$N$4:$N$706)</x:f>
        <x:v>0</x:v>
      </x:c>
      <x:c r="AA65" s="26" t="n">
        <x:f>MAX(Y65-Z65,0)</x:f>
        <x:v>29</x:v>
      </x:c>
      <x:c r="AB65" s="38" t="n">
        <x:f>IFERROR(Z65/Y65,0)</x:f>
        <x:v>0</x:v>
      </x:c>
      <x:c r="AC65" s="26" t="str">
        <x:v>Committed / Not Delivered</x:v>
      </x:c>
      <x:c r="AD65" s="26" t="str">
        <x:v>Approval not recorded in response</x:v>
      </x:c>
      <x:c r="AE65" s="27" t="b">
        <x:v>1</x:v>
      </x:c>
      <x:c r="AF65" s="34" t="n">
        <x:v>46219.853159722225</x:v>
      </x:c>
      <x:c r="AG65" s="34"/>
      <x:c r="AH65" s="26" t="str">
        <x:v>Contribution API fields only; original project JSON needed for line-item names/centres/category</x:v>
      </x:c>
      <x:c r="AI65" s="26" t="str"/>
      <x:c r="AJ65" s="26" t="str">
        <x:v>Not Started</x:v>
      </x:c>
      <x:c r="AK65" s="26" t="str"/>
      <x:c r="AL65" s="26" t="str"/>
    </x:row>
    <x:row r="66">
      <x:c r="A66" s="26" t="n">
        <x:v>63</x:v>
      </x:c>
      <x:c r="B66" s="26" t="n">
        <x:v>230</x:v>
      </x:c>
      <x:c r="C66" s="26" t="str">
        <x:v>Medak</x:v>
      </x:c>
      <x:c r="D66" s="26" t="str">
        <x:v>Telangana</x:v>
      </x:c>
      <x:c r="E66" s="26" t="n">
        <x:v>114017</x:v>
      </x:c>
      <x:c r="F66" s="26" t="str">
        <x:v>PRJ-2026-0114017</x:v>
      </x:c>
      <x:c r="G66" s="26" t="str">
        <x:v>AWC Upgradation of Cheriapally</x:v>
      </x:c>
      <x:c r="H66" s="26" t="str">
        <x:v>Mission Saksham Anganwadi &amp; POSHAN 2.0</x:v>
      </x:c>
      <x:c r="I66" s="32" t="n">
        <x:v>46198</x:v>
      </x:c>
      <x:c r="J66" s="32" t="n">
        <x:v>46381</x:v>
      </x:c>
      <x:c r="K66" s="32"/>
      <x:c r="L66" s="26" t="str">
        <x:v>Active: On/After 01-Aug-2026</x:v>
      </x:c>
      <x:c r="M66" s="26" t="str">
        <x:v>Pending Mapping</x:v>
      </x:c>
      <x:c r="N66" s="26" t="str">
        <x:v>Original project JSON not available</x:v>
      </x:c>
      <x:c r="O66" s="26"/>
      <x:c r="P66" s="26" t="str"/>
      <x:c r="Q66" s="26" t="str"/>
      <x:c r="R66" s="26"/>
      <x:c r="S66" s="36"/>
      <x:c r="T66" s="26"/>
      <x:c r="U66" s="26"/>
      <x:c r="V66" s="26"/>
      <x:c r="W66" s="26" t="n">
        <x:v>6</x:v>
      </x:c>
      <x:c r="X66" s="26" t="n">
        <x:v>0</x:v>
      </x:c>
      <x:c r="Y66" s="26" t="n">
        <x:f>SUMIF('Activity Detail'!$E$4:$E$706,F66,'Activity Detail'!$L$4:$L$706)</x:f>
        <x:v>27</x:v>
      </x:c>
      <x:c r="Z66" s="26" t="n">
        <x:f>SUMIF('Activity Detail'!$E$4:$E$706,F66,'Activity Detail'!$N$4:$N$706)</x:f>
        <x:v>0</x:v>
      </x:c>
      <x:c r="AA66" s="26" t="n">
        <x:f>MAX(Y66-Z66,0)</x:f>
        <x:v>27</x:v>
      </x:c>
      <x:c r="AB66" s="38" t="n">
        <x:f>IFERROR(Z66/Y66,0)</x:f>
        <x:v>0</x:v>
      </x:c>
      <x:c r="AC66" s="26" t="str">
        <x:v>Committed / Not Delivered</x:v>
      </x:c>
      <x:c r="AD66" s="26" t="str">
        <x:v>Approval not recorded in response</x:v>
      </x:c>
      <x:c r="AE66" s="27" t="b">
        <x:v>1</x:v>
      </x:c>
      <x:c r="AF66" s="34" t="n">
        <x:v>46219.853159722225</x:v>
      </x:c>
      <x:c r="AG66" s="34"/>
      <x:c r="AH66" s="26" t="str">
        <x:v>Contribution API fields only; original project JSON needed for line-item names/centres/category</x:v>
      </x:c>
      <x:c r="AI66" s="26" t="str"/>
      <x:c r="AJ66" s="26" t="str">
        <x:v>Not Started</x:v>
      </x:c>
      <x:c r="AK66" s="26" t="str"/>
      <x:c r="AL66" s="26" t="str"/>
    </x:row>
    <x:row r="67">
      <x:c r="A67" s="26" t="n">
        <x:v>64</x:v>
      </x:c>
      <x:c r="B67" s="26" t="n">
        <x:v>227</x:v>
      </x:c>
      <x:c r="C67" s="26" t="str">
        <x:v>Medak</x:v>
      </x:c>
      <x:c r="D67" s="26" t="str">
        <x:v>Telangana</x:v>
      </x:c>
      <x:c r="E67" s="26" t="n">
        <x:v>114202</x:v>
      </x:c>
      <x:c r="F67" s="26" t="str">
        <x:v>PRJ-2026-0114202</x:v>
      </x:c>
      <x:c r="G67" s="26" t="str">
        <x:v>AWC Upgradation of Manepally</x:v>
      </x:c>
      <x:c r="H67" s="26" t="str">
        <x:v>Mission Saksham Anganwadi &amp; POSHAN 2.0</x:v>
      </x:c>
      <x:c r="I67" s="32" t="n">
        <x:v>46198</x:v>
      </x:c>
      <x:c r="J67" s="32" t="n">
        <x:v>46381</x:v>
      </x:c>
      <x:c r="K67" s="32"/>
      <x:c r="L67" s="26" t="str">
        <x:v>Active: On/After 01-Aug-2026</x:v>
      </x:c>
      <x:c r="M67" s="26" t="str">
        <x:v>Pending Mapping</x:v>
      </x:c>
      <x:c r="N67" s="26" t="str">
        <x:v>Original project JSON not available</x:v>
      </x:c>
      <x:c r="O67" s="26"/>
      <x:c r="P67" s="26" t="str"/>
      <x:c r="Q67" s="26" t="str"/>
      <x:c r="R67" s="26"/>
      <x:c r="S67" s="36"/>
      <x:c r="T67" s="26"/>
      <x:c r="U67" s="26"/>
      <x:c r="V67" s="26"/>
      <x:c r="W67" s="26" t="n">
        <x:v>4</x:v>
      </x:c>
      <x:c r="X67" s="26" t="n">
        <x:v>0</x:v>
      </x:c>
      <x:c r="Y67" s="26" t="n">
        <x:f>SUMIF('Activity Detail'!$E$4:$E$706,F67,'Activity Detail'!$L$4:$L$706)</x:f>
        <x:v>28</x:v>
      </x:c>
      <x:c r="Z67" s="26" t="n">
        <x:f>SUMIF('Activity Detail'!$E$4:$E$706,F67,'Activity Detail'!$N$4:$N$706)</x:f>
        <x:v>0</x:v>
      </x:c>
      <x:c r="AA67" s="26" t="n">
        <x:f>MAX(Y67-Z67,0)</x:f>
        <x:v>28</x:v>
      </x:c>
      <x:c r="AB67" s="38" t="n">
        <x:f>IFERROR(Z67/Y67,0)</x:f>
        <x:v>0</x:v>
      </x:c>
      <x:c r="AC67" s="26" t="str">
        <x:v>Committed / Not Delivered</x:v>
      </x:c>
      <x:c r="AD67" s="26" t="str">
        <x:v>Approval not recorded in response</x:v>
      </x:c>
      <x:c r="AE67" s="27" t="b">
        <x:v>1</x:v>
      </x:c>
      <x:c r="AF67" s="34" t="n">
        <x:v>46219.85314814815</x:v>
      </x:c>
      <x:c r="AG67" s="34"/>
      <x:c r="AH67" s="26" t="str">
        <x:v>Contribution API fields only; original project JSON needed for line-item names/centres/category</x:v>
      </x:c>
      <x:c r="AI67" s="26" t="str"/>
      <x:c r="AJ67" s="26" t="str">
        <x:v>Not Started</x:v>
      </x:c>
      <x:c r="AK67" s="26" t="str"/>
      <x:c r="AL67" s="26" t="str"/>
    </x:row>
    <x:row r="68">
      <x:c r="A68" s="26" t="n">
        <x:v>65</x:v>
      </x:c>
      <x:c r="B68" s="26" t="n">
        <x:v>228</x:v>
      </x:c>
      <x:c r="C68" s="26" t="str">
        <x:v>Medak</x:v>
      </x:c>
      <x:c r="D68" s="26" t="str">
        <x:v>Telangana</x:v>
      </x:c>
      <x:c r="E68" s="26" t="n">
        <x:v>114248</x:v>
      </x:c>
      <x:c r="F68" s="26" t="str">
        <x:v>PRJ-2026-0114248</x:v>
      </x:c>
      <x:c r="G68" s="26" t="str">
        <x:v>AWC Upgradation of Mangalparthy</x:v>
      </x:c>
      <x:c r="H68" s="26" t="str">
        <x:v>Mission Saksham Anganwadi &amp; POSHAN 2.0</x:v>
      </x:c>
      <x:c r="I68" s="32" t="n">
        <x:v>46198</x:v>
      </x:c>
      <x:c r="J68" s="32" t="n">
        <x:v>46381</x:v>
      </x:c>
      <x:c r="K68" s="32"/>
      <x:c r="L68" s="26" t="str">
        <x:v>Active: On/After 01-Aug-2026</x:v>
      </x:c>
      <x:c r="M68" s="26" t="str">
        <x:v>Pending Mapping</x:v>
      </x:c>
      <x:c r="N68" s="26" t="str">
        <x:v>Original project JSON not available</x:v>
      </x:c>
      <x:c r="O68" s="26"/>
      <x:c r="P68" s="26" t="str"/>
      <x:c r="Q68" s="26" t="str"/>
      <x:c r="R68" s="26"/>
      <x:c r="S68" s="36"/>
      <x:c r="T68" s="26"/>
      <x:c r="U68" s="26"/>
      <x:c r="V68" s="26"/>
      <x:c r="W68" s="26" t="n">
        <x:v>4</x:v>
      </x:c>
      <x:c r="X68" s="26" t="n">
        <x:v>0</x:v>
      </x:c>
      <x:c r="Y68" s="26" t="n">
        <x:f>SUMIF('Activity Detail'!$E$4:$E$706,F68,'Activity Detail'!$L$4:$L$706)</x:f>
        <x:v>28</x:v>
      </x:c>
      <x:c r="Z68" s="26" t="n">
        <x:f>SUMIF('Activity Detail'!$E$4:$E$706,F68,'Activity Detail'!$N$4:$N$706)</x:f>
        <x:v>0</x:v>
      </x:c>
      <x:c r="AA68" s="26" t="n">
        <x:f>MAX(Y68-Z68,0)</x:f>
        <x:v>28</x:v>
      </x:c>
      <x:c r="AB68" s="38" t="n">
        <x:f>IFERROR(Z68/Y68,0)</x:f>
        <x:v>0</x:v>
      </x:c>
      <x:c r="AC68" s="26" t="str">
        <x:v>Committed / Not Delivered</x:v>
      </x:c>
      <x:c r="AD68" s="26" t="str">
        <x:v>Approval not recorded in response</x:v>
      </x:c>
      <x:c r="AE68" s="27" t="b">
        <x:v>1</x:v>
      </x:c>
      <x:c r="AF68" s="34" t="n">
        <x:v>46219.85314814815</x:v>
      </x:c>
      <x:c r="AG68" s="34"/>
      <x:c r="AH68" s="26" t="str">
        <x:v>Contribution API fields only; original project JSON needed for line-item names/centres/category</x:v>
      </x:c>
      <x:c r="AI68" s="26" t="str"/>
      <x:c r="AJ68" s="26" t="str">
        <x:v>Not Started</x:v>
      </x:c>
      <x:c r="AK68" s="26" t="str"/>
      <x:c r="AL68" s="26" t="str"/>
    </x:row>
    <x:row r="69">
      <x:c r="A69" s="26" t="n">
        <x:v>66</x:v>
      </x:c>
      <x:c r="B69" s="26" t="n">
        <x:v>225</x:v>
      </x:c>
      <x:c r="C69" s="26" t="str">
        <x:v>Medak</x:v>
      </x:c>
      <x:c r="D69" s="26" t="str">
        <x:v>Telangana</x:v>
      </x:c>
      <x:c r="E69" s="26" t="n">
        <x:v>114320</x:v>
      </x:c>
      <x:c r="F69" s="26" t="str">
        <x:v>PRJ-2026-0114320</x:v>
      </x:c>
      <x:c r="G69" s="26" t="str">
        <x:v>AWC Upgradation of Mangalparthy III</x:v>
      </x:c>
      <x:c r="H69" s="26" t="str">
        <x:v>Mission Saksham Anganwadi &amp; POSHAN 2.0</x:v>
      </x:c>
      <x:c r="I69" s="32" t="n">
        <x:v>46198</x:v>
      </x:c>
      <x:c r="J69" s="32" t="n">
        <x:v>46381</x:v>
      </x:c>
      <x:c r="K69" s="32"/>
      <x:c r="L69" s="26" t="str">
        <x:v>Active: On/After 01-Aug-2026</x:v>
      </x:c>
      <x:c r="M69" s="26" t="str">
        <x:v>Pending Mapping</x:v>
      </x:c>
      <x:c r="N69" s="26" t="str">
        <x:v>Original project JSON not available</x:v>
      </x:c>
      <x:c r="O69" s="26"/>
      <x:c r="P69" s="26" t="str"/>
      <x:c r="Q69" s="26" t="str"/>
      <x:c r="R69" s="26"/>
      <x:c r="S69" s="36"/>
      <x:c r="T69" s="26"/>
      <x:c r="U69" s="26"/>
      <x:c r="V69" s="26"/>
      <x:c r="W69" s="26" t="n">
        <x:v>6</x:v>
      </x:c>
      <x:c r="X69" s="26" t="n">
        <x:v>0</x:v>
      </x:c>
      <x:c r="Y69" s="26" t="n">
        <x:f>SUMIF('Activity Detail'!$E$4:$E$706,F69,'Activity Detail'!$L$4:$L$706)</x:f>
        <x:v>30</x:v>
      </x:c>
      <x:c r="Z69" s="26" t="n">
        <x:f>SUMIF('Activity Detail'!$E$4:$E$706,F69,'Activity Detail'!$N$4:$N$706)</x:f>
        <x:v>0</x:v>
      </x:c>
      <x:c r="AA69" s="26" t="n">
        <x:f>MAX(Y69-Z69,0)</x:f>
        <x:v>30</x:v>
      </x:c>
      <x:c r="AB69" s="38" t="n">
        <x:f>IFERROR(Z69/Y69,0)</x:f>
        <x:v>0</x:v>
      </x:c>
      <x:c r="AC69" s="26" t="str">
        <x:v>Committed / Not Delivered</x:v>
      </x:c>
      <x:c r="AD69" s="26" t="str">
        <x:v>Approval not recorded in response</x:v>
      </x:c>
      <x:c r="AE69" s="27" t="b">
        <x:v>1</x:v>
      </x:c>
      <x:c r="AF69" s="34" t="n">
        <x:v>46219.85313657407</x:v>
      </x:c>
      <x:c r="AG69" s="34"/>
      <x:c r="AH69" s="26" t="str">
        <x:v>Contribution API fields only; original project JSON needed for line-item names/centres/category</x:v>
      </x:c>
      <x:c r="AI69" s="26" t="str"/>
      <x:c r="AJ69" s="26" t="str">
        <x:v>Not Started</x:v>
      </x:c>
      <x:c r="AK69" s="26" t="str"/>
      <x:c r="AL69" s="26" t="str"/>
    </x:row>
    <x:row r="70">
      <x:c r="A70" s="26" t="n">
        <x:v>67</x:v>
      </x:c>
      <x:c r="B70" s="26" t="n">
        <x:v>226</x:v>
      </x:c>
      <x:c r="C70" s="26" t="str">
        <x:v>Medak</x:v>
      </x:c>
      <x:c r="D70" s="26" t="str">
        <x:v>Telangana</x:v>
      </x:c>
      <x:c r="E70" s="26" t="n">
        <x:v>114350</x:v>
      </x:c>
      <x:c r="F70" s="26" t="str">
        <x:v>PRJ-2026-0114350</x:v>
      </x:c>
      <x:c r="G70" s="26" t="str">
        <x:v>AWC Upgradation of Mangalparthy Thanda</x:v>
      </x:c>
      <x:c r="H70" s="26" t="str">
        <x:v>Mission Saksham Anganwadi &amp; POSHAN 2.0</x:v>
      </x:c>
      <x:c r="I70" s="32" t="n">
        <x:v>46198</x:v>
      </x:c>
      <x:c r="J70" s="32" t="n">
        <x:v>46381</x:v>
      </x:c>
      <x:c r="K70" s="32"/>
      <x:c r="L70" s="26" t="str">
        <x:v>Active: On/After 01-Aug-2026</x:v>
      </x:c>
      <x:c r="M70" s="26" t="str">
        <x:v>Pending Mapping</x:v>
      </x:c>
      <x:c r="N70" s="26" t="str">
        <x:v>Original project JSON not available</x:v>
      </x:c>
      <x:c r="O70" s="26"/>
      <x:c r="P70" s="26" t="str"/>
      <x:c r="Q70" s="26" t="str"/>
      <x:c r="R70" s="26"/>
      <x:c r="S70" s="36"/>
      <x:c r="T70" s="26"/>
      <x:c r="U70" s="26"/>
      <x:c r="V70" s="26"/>
      <x:c r="W70" s="26" t="n">
        <x:v>5</x:v>
      </x:c>
      <x:c r="X70" s="26" t="n">
        <x:v>0</x:v>
      </x:c>
      <x:c r="Y70" s="26" t="n">
        <x:f>SUMIF('Activity Detail'!$E$4:$E$706,F70,'Activity Detail'!$L$4:$L$706)</x:f>
        <x:v>29</x:v>
      </x:c>
      <x:c r="Z70" s="26" t="n">
        <x:f>SUMIF('Activity Detail'!$E$4:$E$706,F70,'Activity Detail'!$N$4:$N$706)</x:f>
        <x:v>0</x:v>
      </x:c>
      <x:c r="AA70" s="26" t="n">
        <x:f>MAX(Y70-Z70,0)</x:f>
        <x:v>29</x:v>
      </x:c>
      <x:c r="AB70" s="38" t="n">
        <x:f>IFERROR(Z70/Y70,0)</x:f>
        <x:v>0</x:v>
      </x:c>
      <x:c r="AC70" s="26" t="str">
        <x:v>Committed / Not Delivered</x:v>
      </x:c>
      <x:c r="AD70" s="26" t="str">
        <x:v>Approval not recorded in response</x:v>
      </x:c>
      <x:c r="AE70" s="27" t="b">
        <x:v>1</x:v>
      </x:c>
      <x:c r="AF70" s="34" t="n">
        <x:v>46219.85313657407</x:v>
      </x:c>
      <x:c r="AG70" s="34"/>
      <x:c r="AH70" s="26" t="str">
        <x:v>Contribution API fields only; original project JSON needed for line-item names/centres/category</x:v>
      </x:c>
      <x:c r="AI70" s="26" t="str"/>
      <x:c r="AJ70" s="26" t="str">
        <x:v>Not Started</x:v>
      </x:c>
      <x:c r="AK70" s="26" t="str"/>
      <x:c r="AL70" s="26" t="str"/>
    </x:row>
    <x:row r="71">
      <x:c r="A71" s="26" t="n">
        <x:v>68</x:v>
      </x:c>
      <x:c r="B71" s="26" t="n">
        <x:v>223</x:v>
      </x:c>
      <x:c r="C71" s="26" t="str">
        <x:v>Medak</x:v>
      </x:c>
      <x:c r="D71" s="26" t="str">
        <x:v>Telangana</x:v>
      </x:c>
      <x:c r="E71" s="26" t="n">
        <x:v>114444</x:v>
      </x:c>
      <x:c r="F71" s="26" t="str">
        <x:v>PRJ-2026-0114444</x:v>
      </x:c>
      <x:c r="G71" s="26" t="str">
        <x:v>AWC Upgradation Of Veldurthy-III</x:v>
      </x:c>
      <x:c r="H71" s="26" t="str">
        <x:v>Mission Saksham Anganwadi &amp; POSHAN 2.0</x:v>
      </x:c>
      <x:c r="I71" s="32" t="n">
        <x:v>46198</x:v>
      </x:c>
      <x:c r="J71" s="32" t="n">
        <x:v>46381</x:v>
      </x:c>
      <x:c r="K71" s="32"/>
      <x:c r="L71" s="26" t="str">
        <x:v>Active: On/After 01-Aug-2026</x:v>
      </x:c>
      <x:c r="M71" s="26" t="str">
        <x:v>Pending Mapping</x:v>
      </x:c>
      <x:c r="N71" s="26" t="str">
        <x:v>Original project JSON not available</x:v>
      </x:c>
      <x:c r="O71" s="26"/>
      <x:c r="P71" s="26" t="str"/>
      <x:c r="Q71" s="26" t="str"/>
      <x:c r="R71" s="26"/>
      <x:c r="S71" s="36"/>
      <x:c r="T71" s="26"/>
      <x:c r="U71" s="26"/>
      <x:c r="V71" s="26"/>
      <x:c r="W71" s="26" t="n">
        <x:v>4</x:v>
      </x:c>
      <x:c r="X71" s="26" t="n">
        <x:v>0</x:v>
      </x:c>
      <x:c r="Y71" s="26" t="n">
        <x:f>SUMIF('Activity Detail'!$E$4:$E$706,F71,'Activity Detail'!$L$4:$L$706)</x:f>
        <x:v>28</x:v>
      </x:c>
      <x:c r="Z71" s="26" t="n">
        <x:f>SUMIF('Activity Detail'!$E$4:$E$706,F71,'Activity Detail'!$N$4:$N$706)</x:f>
        <x:v>0</x:v>
      </x:c>
      <x:c r="AA71" s="26" t="n">
        <x:f>MAX(Y71-Z71,0)</x:f>
        <x:v>28</x:v>
      </x:c>
      <x:c r="AB71" s="38" t="n">
        <x:f>IFERROR(Z71/Y71,0)</x:f>
        <x:v>0</x:v>
      </x:c>
      <x:c r="AC71" s="26" t="str">
        <x:v>Committed / Not Delivered</x:v>
      </x:c>
      <x:c r="AD71" s="26" t="str">
        <x:v>Approval not recorded in response</x:v>
      </x:c>
      <x:c r="AE71" s="27" t="b">
        <x:v>1</x:v>
      </x:c>
      <x:c r="AF71" s="34" t="n">
        <x:v>46219.853125</x:v>
      </x:c>
      <x:c r="AG71" s="34"/>
      <x:c r="AH71" s="26" t="str">
        <x:v>Contribution API fields only; original project JSON needed for line-item names/centres/category</x:v>
      </x:c>
      <x:c r="AI71" s="26" t="str"/>
      <x:c r="AJ71" s="26" t="str">
        <x:v>Not Started</x:v>
      </x:c>
      <x:c r="AK71" s="26" t="str"/>
      <x:c r="AL71" s="26" t="str"/>
    </x:row>
    <x:row r="72">
      <x:c r="A72" s="26" t="n">
        <x:v>69</x:v>
      </x:c>
      <x:c r="B72" s="26" t="n">
        <x:v>224</x:v>
      </x:c>
      <x:c r="C72" s="26" t="str">
        <x:v>Medak</x:v>
      </x:c>
      <x:c r="D72" s="26" t="str">
        <x:v>Telangana</x:v>
      </x:c>
      <x:c r="E72" s="26" t="n">
        <x:v>114473</x:v>
      </x:c>
      <x:c r="F72" s="26" t="str">
        <x:v>PRJ-2026-0114473</x:v>
      </x:c>
      <x:c r="G72" s="26" t="str">
        <x:v>AWC Upgradation of Veldurthy-V</x:v>
      </x:c>
      <x:c r="H72" s="26" t="str">
        <x:v>Mission Saksham Anganwadi &amp; POSHAN 2.0</x:v>
      </x:c>
      <x:c r="I72" s="32" t="n">
        <x:v>46198</x:v>
      </x:c>
      <x:c r="J72" s="32" t="n">
        <x:v>46381</x:v>
      </x:c>
      <x:c r="K72" s="32"/>
      <x:c r="L72" s="26" t="str">
        <x:v>Active: On/After 01-Aug-2026</x:v>
      </x:c>
      <x:c r="M72" s="26" t="str">
        <x:v>Pending Mapping</x:v>
      </x:c>
      <x:c r="N72" s="26" t="str">
        <x:v>Original project JSON not available</x:v>
      </x:c>
      <x:c r="O72" s="26"/>
      <x:c r="P72" s="26" t="str"/>
      <x:c r="Q72" s="26" t="str"/>
      <x:c r="R72" s="26"/>
      <x:c r="S72" s="36"/>
      <x:c r="T72" s="26"/>
      <x:c r="U72" s="26"/>
      <x:c r="V72" s="26"/>
      <x:c r="W72" s="26" t="n">
        <x:v>4</x:v>
      </x:c>
      <x:c r="X72" s="26" t="n">
        <x:v>0</x:v>
      </x:c>
      <x:c r="Y72" s="26" t="n">
        <x:f>SUMIF('Activity Detail'!$E$4:$E$706,F72,'Activity Detail'!$L$4:$L$706)</x:f>
        <x:v>28</x:v>
      </x:c>
      <x:c r="Z72" s="26" t="n">
        <x:f>SUMIF('Activity Detail'!$E$4:$E$706,F72,'Activity Detail'!$N$4:$N$706)</x:f>
        <x:v>0</x:v>
      </x:c>
      <x:c r="AA72" s="26" t="n">
        <x:f>MAX(Y72-Z72,0)</x:f>
        <x:v>28</x:v>
      </x:c>
      <x:c r="AB72" s="38" t="n">
        <x:f>IFERROR(Z72/Y72,0)</x:f>
        <x:v>0</x:v>
      </x:c>
      <x:c r="AC72" s="26" t="str">
        <x:v>Committed / Not Delivered</x:v>
      </x:c>
      <x:c r="AD72" s="26" t="str">
        <x:v>Approval not recorded in response</x:v>
      </x:c>
      <x:c r="AE72" s="27" t="b">
        <x:v>1</x:v>
      </x:c>
      <x:c r="AF72" s="34" t="n">
        <x:v>46219.853125</x:v>
      </x:c>
      <x:c r="AG72" s="34"/>
      <x:c r="AH72" s="26" t="str">
        <x:v>Contribution API fields only; original project JSON needed for line-item names/centres/category</x:v>
      </x:c>
      <x:c r="AI72" s="26" t="str"/>
      <x:c r="AJ72" s="26" t="str">
        <x:v>Not Started</x:v>
      </x:c>
      <x:c r="AK72" s="26" t="str"/>
      <x:c r="AL72" s="26" t="str"/>
    </x:row>
    <x:row r="73">
      <x:c r="A73" s="26" t="n">
        <x:v>70</x:v>
      </x:c>
      <x:c r="B73" s="26" t="n">
        <x:v>221</x:v>
      </x:c>
      <x:c r="C73" s="26" t="str">
        <x:v>Medak</x:v>
      </x:c>
      <x:c r="D73" s="26" t="str">
        <x:v>Telangana</x:v>
      </x:c>
      <x:c r="E73" s="26" t="n">
        <x:v>114696</x:v>
      </x:c>
      <x:c r="F73" s="26" t="str">
        <x:v>PRJ-2026-0114696</x:v>
      </x:c>
      <x:c r="G73" s="26" t="str">
        <x:v>Upgradation of awc</x:v>
      </x:c>
      <x:c r="H73" s="26" t="str">
        <x:v>Mission Saksham Anganwadi &amp; POSHAN 2.0</x:v>
      </x:c>
      <x:c r="I73" s="32" t="n">
        <x:v>46198</x:v>
      </x:c>
      <x:c r="J73" s="32" t="n">
        <x:v>46381</x:v>
      </x:c>
      <x:c r="K73" s="32"/>
      <x:c r="L73" s="26" t="str">
        <x:v>Active: On/After 01-Aug-2026</x:v>
      </x:c>
      <x:c r="M73" s="26" t="str">
        <x:v>Pending Mapping</x:v>
      </x:c>
      <x:c r="N73" s="26" t="str">
        <x:v>Original project JSON not available</x:v>
      </x:c>
      <x:c r="O73" s="26"/>
      <x:c r="P73" s="26" t="str"/>
      <x:c r="Q73" s="26" t="str"/>
      <x:c r="R73" s="26"/>
      <x:c r="S73" s="36"/>
      <x:c r="T73" s="26"/>
      <x:c r="U73" s="26"/>
      <x:c r="V73" s="26"/>
      <x:c r="W73" s="26" t="n">
        <x:v>1</x:v>
      </x:c>
      <x:c r="X73" s="26" t="n">
        <x:v>0</x:v>
      </x:c>
      <x:c r="Y73" s="26" t="n">
        <x:f>SUMIF('Activity Detail'!$E$4:$E$706,F73,'Activity Detail'!$L$4:$L$706)</x:f>
        <x:v>4</x:v>
      </x:c>
      <x:c r="Z73" s="26" t="n">
        <x:f>SUMIF('Activity Detail'!$E$4:$E$706,F73,'Activity Detail'!$N$4:$N$706)</x:f>
        <x:v>0</x:v>
      </x:c>
      <x:c r="AA73" s="26" t="n">
        <x:f>MAX(Y73-Z73,0)</x:f>
        <x:v>4</x:v>
      </x:c>
      <x:c r="AB73" s="38" t="n">
        <x:f>IFERROR(Z73/Y73,0)</x:f>
        <x:v>0</x:v>
      </x:c>
      <x:c r="AC73" s="26" t="str">
        <x:v>Committed / Not Delivered</x:v>
      </x:c>
      <x:c r="AD73" s="26" t="str">
        <x:v>Approval not recorded in response</x:v>
      </x:c>
      <x:c r="AE73" s="27" t="b">
        <x:v>1</x:v>
      </x:c>
      <x:c r="AF73" s="34" t="n">
        <x:v>46219.853113425925</x:v>
      </x:c>
      <x:c r="AG73" s="34"/>
      <x:c r="AH73" s="26" t="str">
        <x:v>Contribution API fields only; original project JSON needed for line-item names/centres/category</x:v>
      </x:c>
      <x:c r="AI73" s="26" t="str"/>
      <x:c r="AJ73" s="26" t="str">
        <x:v>Not Started</x:v>
      </x:c>
      <x:c r="AK73" s="26" t="str"/>
      <x:c r="AL73" s="26" t="str"/>
    </x:row>
    <x:row r="74">
      <x:c r="A74" s="26" t="n">
        <x:v>71</x:v>
      </x:c>
      <x:c r="B74" s="26" t="n">
        <x:v>222</x:v>
      </x:c>
      <x:c r="C74" s="26" t="str">
        <x:v>Medak</x:v>
      </x:c>
      <x:c r="D74" s="26" t="str">
        <x:v>Telangana</x:v>
      </x:c>
      <x:c r="E74" s="26" t="n">
        <x:v>114584</x:v>
      </x:c>
      <x:c r="F74" s="26" t="str">
        <x:v>PRJ-2026-0114584</x:v>
      </x:c>
      <x:c r="G74" s="26" t="str">
        <x:v>AWC Upgradradation of Yashwanthraopet II</x:v>
      </x:c>
      <x:c r="H74" s="26" t="str">
        <x:v>Mission Saksham Anganwadi &amp; POSHAN 2.0</x:v>
      </x:c>
      <x:c r="I74" s="32" t="n">
        <x:v>46198</x:v>
      </x:c>
      <x:c r="J74" s="32" t="n">
        <x:v>46381</x:v>
      </x:c>
      <x:c r="K74" s="32"/>
      <x:c r="L74" s="26" t="str">
        <x:v>Active: On/After 01-Aug-2026</x:v>
      </x:c>
      <x:c r="M74" s="26" t="str">
        <x:v>Pending Mapping</x:v>
      </x:c>
      <x:c r="N74" s="26" t="str">
        <x:v>Original project JSON not available</x:v>
      </x:c>
      <x:c r="O74" s="26"/>
      <x:c r="P74" s="26" t="str"/>
      <x:c r="Q74" s="26" t="str"/>
      <x:c r="R74" s="26"/>
      <x:c r="S74" s="36"/>
      <x:c r="T74" s="26"/>
      <x:c r="U74" s="26"/>
      <x:c r="V74" s="26"/>
      <x:c r="W74" s="26" t="n">
        <x:v>5</x:v>
      </x:c>
      <x:c r="X74" s="26" t="n">
        <x:v>0</x:v>
      </x:c>
      <x:c r="Y74" s="26" t="n">
        <x:f>SUMIF('Activity Detail'!$E$4:$E$706,F74,'Activity Detail'!$L$4:$L$706)</x:f>
        <x:v>36</x:v>
      </x:c>
      <x:c r="Z74" s="26" t="n">
        <x:f>SUMIF('Activity Detail'!$E$4:$E$706,F74,'Activity Detail'!$N$4:$N$706)</x:f>
        <x:v>0</x:v>
      </x:c>
      <x:c r="AA74" s="26" t="n">
        <x:f>MAX(Y74-Z74,0)</x:f>
        <x:v>36</x:v>
      </x:c>
      <x:c r="AB74" s="38" t="n">
        <x:f>IFERROR(Z74/Y74,0)</x:f>
        <x:v>0</x:v>
      </x:c>
      <x:c r="AC74" s="26" t="str">
        <x:v>Committed / Not Delivered</x:v>
      </x:c>
      <x:c r="AD74" s="26" t="str">
        <x:v>Approval not recorded in response</x:v>
      </x:c>
      <x:c r="AE74" s="27" t="b">
        <x:v>1</x:v>
      </x:c>
      <x:c r="AF74" s="34" t="n">
        <x:v>46219.853113425925</x:v>
      </x:c>
      <x:c r="AG74" s="34"/>
      <x:c r="AH74" s="26" t="str">
        <x:v>Contribution API fields only; original project JSON needed for line-item names/centres/category</x:v>
      </x:c>
      <x:c r="AI74" s="26" t="str"/>
      <x:c r="AJ74" s="26" t="str">
        <x:v>Not Started</x:v>
      </x:c>
      <x:c r="AK74" s="26" t="str"/>
      <x:c r="AL74" s="26" t="str"/>
    </x:row>
    <x:row r="75">
      <x:c r="A75" s="26" t="n">
        <x:v>72</x:v>
      </x:c>
      <x:c r="B75" s="26" t="n">
        <x:v>220</x:v>
      </x:c>
      <x:c r="C75" s="26" t="str">
        <x:v>Medak</x:v>
      </x:c>
      <x:c r="D75" s="26" t="str">
        <x:v>Telangana</x:v>
      </x:c>
      <x:c r="E75" s="26" t="n">
        <x:v>114728</x:v>
      </x:c>
      <x:c r="F75" s="26" t="str">
        <x:v>PRJ-2026-0114728</x:v>
      </x:c>
      <x:c r="G75" s="26" t="str">
        <x:v>Upgradation of awc</x:v>
      </x:c>
      <x:c r="H75" s="26" t="str">
        <x:v>Mission Saksham Anganwadi &amp; POSHAN 2.0</x:v>
      </x:c>
      <x:c r="I75" s="32" t="n">
        <x:v>46198</x:v>
      </x:c>
      <x:c r="J75" s="32" t="n">
        <x:v>46385</x:v>
      </x:c>
      <x:c r="K75" s="32"/>
      <x:c r="L75" s="26" t="str">
        <x:v>Active: On/After 01-Aug-2026</x:v>
      </x:c>
      <x:c r="M75" s="26" t="str">
        <x:v>Pending Mapping</x:v>
      </x:c>
      <x:c r="N75" s="26" t="str">
        <x:v>Original project JSON not available</x:v>
      </x:c>
      <x:c r="O75" s="26"/>
      <x:c r="P75" s="26" t="str"/>
      <x:c r="Q75" s="26" t="str"/>
      <x:c r="R75" s="26"/>
      <x:c r="S75" s="36"/>
      <x:c r="T75" s="26"/>
      <x:c r="U75" s="26"/>
      <x:c r="V75" s="26"/>
      <x:c r="W75" s="26" t="n">
        <x:v>1</x:v>
      </x:c>
      <x:c r="X75" s="26" t="n">
        <x:v>0</x:v>
      </x:c>
      <x:c r="Y75" s="26" t="n">
        <x:f>SUMIF('Activity Detail'!$E$4:$E$706,F75,'Activity Detail'!$L$4:$L$706)</x:f>
        <x:v>2</x:v>
      </x:c>
      <x:c r="Z75" s="26" t="n">
        <x:f>SUMIF('Activity Detail'!$E$4:$E$706,F75,'Activity Detail'!$N$4:$N$706)</x:f>
        <x:v>0</x:v>
      </x:c>
      <x:c r="AA75" s="26" t="n">
        <x:f>MAX(Y75-Z75,0)</x:f>
        <x:v>2</x:v>
      </x:c>
      <x:c r="AB75" s="38" t="n">
        <x:f>IFERROR(Z75/Y75,0)</x:f>
        <x:v>0</x:v>
      </x:c>
      <x:c r="AC75" s="26" t="str">
        <x:v>Committed / Not Delivered</x:v>
      </x:c>
      <x:c r="AD75" s="26" t="str">
        <x:v>Approval not recorded in response</x:v>
      </x:c>
      <x:c r="AE75" s="27" t="b">
        <x:v>1</x:v>
      </x:c>
      <x:c r="AF75" s="34" t="n">
        <x:v>46219.853101851855</x:v>
      </x:c>
      <x:c r="AG75" s="34"/>
      <x:c r="AH75" s="26" t="str">
        <x:v>Contribution API fields only; original project JSON needed for line-item names/centres/category</x:v>
      </x:c>
      <x:c r="AI75" s="26" t="str"/>
      <x:c r="AJ75" s="26" t="str">
        <x:v>Not Started</x:v>
      </x:c>
      <x:c r="AK75" s="26" t="str"/>
      <x:c r="AL75" s="26" t="str"/>
    </x:row>
    <x:row r="76">
      <x:c r="A76" s="26" t="n">
        <x:v>73</x:v>
      </x:c>
      <x:c r="B76" s="26" t="n">
        <x:v>218</x:v>
      </x:c>
      <x:c r="C76" s="26" t="str">
        <x:v>Medak</x:v>
      </x:c>
      <x:c r="D76" s="26" t="str">
        <x:v>Telangana</x:v>
      </x:c>
      <x:c r="E76" s="26" t="n">
        <x:v>123083</x:v>
      </x:c>
      <x:c r="F76" s="26" t="str">
        <x:v>PRJ-2026-0123083</x:v>
      </x:c>
      <x:c r="G76" s="26" t="str">
        <x:v>Upgradation of awc</x:v>
      </x:c>
      <x:c r="H76" s="26" t="str">
        <x:v>Mission Saksham Anganwadi &amp; POSHAN 2.0</x:v>
      </x:c>
      <x:c r="I76" s="32" t="n">
        <x:v>46202</x:v>
      </x:c>
      <x:c r="J76" s="32" t="n">
        <x:v>46385</x:v>
      </x:c>
      <x:c r="K76" s="32"/>
      <x:c r="L76" s="26" t="str">
        <x:v>Active: On/After 01-Aug-2026</x:v>
      </x:c>
      <x:c r="M76" s="26" t="str">
        <x:v>Pending Mapping</x:v>
      </x:c>
      <x:c r="N76" s="26" t="str">
        <x:v>Original project JSON not available</x:v>
      </x:c>
      <x:c r="O76" s="26"/>
      <x:c r="P76" s="26" t="str"/>
      <x:c r="Q76" s="26" t="str"/>
      <x:c r="R76" s="26"/>
      <x:c r="S76" s="36"/>
      <x:c r="T76" s="26"/>
      <x:c r="U76" s="26"/>
      <x:c r="V76" s="26"/>
      <x:c r="W76" s="26" t="n">
        <x:v>1</x:v>
      </x:c>
      <x:c r="X76" s="26" t="n">
        <x:v>0</x:v>
      </x:c>
      <x:c r="Y76" s="26" t="n">
        <x:f>SUMIF('Activity Detail'!$E$4:$E$706,F76,'Activity Detail'!$L$4:$L$706)</x:f>
        <x:v>4</x:v>
      </x:c>
      <x:c r="Z76" s="26" t="n">
        <x:f>SUMIF('Activity Detail'!$E$4:$E$706,F76,'Activity Detail'!$N$4:$N$706)</x:f>
        <x:v>0</x:v>
      </x:c>
      <x:c r="AA76" s="26" t="n">
        <x:f>MAX(Y76-Z76,0)</x:f>
        <x:v>4</x:v>
      </x:c>
      <x:c r="AB76" s="38" t="n">
        <x:f>IFERROR(Z76/Y76,0)</x:f>
        <x:v>0</x:v>
      </x:c>
      <x:c r="AC76" s="26" t="str">
        <x:v>Committed / Not Delivered</x:v>
      </x:c>
      <x:c r="AD76" s="26" t="str">
        <x:v>Approval not recorded in response</x:v>
      </x:c>
      <x:c r="AE76" s="27" t="b">
        <x:v>1</x:v>
      </x:c>
      <x:c r="AF76" s="34" t="n">
        <x:v>46219.85309027778</x:v>
      </x:c>
      <x:c r="AG76" s="34"/>
      <x:c r="AH76" s="26" t="str">
        <x:v>Contribution API fields only; original project JSON needed for line-item names/centres/category</x:v>
      </x:c>
      <x:c r="AI76" s="26" t="str"/>
      <x:c r="AJ76" s="26" t="str">
        <x:v>Not Started</x:v>
      </x:c>
      <x:c r="AK76" s="26" t="str"/>
      <x:c r="AL76" s="26" t="str"/>
    </x:row>
    <x:row r="77">
      <x:c r="A77" s="26" t="n">
        <x:v>74</x:v>
      </x:c>
      <x:c r="B77" s="26" t="n">
        <x:v>219</x:v>
      </x:c>
      <x:c r="C77" s="26" t="str">
        <x:v>Medak</x:v>
      </x:c>
      <x:c r="D77" s="26" t="str">
        <x:v>Telangana</x:v>
      </x:c>
      <x:c r="E77" s="26" t="n">
        <x:v>123075</x:v>
      </x:c>
      <x:c r="F77" s="26" t="str">
        <x:v>PRJ-2026-0123075</x:v>
      </x:c>
      <x:c r="G77" s="26" t="str">
        <x:v>Upgradation of awc</x:v>
      </x:c>
      <x:c r="H77" s="26" t="str">
        <x:v>Mission Saksham Anganwadi &amp; POSHAN 2.0</x:v>
      </x:c>
      <x:c r="I77" s="32" t="n">
        <x:v>46202</x:v>
      </x:c>
      <x:c r="J77" s="32" t="n">
        <x:v>46382</x:v>
      </x:c>
      <x:c r="K77" s="32"/>
      <x:c r="L77" s="26" t="str">
        <x:v>Active: On/After 01-Aug-2026</x:v>
      </x:c>
      <x:c r="M77" s="26" t="str">
        <x:v>Pending Mapping</x:v>
      </x:c>
      <x:c r="N77" s="26" t="str">
        <x:v>Original project JSON not available</x:v>
      </x:c>
      <x:c r="O77" s="26"/>
      <x:c r="P77" s="26" t="str"/>
      <x:c r="Q77" s="26" t="str"/>
      <x:c r="R77" s="26"/>
      <x:c r="S77" s="36"/>
      <x:c r="T77" s="26"/>
      <x:c r="U77" s="26"/>
      <x:c r="V77" s="26"/>
      <x:c r="W77" s="26" t="n">
        <x:v>1</x:v>
      </x:c>
      <x:c r="X77" s="26" t="n">
        <x:v>0</x:v>
      </x:c>
      <x:c r="Y77" s="26" t="n">
        <x:f>SUMIF('Activity Detail'!$E$4:$E$706,F77,'Activity Detail'!$L$4:$L$706)</x:f>
        <x:v>4</x:v>
      </x:c>
      <x:c r="Z77" s="26" t="n">
        <x:f>SUMIF('Activity Detail'!$E$4:$E$706,F77,'Activity Detail'!$N$4:$N$706)</x:f>
        <x:v>0</x:v>
      </x:c>
      <x:c r="AA77" s="26" t="n">
        <x:f>MAX(Y77-Z77,0)</x:f>
        <x:v>4</x:v>
      </x:c>
      <x:c r="AB77" s="38" t="n">
        <x:f>IFERROR(Z77/Y77,0)</x:f>
        <x:v>0</x:v>
      </x:c>
      <x:c r="AC77" s="26" t="str">
        <x:v>Committed / Not Delivered</x:v>
      </x:c>
      <x:c r="AD77" s="26" t="str">
        <x:v>Approval not recorded in response</x:v>
      </x:c>
      <x:c r="AE77" s="27" t="b">
        <x:v>1</x:v>
      </x:c>
      <x:c r="AF77" s="34" t="n">
        <x:v>46219.85309027778</x:v>
      </x:c>
      <x:c r="AG77" s="34"/>
      <x:c r="AH77" s="26" t="str">
        <x:v>Contribution API fields only; original project JSON needed for line-item names/centres/category</x:v>
      </x:c>
      <x:c r="AI77" s="26" t="str"/>
      <x:c r="AJ77" s="26" t="str">
        <x:v>Not Started</x:v>
      </x:c>
      <x:c r="AK77" s="26" t="str"/>
      <x:c r="AL77" s="26" t="str"/>
    </x:row>
    <x:row r="78">
      <x:c r="A78" s="26" t="n">
        <x:v>75</x:v>
      </x:c>
      <x:c r="B78" s="26" t="n">
        <x:v>217</x:v>
      </x:c>
      <x:c r="C78" s="26" t="str">
        <x:v>Medak</x:v>
      </x:c>
      <x:c r="D78" s="26" t="str">
        <x:v>Telangana</x:v>
      </x:c>
      <x:c r="E78" s="26" t="n">
        <x:v>123089</x:v>
      </x:c>
      <x:c r="F78" s="26" t="str">
        <x:v>PRJ-2026-0123089</x:v>
      </x:c>
      <x:c r="G78" s="26" t="str">
        <x:v>Upgradation of awc</x:v>
      </x:c>
      <x:c r="H78" s="26" t="str">
        <x:v>Mission Saksham Anganwadi &amp; POSHAN 2.0</x:v>
      </x:c>
      <x:c r="I78" s="32" t="n">
        <x:v>46202</x:v>
      </x:c>
      <x:c r="J78" s="32" t="n">
        <x:v>46386</x:v>
      </x:c>
      <x:c r="K78" s="32"/>
      <x:c r="L78" s="26" t="str">
        <x:v>Active: On/After 01-Aug-2026</x:v>
      </x:c>
      <x:c r="M78" s="26" t="str">
        <x:v>Pending Mapping</x:v>
      </x:c>
      <x:c r="N78" s="26" t="str">
        <x:v>Original project JSON not available</x:v>
      </x:c>
      <x:c r="O78" s="26"/>
      <x:c r="P78" s="26" t="str"/>
      <x:c r="Q78" s="26" t="str"/>
      <x:c r="R78" s="26"/>
      <x:c r="S78" s="36"/>
      <x:c r="T78" s="26"/>
      <x:c r="U78" s="26"/>
      <x:c r="V78" s="26"/>
      <x:c r="W78" s="26" t="n">
        <x:v>1</x:v>
      </x:c>
      <x:c r="X78" s="26" t="n">
        <x:v>0</x:v>
      </x:c>
      <x:c r="Y78" s="26" t="n">
        <x:f>SUMIF('Activity Detail'!$E$4:$E$706,F78,'Activity Detail'!$L$4:$L$706)</x:f>
        <x:v>7</x:v>
      </x:c>
      <x:c r="Z78" s="26" t="n">
        <x:f>SUMIF('Activity Detail'!$E$4:$E$706,F78,'Activity Detail'!$N$4:$N$706)</x:f>
        <x:v>0</x:v>
      </x:c>
      <x:c r="AA78" s="26" t="n">
        <x:f>MAX(Y78-Z78,0)</x:f>
        <x:v>7</x:v>
      </x:c>
      <x:c r="AB78" s="38" t="n">
        <x:f>IFERROR(Z78/Y78,0)</x:f>
        <x:v>0</x:v>
      </x:c>
      <x:c r="AC78" s="26" t="str">
        <x:v>Committed / Not Delivered</x:v>
      </x:c>
      <x:c r="AD78" s="26" t="str">
        <x:v>Approval not recorded in response</x:v>
      </x:c>
      <x:c r="AE78" s="27" t="b">
        <x:v>1</x:v>
      </x:c>
      <x:c r="AF78" s="34" t="n">
        <x:v>46219.8530787037</x:v>
      </x:c>
      <x:c r="AG78" s="34"/>
      <x:c r="AH78" s="26" t="str">
        <x:v>Contribution API fields only; original project JSON needed for line-item names/centres/category</x:v>
      </x:c>
      <x:c r="AI78" s="26" t="str"/>
      <x:c r="AJ78" s="26" t="str">
        <x:v>Not Started</x:v>
      </x:c>
      <x:c r="AK78" s="26" t="str"/>
      <x:c r="AL78" s="26" t="str"/>
    </x:row>
    <x:row r="79">
      <x:c r="A79" s="26" t="n">
        <x:v>76</x:v>
      </x:c>
      <x:c r="B79" s="26" t="n">
        <x:v>215</x:v>
      </x:c>
      <x:c r="C79" s="26" t="str">
        <x:v>Medak</x:v>
      </x:c>
      <x:c r="D79" s="26" t="str">
        <x:v>Telangana</x:v>
      </x:c>
      <x:c r="E79" s="26" t="n">
        <x:v>123887</x:v>
      </x:c>
      <x:c r="F79" s="26" t="str">
        <x:v>PRJ-2026-0123887</x:v>
      </x:c>
      <x:c r="G79" s="26" t="str">
        <x:v>Upgradation of awc</x:v>
      </x:c>
      <x:c r="H79" s="26" t="str">
        <x:v>Mission Saksham Anganwadi &amp; POSHAN 2.0</x:v>
      </x:c>
      <x:c r="I79" s="32" t="n">
        <x:v>46202</x:v>
      </x:c>
      <x:c r="J79" s="32" t="n">
        <x:v>46386</x:v>
      </x:c>
      <x:c r="K79" s="32"/>
      <x:c r="L79" s="26" t="str">
        <x:v>Active: On/After 01-Aug-2026</x:v>
      </x:c>
      <x:c r="M79" s="26" t="str">
        <x:v>Pending Mapping</x:v>
      </x:c>
      <x:c r="N79" s="26" t="str">
        <x:v>Original project JSON not available</x:v>
      </x:c>
      <x:c r="O79" s="26"/>
      <x:c r="P79" s="26" t="str"/>
      <x:c r="Q79" s="26" t="str"/>
      <x:c r="R79" s="26"/>
      <x:c r="S79" s="36"/>
      <x:c r="T79" s="26"/>
      <x:c r="U79" s="26"/>
      <x:c r="V79" s="26"/>
      <x:c r="W79" s="26" t="n">
        <x:v>1</x:v>
      </x:c>
      <x:c r="X79" s="26" t="n">
        <x:v>0</x:v>
      </x:c>
      <x:c r="Y79" s="26" t="n">
        <x:f>SUMIF('Activity Detail'!$E$4:$E$706,F79,'Activity Detail'!$L$4:$L$706)</x:f>
        <x:v>5</x:v>
      </x:c>
      <x:c r="Z79" s="26" t="n">
        <x:f>SUMIF('Activity Detail'!$E$4:$E$706,F79,'Activity Detail'!$N$4:$N$706)</x:f>
        <x:v>0</x:v>
      </x:c>
      <x:c r="AA79" s="26" t="n">
        <x:f>MAX(Y79-Z79,0)</x:f>
        <x:v>5</x:v>
      </x:c>
      <x:c r="AB79" s="38" t="n">
        <x:f>IFERROR(Z79/Y79,0)</x:f>
        <x:v>0</x:v>
      </x:c>
      <x:c r="AC79" s="26" t="str">
        <x:v>Committed / Not Delivered</x:v>
      </x:c>
      <x:c r="AD79" s="26" t="str">
        <x:v>Approval not recorded in response</x:v>
      </x:c>
      <x:c r="AE79" s="27" t="b">
        <x:v>1</x:v>
      </x:c>
      <x:c r="AF79" s="34" t="n">
        <x:v>46219.85306712963</x:v>
      </x:c>
      <x:c r="AG79" s="34"/>
      <x:c r="AH79" s="26" t="str">
        <x:v>Contribution API fields only; original project JSON needed for line-item names/centres/category</x:v>
      </x:c>
      <x:c r="AI79" s="26" t="str"/>
      <x:c r="AJ79" s="26" t="str">
        <x:v>Not Started</x:v>
      </x:c>
      <x:c r="AK79" s="26" t="str"/>
      <x:c r="AL79" s="26" t="str"/>
    </x:row>
    <x:row r="80">
      <x:c r="A80" s="26" t="n">
        <x:v>77</x:v>
      </x:c>
      <x:c r="B80" s="26" t="n">
        <x:v>216</x:v>
      </x:c>
      <x:c r="C80" s="26" t="str">
        <x:v>Medak</x:v>
      </x:c>
      <x:c r="D80" s="26" t="str">
        <x:v>Telangana</x:v>
      </x:c>
      <x:c r="E80" s="26" t="n">
        <x:v>123865</x:v>
      </x:c>
      <x:c r="F80" s="26" t="str">
        <x:v>PRJ-2026-0123865</x:v>
      </x:c>
      <x:c r="G80" s="26" t="str">
        <x:v>Upgradation of awc</x:v>
      </x:c>
      <x:c r="H80" s="26" t="str">
        <x:v>Mission Saksham Anganwadi &amp; POSHAN 2.0</x:v>
      </x:c>
      <x:c r="I80" s="32" t="n">
        <x:v>46202</x:v>
      </x:c>
      <x:c r="J80" s="32" t="n">
        <x:v>46386</x:v>
      </x:c>
      <x:c r="K80" s="32"/>
      <x:c r="L80" s="26" t="str">
        <x:v>Active: On/After 01-Aug-2026</x:v>
      </x:c>
      <x:c r="M80" s="26" t="str">
        <x:v>Pending Mapping</x:v>
      </x:c>
      <x:c r="N80" s="26" t="str">
        <x:v>Original project JSON not available</x:v>
      </x:c>
      <x:c r="O80" s="26"/>
      <x:c r="P80" s="26" t="str"/>
      <x:c r="Q80" s="26" t="str"/>
      <x:c r="R80" s="26"/>
      <x:c r="S80" s="36"/>
      <x:c r="T80" s="26"/>
      <x:c r="U80" s="26"/>
      <x:c r="V80" s="26"/>
      <x:c r="W80" s="26" t="n">
        <x:v>1</x:v>
      </x:c>
      <x:c r="X80" s="26" t="n">
        <x:v>0</x:v>
      </x:c>
      <x:c r="Y80" s="26" t="n">
        <x:f>SUMIF('Activity Detail'!$E$4:$E$706,F80,'Activity Detail'!$L$4:$L$706)</x:f>
        <x:v>4</x:v>
      </x:c>
      <x:c r="Z80" s="26" t="n">
        <x:f>SUMIF('Activity Detail'!$E$4:$E$706,F80,'Activity Detail'!$N$4:$N$706)</x:f>
        <x:v>0</x:v>
      </x:c>
      <x:c r="AA80" s="26" t="n">
        <x:f>MAX(Y80-Z80,0)</x:f>
        <x:v>4</x:v>
      </x:c>
      <x:c r="AB80" s="38" t="n">
        <x:f>IFERROR(Z80/Y80,0)</x:f>
        <x:v>0</x:v>
      </x:c>
      <x:c r="AC80" s="26" t="str">
        <x:v>Committed / Not Delivered</x:v>
      </x:c>
      <x:c r="AD80" s="26" t="str">
        <x:v>Approval not recorded in response</x:v>
      </x:c>
      <x:c r="AE80" s="27" t="b">
        <x:v>1</x:v>
      </x:c>
      <x:c r="AF80" s="34" t="n">
        <x:v>46219.85306712963</x:v>
      </x:c>
      <x:c r="AG80" s="34"/>
      <x:c r="AH80" s="26" t="str">
        <x:v>Contribution API fields only; original project JSON needed for line-item names/centres/category</x:v>
      </x:c>
      <x:c r="AI80" s="26" t="str"/>
      <x:c r="AJ80" s="26" t="str">
        <x:v>Not Started</x:v>
      </x:c>
      <x:c r="AK80" s="26" t="str"/>
      <x:c r="AL80" s="26" t="str"/>
    </x:row>
    <x:row r="81">
      <x:c r="A81" s="26" t="n">
        <x:v>78</x:v>
      </x:c>
      <x:c r="B81" s="26" t="n">
        <x:v>214</x:v>
      </x:c>
      <x:c r="C81" s="26" t="str">
        <x:v>Medak</x:v>
      </x:c>
      <x:c r="D81" s="26" t="str">
        <x:v>Telangana</x:v>
      </x:c>
      <x:c r="E81" s="26" t="n">
        <x:v>123912</x:v>
      </x:c>
      <x:c r="F81" s="26" t="str">
        <x:v>PRJ-2026-0123912</x:v>
      </x:c>
      <x:c r="G81" s="26" t="str">
        <x:v>Upgradation of awc</x:v>
      </x:c>
      <x:c r="H81" s="26" t="str">
        <x:v>Mission Saksham Anganwadi &amp; POSHAN 2.0</x:v>
      </x:c>
      <x:c r="I81" s="32" t="n">
        <x:v>46202</x:v>
      </x:c>
      <x:c r="J81" s="32" t="n">
        <x:v>46384</x:v>
      </x:c>
      <x:c r="K81" s="32"/>
      <x:c r="L81" s="26" t="str">
        <x:v>Active: On/After 01-Aug-2026</x:v>
      </x:c>
      <x:c r="M81" s="26" t="str">
        <x:v>Pending Mapping</x:v>
      </x:c>
      <x:c r="N81" s="26" t="str">
        <x:v>Original project JSON not available</x:v>
      </x:c>
      <x:c r="O81" s="26"/>
      <x:c r="P81" s="26" t="str"/>
      <x:c r="Q81" s="26" t="str"/>
      <x:c r="R81" s="26"/>
      <x:c r="S81" s="36"/>
      <x:c r="T81" s="26"/>
      <x:c r="U81" s="26"/>
      <x:c r="V81" s="26"/>
      <x:c r="W81" s="26" t="n">
        <x:v>1</x:v>
      </x:c>
      <x:c r="X81" s="26" t="n">
        <x:v>0</x:v>
      </x:c>
      <x:c r="Y81" s="26" t="n">
        <x:f>SUMIF('Activity Detail'!$E$4:$E$706,F81,'Activity Detail'!$L$4:$L$706)</x:f>
        <x:v>5</x:v>
      </x:c>
      <x:c r="Z81" s="26" t="n">
        <x:f>SUMIF('Activity Detail'!$E$4:$E$706,F81,'Activity Detail'!$N$4:$N$706)</x:f>
        <x:v>0</x:v>
      </x:c>
      <x:c r="AA81" s="26" t="n">
        <x:f>MAX(Y81-Z81,0)</x:f>
        <x:v>5</x:v>
      </x:c>
      <x:c r="AB81" s="38" t="n">
        <x:f>IFERROR(Z81/Y81,0)</x:f>
        <x:v>0</x:v>
      </x:c>
      <x:c r="AC81" s="26" t="str">
        <x:v>Committed / Not Delivered</x:v>
      </x:c>
      <x:c r="AD81" s="26" t="str">
        <x:v>Approval not recorded in response</x:v>
      </x:c>
      <x:c r="AE81" s="27" t="b">
        <x:v>1</x:v>
      </x:c>
      <x:c r="AF81" s="34" t="n">
        <x:v>46219.853055555555</x:v>
      </x:c>
      <x:c r="AG81" s="34"/>
      <x:c r="AH81" s="26" t="str">
        <x:v>Contribution API fields only; original project JSON needed for line-item names/centres/category</x:v>
      </x:c>
      <x:c r="AI81" s="26" t="str"/>
      <x:c r="AJ81" s="26" t="str">
        <x:v>Not Started</x:v>
      </x:c>
      <x:c r="AK81" s="26" t="str"/>
      <x:c r="AL81" s="26" t="str"/>
    </x:row>
    <x:row r="82">
      <x:c r="A82" s="26" t="n">
        <x:v>79</x:v>
      </x:c>
      <x:c r="B82" s="26" t="n">
        <x:v>213</x:v>
      </x:c>
      <x:c r="C82" s="26" t="str">
        <x:v>Medak</x:v>
      </x:c>
      <x:c r="D82" s="26" t="str">
        <x:v>Telangana</x:v>
      </x:c>
      <x:c r="E82" s="26" t="n">
        <x:v>114693</x:v>
      </x:c>
      <x:c r="F82" s="26" t="str">
        <x:v>PRJ-2026-0114693</x:v>
      </x:c>
      <x:c r="G82" s="26" t="str">
        <x:v>AWC Upgradation of Veldurthy-IV</x:v>
      </x:c>
      <x:c r="H82" s="26" t="str">
        <x:v>Mission Saksham Anganwadi &amp; POSHAN 2.0</x:v>
      </x:c>
      <x:c r="I82" s="32" t="n">
        <x:v>46198</x:v>
      </x:c>
      <x:c r="J82" s="32" t="n">
        <x:v>46381</x:v>
      </x:c>
      <x:c r="K82" s="32"/>
      <x:c r="L82" s="26" t="str">
        <x:v>Active: On/After 01-Aug-2026</x:v>
      </x:c>
      <x:c r="M82" s="26" t="str">
        <x:v>Pending Mapping</x:v>
      </x:c>
      <x:c r="N82" s="26" t="str">
        <x:v>Original project JSON not available</x:v>
      </x:c>
      <x:c r="O82" s="26"/>
      <x:c r="P82" s="26" t="str"/>
      <x:c r="Q82" s="26" t="str"/>
      <x:c r="R82" s="26"/>
      <x:c r="S82" s="36"/>
      <x:c r="T82" s="26"/>
      <x:c r="U82" s="26"/>
      <x:c r="V82" s="26"/>
      <x:c r="W82" s="26" t="n">
        <x:v>5</x:v>
      </x:c>
      <x:c r="X82" s="26" t="n">
        <x:v>0</x:v>
      </x:c>
      <x:c r="Y82" s="26" t="n">
        <x:f>SUMIF('Activity Detail'!$E$4:$E$706,F82,'Activity Detail'!$L$4:$L$706)</x:f>
        <x:v>37</x:v>
      </x:c>
      <x:c r="Z82" s="26" t="n">
        <x:f>SUMIF('Activity Detail'!$E$4:$E$706,F82,'Activity Detail'!$N$4:$N$706)</x:f>
        <x:v>0</x:v>
      </x:c>
      <x:c r="AA82" s="26" t="n">
        <x:f>MAX(Y82-Z82,0)</x:f>
        <x:v>37</x:v>
      </x:c>
      <x:c r="AB82" s="38" t="n">
        <x:f>IFERROR(Z82/Y82,0)</x:f>
        <x:v>0</x:v>
      </x:c>
      <x:c r="AC82" s="26" t="str">
        <x:v>Committed / Not Delivered</x:v>
      </x:c>
      <x:c r="AD82" s="26" t="str">
        <x:v>Approval not recorded in response</x:v>
      </x:c>
      <x:c r="AE82" s="27" t="b">
        <x:v>1</x:v>
      </x:c>
      <x:c r="AF82" s="34" t="n">
        <x:v>46219.850752314815</x:v>
      </x:c>
      <x:c r="AG82" s="34"/>
      <x:c r="AH82" s="26" t="str">
        <x:v>Contribution API fields only; original project JSON needed for line-item names/centres/category</x:v>
      </x:c>
      <x:c r="AI82" s="26" t="str"/>
      <x:c r="AJ82" s="26" t="str">
        <x:v>Not Started</x:v>
      </x:c>
      <x:c r="AK82" s="26" t="str"/>
      <x:c r="AL82" s="26" t="str"/>
    </x:row>
    <x:row r="83">
      <x:c r="A83" s="26" t="n">
        <x:v>80</x:v>
      </x:c>
      <x:c r="B83" s="26" t="n">
        <x:v>212</x:v>
      </x:c>
      <x:c r="C83" s="26" t="str">
        <x:v>Medak</x:v>
      </x:c>
      <x:c r="D83" s="26" t="str">
        <x:v>Telangana</x:v>
      </x:c>
      <x:c r="E83" s="26" t="n">
        <x:v>114660</x:v>
      </x:c>
      <x:c r="F83" s="26" t="str">
        <x:v>PRJ-2026-0114660</x:v>
      </x:c>
      <x:c r="G83" s="26" t="str">
        <x:v>AWC Upgradation of Aragudem</x:v>
      </x:c>
      <x:c r="H83" s="26" t="str">
        <x:v>Mission Saksham Anganwadi &amp; POSHAN 2.0</x:v>
      </x:c>
      <x:c r="I83" s="32" t="n">
        <x:v>46198</x:v>
      </x:c>
      <x:c r="J83" s="32" t="n">
        <x:v>46381</x:v>
      </x:c>
      <x:c r="K83" s="32"/>
      <x:c r="L83" s="26" t="str">
        <x:v>Active: On/After 01-Aug-2026</x:v>
      </x:c>
      <x:c r="M83" s="26" t="str">
        <x:v>Pending Mapping</x:v>
      </x:c>
      <x:c r="N83" s="26" t="str">
        <x:v>Original project JSON not available</x:v>
      </x:c>
      <x:c r="O83" s="26"/>
      <x:c r="P83" s="26" t="str"/>
      <x:c r="Q83" s="26" t="str"/>
      <x:c r="R83" s="26"/>
      <x:c r="S83" s="36"/>
      <x:c r="T83" s="26"/>
      <x:c r="U83" s="26"/>
      <x:c r="V83" s="26"/>
      <x:c r="W83" s="26" t="n">
        <x:v>4</x:v>
      </x:c>
      <x:c r="X83" s="26" t="n">
        <x:v>0</x:v>
      </x:c>
      <x:c r="Y83" s="26" t="n">
        <x:f>SUMIF('Activity Detail'!$E$4:$E$706,F83,'Activity Detail'!$L$4:$L$706)</x:f>
        <x:v>33</x:v>
      </x:c>
      <x:c r="Z83" s="26" t="n">
        <x:f>SUMIF('Activity Detail'!$E$4:$E$706,F83,'Activity Detail'!$N$4:$N$706)</x:f>
        <x:v>0</x:v>
      </x:c>
      <x:c r="AA83" s="26" t="n">
        <x:f>MAX(Y83-Z83,0)</x:f>
        <x:v>33</x:v>
      </x:c>
      <x:c r="AB83" s="38" t="n">
        <x:f>IFERROR(Z83/Y83,0)</x:f>
        <x:v>0</x:v>
      </x:c>
      <x:c r="AC83" s="26" t="str">
        <x:v>Committed / Not Delivered</x:v>
      </x:c>
      <x:c r="AD83" s="26" t="str">
        <x:v>Approval not recorded in response</x:v>
      </x:c>
      <x:c r="AE83" s="27" t="b">
        <x:v>1</x:v>
      </x:c>
      <x:c r="AF83" s="34" t="n">
        <x:v>46219.85074074074</x:v>
      </x:c>
      <x:c r="AG83" s="34"/>
      <x:c r="AH83" s="26" t="str">
        <x:v>Contribution API fields only; original project JSON needed for line-item names/centres/category</x:v>
      </x:c>
      <x:c r="AI83" s="26" t="str"/>
      <x:c r="AJ83" s="26" t="str">
        <x:v>Not Started</x:v>
      </x:c>
      <x:c r="AK83" s="26" t="str"/>
      <x:c r="AL83" s="26" t="str"/>
    </x:row>
    <x:row r="84">
      <x:c r="A84" s="26" t="n">
        <x:v>81</x:v>
      </x:c>
      <x:c r="B84" s="26" t="n">
        <x:v>210</x:v>
      </x:c>
      <x:c r="C84" s="26" t="str">
        <x:v>Medak</x:v>
      </x:c>
      <x:c r="D84" s="26" t="str">
        <x:v>Telangana</x:v>
      </x:c>
      <x:c r="E84" s="26" t="n">
        <x:v>114707</x:v>
      </x:c>
      <x:c r="F84" s="26" t="str">
        <x:v>PRJ-2026-0114707</x:v>
      </x:c>
      <x:c r="G84" s="26" t="str">
        <x:v>AWC Upgradation of Veldurthy-I</x:v>
      </x:c>
      <x:c r="H84" s="26" t="str">
        <x:v>Mission Saksham Anganwadi &amp; POSHAN 2.0</x:v>
      </x:c>
      <x:c r="I84" s="32" t="n">
        <x:v>46198</x:v>
      </x:c>
      <x:c r="J84" s="32" t="n">
        <x:v>46381</x:v>
      </x:c>
      <x:c r="K84" s="32"/>
      <x:c r="L84" s="26" t="str">
        <x:v>Active: On/After 01-Aug-2026</x:v>
      </x:c>
      <x:c r="M84" s="26" t="str">
        <x:v>Pending Mapping</x:v>
      </x:c>
      <x:c r="N84" s="26" t="str">
        <x:v>Original project JSON not available</x:v>
      </x:c>
      <x:c r="O84" s="26"/>
      <x:c r="P84" s="26" t="str"/>
      <x:c r="Q84" s="26" t="str"/>
      <x:c r="R84" s="26"/>
      <x:c r="S84" s="36"/>
      <x:c r="T84" s="26"/>
      <x:c r="U84" s="26"/>
      <x:c r="V84" s="26"/>
      <x:c r="W84" s="26" t="n">
        <x:v>4</x:v>
      </x:c>
      <x:c r="X84" s="26" t="n">
        <x:v>0</x:v>
      </x:c>
      <x:c r="Y84" s="26" t="n">
        <x:f>SUMIF('Activity Detail'!$E$4:$E$706,F84,'Activity Detail'!$L$4:$L$706)</x:f>
        <x:v>39</x:v>
      </x:c>
      <x:c r="Z84" s="26" t="n">
        <x:f>SUMIF('Activity Detail'!$E$4:$E$706,F84,'Activity Detail'!$N$4:$N$706)</x:f>
        <x:v>0</x:v>
      </x:c>
      <x:c r="AA84" s="26" t="n">
        <x:f>MAX(Y84-Z84,0)</x:f>
        <x:v>39</x:v>
      </x:c>
      <x:c r="AB84" s="38" t="n">
        <x:f>IFERROR(Z84/Y84,0)</x:f>
        <x:v>0</x:v>
      </x:c>
      <x:c r="AC84" s="26" t="str">
        <x:v>Committed / Not Delivered</x:v>
      </x:c>
      <x:c r="AD84" s="26" t="str">
        <x:v>Approval not recorded in response</x:v>
      </x:c>
      <x:c r="AE84" s="27" t="b">
        <x:v>1</x:v>
      </x:c>
      <x:c r="AF84" s="34" t="n">
        <x:v>46219.85072916667</x:v>
      </x:c>
      <x:c r="AG84" s="34"/>
      <x:c r="AH84" s="26" t="str">
        <x:v>Contribution API fields only; original project JSON needed for line-item names/centres/category</x:v>
      </x:c>
      <x:c r="AI84" s="26" t="str"/>
      <x:c r="AJ84" s="26" t="str">
        <x:v>Not Started</x:v>
      </x:c>
      <x:c r="AK84" s="26" t="str"/>
      <x:c r="AL84" s="26" t="str"/>
    </x:row>
    <x:row r="85">
      <x:c r="A85" s="26" t="n">
        <x:v>82</x:v>
      </x:c>
      <x:c r="B85" s="26" t="n">
        <x:v>211</x:v>
      </x:c>
      <x:c r="C85" s="26" t="str">
        <x:v>Medak</x:v>
      </x:c>
      <x:c r="D85" s="26" t="str">
        <x:v>Telangana</x:v>
      </x:c>
      <x:c r="E85" s="26" t="n">
        <x:v>114757</x:v>
      </x:c>
      <x:c r="F85" s="26" t="str">
        <x:v>PRJ-2026-0114757</x:v>
      </x:c>
      <x:c r="G85" s="26" t="str">
        <x:v>Upgradation of awc</x:v>
      </x:c>
      <x:c r="H85" s="26" t="str">
        <x:v>Mission Saksham Anganwadi &amp; POSHAN 2.0</x:v>
      </x:c>
      <x:c r="I85" s="32" t="n">
        <x:v>46198</x:v>
      </x:c>
      <x:c r="J85" s="32" t="n">
        <x:v>46380</x:v>
      </x:c>
      <x:c r="K85" s="32"/>
      <x:c r="L85" s="26" t="str">
        <x:v>Active: On/After 01-Aug-2026</x:v>
      </x:c>
      <x:c r="M85" s="26" t="str">
        <x:v>Pending Mapping</x:v>
      </x:c>
      <x:c r="N85" s="26" t="str">
        <x:v>Original project JSON not available</x:v>
      </x:c>
      <x:c r="O85" s="26"/>
      <x:c r="P85" s="26" t="str"/>
      <x:c r="Q85" s="26" t="str"/>
      <x:c r="R85" s="26"/>
      <x:c r="S85" s="36"/>
      <x:c r="T85" s="26"/>
      <x:c r="U85" s="26"/>
      <x:c r="V85" s="26"/>
      <x:c r="W85" s="26" t="n">
        <x:v>1</x:v>
      </x:c>
      <x:c r="X85" s="26" t="n">
        <x:v>0</x:v>
      </x:c>
      <x:c r="Y85" s="26" t="n">
        <x:f>SUMIF('Activity Detail'!$E$4:$E$706,F85,'Activity Detail'!$L$4:$L$706)</x:f>
        <x:v>5</x:v>
      </x:c>
      <x:c r="Z85" s="26" t="n">
        <x:f>SUMIF('Activity Detail'!$E$4:$E$706,F85,'Activity Detail'!$N$4:$N$706)</x:f>
        <x:v>0</x:v>
      </x:c>
      <x:c r="AA85" s="26" t="n">
        <x:f>MAX(Y85-Z85,0)</x:f>
        <x:v>5</x:v>
      </x:c>
      <x:c r="AB85" s="38" t="n">
        <x:f>IFERROR(Z85/Y85,0)</x:f>
        <x:v>0</x:v>
      </x:c>
      <x:c r="AC85" s="26" t="str">
        <x:v>Committed / Not Delivered</x:v>
      </x:c>
      <x:c r="AD85" s="26" t="str">
        <x:v>Approval not recorded in response</x:v>
      </x:c>
      <x:c r="AE85" s="27" t="b">
        <x:v>1</x:v>
      </x:c>
      <x:c r="AF85" s="34" t="n">
        <x:v>46219.85072916667</x:v>
      </x:c>
      <x:c r="AG85" s="34"/>
      <x:c r="AH85" s="26" t="str">
        <x:v>Contribution API fields only; original project JSON needed for line-item names/centres/category</x:v>
      </x:c>
      <x:c r="AI85" s="26" t="str"/>
      <x:c r="AJ85" s="26" t="str">
        <x:v>Not Started</x:v>
      </x:c>
      <x:c r="AK85" s="26" t="str"/>
      <x:c r="AL85" s="26" t="str"/>
    </x:row>
    <x:row r="86">
      <x:c r="A86" s="26" t="n">
        <x:v>83</x:v>
      </x:c>
      <x:c r="B86" s="26" t="n">
        <x:v>208</x:v>
      </x:c>
      <x:c r="C86" s="26" t="str">
        <x:v>Medak</x:v>
      </x:c>
      <x:c r="D86" s="26" t="str">
        <x:v>Telangana</x:v>
      </x:c>
      <x:c r="E86" s="26" t="n">
        <x:v>114799</x:v>
      </x:c>
      <x:c r="F86" s="26" t="str">
        <x:v>PRJ-2026-0114799</x:v>
      </x:c>
      <x:c r="G86" s="26" t="str">
        <x:v>Upgradation of awc</x:v>
      </x:c>
      <x:c r="H86" s="26" t="str">
        <x:v>Mission Saksham Anganwadi &amp; POSHAN 2.0</x:v>
      </x:c>
      <x:c r="I86" s="32" t="n">
        <x:v>46198</x:v>
      </x:c>
      <x:c r="J86" s="32" t="n">
        <x:v>46385</x:v>
      </x:c>
      <x:c r="K86" s="32"/>
      <x:c r="L86" s="26" t="str">
        <x:v>Active: On/After 01-Aug-2026</x:v>
      </x:c>
      <x:c r="M86" s="26" t="str">
        <x:v>Pending Mapping</x:v>
      </x:c>
      <x:c r="N86" s="26" t="str">
        <x:v>Original project JSON not available</x:v>
      </x:c>
      <x:c r="O86" s="26"/>
      <x:c r="P86" s="26" t="str"/>
      <x:c r="Q86" s="26" t="str"/>
      <x:c r="R86" s="26"/>
      <x:c r="S86" s="36"/>
      <x:c r="T86" s="26"/>
      <x:c r="U86" s="26"/>
      <x:c r="V86" s="26"/>
      <x:c r="W86" s="26" t="n">
        <x:v>1</x:v>
      </x:c>
      <x:c r="X86" s="26" t="n">
        <x:v>0</x:v>
      </x:c>
      <x:c r="Y86" s="26" t="n">
        <x:f>SUMIF('Activity Detail'!$E$4:$E$706,F86,'Activity Detail'!$L$4:$L$706)</x:f>
        <x:v>7</x:v>
      </x:c>
      <x:c r="Z86" s="26" t="n">
        <x:f>SUMIF('Activity Detail'!$E$4:$E$706,F86,'Activity Detail'!$N$4:$N$706)</x:f>
        <x:v>0</x:v>
      </x:c>
      <x:c r="AA86" s="26" t="n">
        <x:f>MAX(Y86-Z86,0)</x:f>
        <x:v>7</x:v>
      </x:c>
      <x:c r="AB86" s="38" t="n">
        <x:f>IFERROR(Z86/Y86,0)</x:f>
        <x:v>0</x:v>
      </x:c>
      <x:c r="AC86" s="26" t="str">
        <x:v>Committed / Not Delivered</x:v>
      </x:c>
      <x:c r="AD86" s="26" t="str">
        <x:v>Approval not recorded in response</x:v>
      </x:c>
      <x:c r="AE86" s="27" t="b">
        <x:v>1</x:v>
      </x:c>
      <x:c r="AF86" s="34" t="n">
        <x:v>46219.85071759259</x:v>
      </x:c>
      <x:c r="AG86" s="34"/>
      <x:c r="AH86" s="26" t="str">
        <x:v>Contribution API fields only; original project JSON needed for line-item names/centres/category</x:v>
      </x:c>
      <x:c r="AI86" s="26" t="str"/>
      <x:c r="AJ86" s="26" t="str">
        <x:v>Not Started</x:v>
      </x:c>
      <x:c r="AK86" s="26" t="str"/>
      <x:c r="AL86" s="26" t="str"/>
    </x:row>
    <x:row r="87">
      <x:c r="A87" s="26" t="n">
        <x:v>84</x:v>
      </x:c>
      <x:c r="B87" s="26" t="n">
        <x:v>209</x:v>
      </x:c>
      <x:c r="C87" s="26" t="str">
        <x:v>Medak</x:v>
      </x:c>
      <x:c r="D87" s="26" t="str">
        <x:v>Telangana</x:v>
      </x:c>
      <x:c r="E87" s="26" t="n">
        <x:v>114776</x:v>
      </x:c>
      <x:c r="F87" s="26" t="str">
        <x:v>PRJ-2026-0114776</x:v>
      </x:c>
      <x:c r="G87" s="26" t="str">
        <x:v>Upgradation of awc</x:v>
      </x:c>
      <x:c r="H87" s="26" t="str">
        <x:v>Mission Saksham Anganwadi &amp; POSHAN 2.0</x:v>
      </x:c>
      <x:c r="I87" s="32" t="n">
        <x:v>46198</x:v>
      </x:c>
      <x:c r="J87" s="32" t="n">
        <x:v>46381</x:v>
      </x:c>
      <x:c r="K87" s="32"/>
      <x:c r="L87" s="26" t="str">
        <x:v>Active: On/After 01-Aug-2026</x:v>
      </x:c>
      <x:c r="M87" s="26" t="str">
        <x:v>Pending Mapping</x:v>
      </x:c>
      <x:c r="N87" s="26" t="str">
        <x:v>Original project JSON not available</x:v>
      </x:c>
      <x:c r="O87" s="26"/>
      <x:c r="P87" s="26" t="str"/>
      <x:c r="Q87" s="26" t="str"/>
      <x:c r="R87" s="26"/>
      <x:c r="S87" s="36"/>
      <x:c r="T87" s="26"/>
      <x:c r="U87" s="26"/>
      <x:c r="V87" s="26"/>
      <x:c r="W87" s="26" t="n">
        <x:v>1</x:v>
      </x:c>
      <x:c r="X87" s="26" t="n">
        <x:v>0</x:v>
      </x:c>
      <x:c r="Y87" s="26" t="n">
        <x:f>SUMIF('Activity Detail'!$E$4:$E$706,F87,'Activity Detail'!$L$4:$L$706)</x:f>
        <x:v>5</x:v>
      </x:c>
      <x:c r="Z87" s="26" t="n">
        <x:f>SUMIF('Activity Detail'!$E$4:$E$706,F87,'Activity Detail'!$N$4:$N$706)</x:f>
        <x:v>0</x:v>
      </x:c>
      <x:c r="AA87" s="26" t="n">
        <x:f>MAX(Y87-Z87,0)</x:f>
        <x:v>5</x:v>
      </x:c>
      <x:c r="AB87" s="38" t="n">
        <x:f>IFERROR(Z87/Y87,0)</x:f>
        <x:v>0</x:v>
      </x:c>
      <x:c r="AC87" s="26" t="str">
        <x:v>Committed / Not Delivered</x:v>
      </x:c>
      <x:c r="AD87" s="26" t="str">
        <x:v>Approval not recorded in response</x:v>
      </x:c>
      <x:c r="AE87" s="27" t="b">
        <x:v>1</x:v>
      </x:c>
      <x:c r="AF87" s="34" t="n">
        <x:v>46219.85071759259</x:v>
      </x:c>
      <x:c r="AG87" s="34"/>
      <x:c r="AH87" s="26" t="str">
        <x:v>Contribution API fields only; original project JSON needed for line-item names/centres/category</x:v>
      </x:c>
      <x:c r="AI87" s="26" t="str"/>
      <x:c r="AJ87" s="26" t="str">
        <x:v>Not Started</x:v>
      </x:c>
      <x:c r="AK87" s="26" t="str"/>
      <x:c r="AL87" s="26" t="str"/>
    </x:row>
    <x:row r="88">
      <x:c r="A88" s="26" t="n">
        <x:v>85</x:v>
      </x:c>
      <x:c r="B88" s="26" t="n">
        <x:v>207</x:v>
      </x:c>
      <x:c r="C88" s="26" t="str">
        <x:v>Medak</x:v>
      </x:c>
      <x:c r="D88" s="26" t="str">
        <x:v>Telangana</x:v>
      </x:c>
      <x:c r="E88" s="26" t="n">
        <x:v>114815</x:v>
      </x:c>
      <x:c r="F88" s="26" t="str">
        <x:v>PRJ-2026-0114815</x:v>
      </x:c>
      <x:c r="G88" s="26" t="str">
        <x:v>Upgradation of awc</x:v>
      </x:c>
      <x:c r="H88" s="26" t="str">
        <x:v>Mission Saksham Anganwadi &amp; POSHAN 2.0</x:v>
      </x:c>
      <x:c r="I88" s="32" t="n">
        <x:v>46198</x:v>
      </x:c>
      <x:c r="J88" s="32" t="n">
        <x:v>46381</x:v>
      </x:c>
      <x:c r="K88" s="32"/>
      <x:c r="L88" s="26" t="str">
        <x:v>Active: On/After 01-Aug-2026</x:v>
      </x:c>
      <x:c r="M88" s="26" t="str">
        <x:v>Pending Mapping</x:v>
      </x:c>
      <x:c r="N88" s="26" t="str">
        <x:v>Original project JSON not available</x:v>
      </x:c>
      <x:c r="O88" s="26"/>
      <x:c r="P88" s="26" t="str"/>
      <x:c r="Q88" s="26" t="str"/>
      <x:c r="R88" s="26"/>
      <x:c r="S88" s="36"/>
      <x:c r="T88" s="26"/>
      <x:c r="U88" s="26"/>
      <x:c r="V88" s="26"/>
      <x:c r="W88" s="26" t="n">
        <x:v>1</x:v>
      </x:c>
      <x:c r="X88" s="26" t="n">
        <x:v>0</x:v>
      </x:c>
      <x:c r="Y88" s="26" t="n">
        <x:f>SUMIF('Activity Detail'!$E$4:$E$706,F88,'Activity Detail'!$L$4:$L$706)</x:f>
        <x:v>4</x:v>
      </x:c>
      <x:c r="Z88" s="26" t="n">
        <x:f>SUMIF('Activity Detail'!$E$4:$E$706,F88,'Activity Detail'!$N$4:$N$706)</x:f>
        <x:v>0</x:v>
      </x:c>
      <x:c r="AA88" s="26" t="n">
        <x:f>MAX(Y88-Z88,0)</x:f>
        <x:v>4</x:v>
      </x:c>
      <x:c r="AB88" s="38" t="n">
        <x:f>IFERROR(Z88/Y88,0)</x:f>
        <x:v>0</x:v>
      </x:c>
      <x:c r="AC88" s="26" t="str">
        <x:v>Committed / Not Delivered</x:v>
      </x:c>
      <x:c r="AD88" s="26" t="str">
        <x:v>Approval not recorded in response</x:v>
      </x:c>
      <x:c r="AE88" s="27" t="b">
        <x:v>1</x:v>
      </x:c>
      <x:c r="AF88" s="34" t="n">
        <x:v>46219.85070601852</x:v>
      </x:c>
      <x:c r="AG88" s="34"/>
      <x:c r="AH88" s="26" t="str">
        <x:v>Contribution API fields only; original project JSON needed for line-item names/centres/category</x:v>
      </x:c>
      <x:c r="AI88" s="26" t="str"/>
      <x:c r="AJ88" s="26" t="str">
        <x:v>Not Started</x:v>
      </x:c>
      <x:c r="AK88" s="26" t="str"/>
      <x:c r="AL88" s="26" t="str"/>
    </x:row>
    <x:row r="89">
      <x:c r="A89" s="26" t="n">
        <x:v>86</x:v>
      </x:c>
      <x:c r="B89" s="26" t="n">
        <x:v>205</x:v>
      </x:c>
      <x:c r="C89" s="26" t="str">
        <x:v>Medak</x:v>
      </x:c>
      <x:c r="D89" s="26" t="str">
        <x:v>Telangana</x:v>
      </x:c>
      <x:c r="E89" s="26" t="n">
        <x:v>123931</x:v>
      </x:c>
      <x:c r="F89" s="26" t="str">
        <x:v>PRJ-2026-0123931</x:v>
      </x:c>
      <x:c r="G89" s="26" t="str">
        <x:v>Upgradation of awc</x:v>
      </x:c>
      <x:c r="H89" s="26" t="str">
        <x:v>Mission Saksham Anganwadi &amp; POSHAN 2.0</x:v>
      </x:c>
      <x:c r="I89" s="32" t="n">
        <x:v>46202</x:v>
      </x:c>
      <x:c r="J89" s="32" t="n">
        <x:v>46386</x:v>
      </x:c>
      <x:c r="K89" s="32"/>
      <x:c r="L89" s="26" t="str">
        <x:v>Active: On/After 01-Aug-2026</x:v>
      </x:c>
      <x:c r="M89" s="26" t="str">
        <x:v>Pending Mapping</x:v>
      </x:c>
      <x:c r="N89" s="26" t="str">
        <x:v>Original project JSON not available</x:v>
      </x:c>
      <x:c r="O89" s="26"/>
      <x:c r="P89" s="26" t="str"/>
      <x:c r="Q89" s="26" t="str"/>
      <x:c r="R89" s="26"/>
      <x:c r="S89" s="36"/>
      <x:c r="T89" s="26"/>
      <x:c r="U89" s="26"/>
      <x:c r="V89" s="26"/>
      <x:c r="W89" s="26" t="n">
        <x:v>1</x:v>
      </x:c>
      <x:c r="X89" s="26" t="n">
        <x:v>0</x:v>
      </x:c>
      <x:c r="Y89" s="26" t="n">
        <x:f>SUMIF('Activity Detail'!$E$4:$E$706,F89,'Activity Detail'!$L$4:$L$706)</x:f>
        <x:v>5</x:v>
      </x:c>
      <x:c r="Z89" s="26" t="n">
        <x:f>SUMIF('Activity Detail'!$E$4:$E$706,F89,'Activity Detail'!$N$4:$N$706)</x:f>
        <x:v>0</x:v>
      </x:c>
      <x:c r="AA89" s="26" t="n">
        <x:f>MAX(Y89-Z89,0)</x:f>
        <x:v>5</x:v>
      </x:c>
      <x:c r="AB89" s="38" t="n">
        <x:f>IFERROR(Z89/Y89,0)</x:f>
        <x:v>0</x:v>
      </x:c>
      <x:c r="AC89" s="26" t="str">
        <x:v>Committed / Not Delivered</x:v>
      </x:c>
      <x:c r="AD89" s="26" t="str">
        <x:v>Approval not recorded in response</x:v>
      </x:c>
      <x:c r="AE89" s="27" t="b">
        <x:v>1</x:v>
      </x:c>
      <x:c r="AF89" s="34" t="n">
        <x:v>46219.850694444445</x:v>
      </x:c>
      <x:c r="AG89" s="34"/>
      <x:c r="AH89" s="26" t="str">
        <x:v>Contribution API fields only; original project JSON needed for line-item names/centres/category</x:v>
      </x:c>
      <x:c r="AI89" s="26" t="str"/>
      <x:c r="AJ89" s="26" t="str">
        <x:v>Not Started</x:v>
      </x:c>
      <x:c r="AK89" s="26" t="str"/>
      <x:c r="AL89" s="26" t="str"/>
    </x:row>
    <x:row r="90">
      <x:c r="A90" s="26" t="n">
        <x:v>87</x:v>
      </x:c>
      <x:c r="B90" s="26" t="n">
        <x:v>206</x:v>
      </x:c>
      <x:c r="C90" s="26" t="str">
        <x:v>Medak</x:v>
      </x:c>
      <x:c r="D90" s="26" t="str">
        <x:v>Telangana</x:v>
      </x:c>
      <x:c r="E90" s="26" t="n">
        <x:v>114833</x:v>
      </x:c>
      <x:c r="F90" s="26" t="str">
        <x:v>PRJ-2026-0114833</x:v>
      </x:c>
      <x:c r="G90" s="26" t="str">
        <x:v>Upgradation of awc</x:v>
      </x:c>
      <x:c r="H90" s="26" t="str">
        <x:v>Mission Saksham Anganwadi &amp; POSHAN 2.0</x:v>
      </x:c>
      <x:c r="I90" s="32" t="n">
        <x:v>46198</x:v>
      </x:c>
      <x:c r="J90" s="32" t="n">
        <x:v>46380</x:v>
      </x:c>
      <x:c r="K90" s="32"/>
      <x:c r="L90" s="26" t="str">
        <x:v>Active: On/After 01-Aug-2026</x:v>
      </x:c>
      <x:c r="M90" s="26" t="str">
        <x:v>Pending Mapping</x:v>
      </x:c>
      <x:c r="N90" s="26" t="str">
        <x:v>Original project JSON not available</x:v>
      </x:c>
      <x:c r="O90" s="26"/>
      <x:c r="P90" s="26" t="str"/>
      <x:c r="Q90" s="26" t="str"/>
      <x:c r="R90" s="26"/>
      <x:c r="S90" s="36"/>
      <x:c r="T90" s="26"/>
      <x:c r="U90" s="26"/>
      <x:c r="V90" s="26"/>
      <x:c r="W90" s="26" t="n">
        <x:v>1</x:v>
      </x:c>
      <x:c r="X90" s="26" t="n">
        <x:v>0</x:v>
      </x:c>
      <x:c r="Y90" s="26" t="n">
        <x:f>SUMIF('Activity Detail'!$E$4:$E$706,F90,'Activity Detail'!$L$4:$L$706)</x:f>
        <x:v>5</x:v>
      </x:c>
      <x:c r="Z90" s="26" t="n">
        <x:f>SUMIF('Activity Detail'!$E$4:$E$706,F90,'Activity Detail'!$N$4:$N$706)</x:f>
        <x:v>0</x:v>
      </x:c>
      <x:c r="AA90" s="26" t="n">
        <x:f>MAX(Y90-Z90,0)</x:f>
        <x:v>5</x:v>
      </x:c>
      <x:c r="AB90" s="38" t="n">
        <x:f>IFERROR(Z90/Y90,0)</x:f>
        <x:v>0</x:v>
      </x:c>
      <x:c r="AC90" s="26" t="str">
        <x:v>Committed / Not Delivered</x:v>
      </x:c>
      <x:c r="AD90" s="26" t="str">
        <x:v>Approval not recorded in response</x:v>
      </x:c>
      <x:c r="AE90" s="27" t="b">
        <x:v>1</x:v>
      </x:c>
      <x:c r="AF90" s="34" t="n">
        <x:v>46219.850694444445</x:v>
      </x:c>
      <x:c r="AG90" s="34"/>
      <x:c r="AH90" s="26" t="str">
        <x:v>Contribution API fields only; original project JSON needed for line-item names/centres/category</x:v>
      </x:c>
      <x:c r="AI90" s="26" t="str"/>
      <x:c r="AJ90" s="26" t="str">
        <x:v>Not Started</x:v>
      </x:c>
      <x:c r="AK90" s="26" t="str"/>
      <x:c r="AL90" s="26" t="str"/>
    </x:row>
    <x:row r="91">
      <x:c r="A91" s="26" t="n">
        <x:v>88</x:v>
      </x:c>
      <x:c r="B91" s="26" t="n">
        <x:v>204</x:v>
      </x:c>
      <x:c r="C91" s="26" t="str">
        <x:v>Medak</x:v>
      </x:c>
      <x:c r="D91" s="26" t="str">
        <x:v>Telangana</x:v>
      </x:c>
      <x:c r="E91" s="26" t="n">
        <x:v>123955</x:v>
      </x:c>
      <x:c r="F91" s="26" t="str">
        <x:v>PRJ-2026-0123955</x:v>
      </x:c>
      <x:c r="G91" s="26" t="str">
        <x:v>Upgradation of awc</x:v>
      </x:c>
      <x:c r="H91" s="26" t="str">
        <x:v>Mission Saksham Anganwadi &amp; POSHAN 2.0</x:v>
      </x:c>
      <x:c r="I91" s="32" t="n">
        <x:v>46202</x:v>
      </x:c>
      <x:c r="J91" s="32" t="n">
        <x:v>46385</x:v>
      </x:c>
      <x:c r="K91" s="32"/>
      <x:c r="L91" s="26" t="str">
        <x:v>Active: On/After 01-Aug-2026</x:v>
      </x:c>
      <x:c r="M91" s="26" t="str">
        <x:v>Pending Mapping</x:v>
      </x:c>
      <x:c r="N91" s="26" t="str">
        <x:v>Original project JSON not available</x:v>
      </x:c>
      <x:c r="O91" s="26"/>
      <x:c r="P91" s="26" t="str"/>
      <x:c r="Q91" s="26" t="str"/>
      <x:c r="R91" s="26"/>
      <x:c r="S91" s="36"/>
      <x:c r="T91" s="26"/>
      <x:c r="U91" s="26"/>
      <x:c r="V91" s="26"/>
      <x:c r="W91" s="26" t="n">
        <x:v>1</x:v>
      </x:c>
      <x:c r="X91" s="26" t="n">
        <x:v>0</x:v>
      </x:c>
      <x:c r="Y91" s="26" t="n">
        <x:f>SUMIF('Activity Detail'!$E$4:$E$706,F91,'Activity Detail'!$L$4:$L$706)</x:f>
        <x:v>6</x:v>
      </x:c>
      <x:c r="Z91" s="26" t="n">
        <x:f>SUMIF('Activity Detail'!$E$4:$E$706,F91,'Activity Detail'!$N$4:$N$706)</x:f>
        <x:v>0</x:v>
      </x:c>
      <x:c r="AA91" s="26" t="n">
        <x:f>MAX(Y91-Z91,0)</x:f>
        <x:v>6</x:v>
      </x:c>
      <x:c r="AB91" s="38" t="n">
        <x:f>IFERROR(Z91/Y91,0)</x:f>
        <x:v>0</x:v>
      </x:c>
      <x:c r="AC91" s="26" t="str">
        <x:v>Committed / Not Delivered</x:v>
      </x:c>
      <x:c r="AD91" s="26" t="str">
        <x:v>Approval not recorded in response</x:v>
      </x:c>
      <x:c r="AE91" s="27" t="b">
        <x:v>1</x:v>
      </x:c>
      <x:c r="AF91" s="34" t="n">
        <x:v>46219.85068287037</x:v>
      </x:c>
      <x:c r="AG91" s="34"/>
      <x:c r="AH91" s="26" t="str">
        <x:v>Contribution API fields only; original project JSON needed for line-item names/centres/category</x:v>
      </x:c>
      <x:c r="AI91" s="26" t="str"/>
      <x:c r="AJ91" s="26" t="str">
        <x:v>Not Started</x:v>
      </x:c>
      <x:c r="AK91" s="26" t="str"/>
      <x:c r="AL91" s="26" t="str"/>
    </x:row>
    <x:row r="92">
      <x:c r="A92" s="26" t="n">
        <x:v>89</x:v>
      </x:c>
      <x:c r="B92" s="26" t="n">
        <x:v>202</x:v>
      </x:c>
      <x:c r="C92" s="26" t="str">
        <x:v>Mulugu</x:v>
      </x:c>
      <x:c r="D92" s="26" t="str">
        <x:v>Telangana</x:v>
      </x:c>
      <x:c r="E92" s="26" t="n">
        <x:v>11186</x:v>
      </x:c>
      <x:c r="F92" s="26" t="str">
        <x:v>PRJ-2026-0011186</x:v>
      </x:c>
      <x:c r="G92" s="26" t="str">
        <x:v>AWC Venkatapur II</x:v>
      </x:c>
      <x:c r="H92" s="26" t="str">
        <x:v>Mission Saksham Anganwadi &amp; POSHAN 2.0</x:v>
      </x:c>
      <x:c r="I92" s="32" t="n">
        <x:v>46164</x:v>
      </x:c>
      <x:c r="J92" s="32" t="n">
        <x:v>46348</x:v>
      </x:c>
      <x:c r="K92" s="32"/>
      <x:c r="L92" s="26" t="str">
        <x:v>Active: On/After 01-Aug-2026</x:v>
      </x:c>
      <x:c r="M92" s="26" t="str">
        <x:v>Medium</x:v>
      </x:c>
      <x:c r="N92" s="26" t="str">
        <x:v>ECCE Equipment=Minor; Educational Needs=Minor; Electrical Infrastructure=Medium; Health and Safety aids=Minor; Office Needs=Minor</x:v>
      </x:c>
      <x:c r="O92" s="26" t="n">
        <x:v>1</x:v>
      </x:c>
      <x:c r="P92" s="26" t="str">
        <x:v>Venkatapur - II (36701020605)</x:v>
      </x:c>
      <x:c r="Q92" s="26" t="str">
        <x:v>36701020605</x:v>
      </x:c>
      <x:c r="R92" s="26" t="n">
        <x:v>102</x:v>
      </x:c>
      <x:c r="S92" s="36" t="n">
        <x:v>50000</x:v>
      </x:c>
      <x:c r="T92" s="26" t="str">
        <x:v>Water Filter	
Gas Stove&amp; Regulator
Pressure Cooker	
Slides	
Kids Chairs	
Fans &amp; Lights	
Storage Bins	
Egg &amp; Milk Storge Racks	
Digital GMD
</x:v>
      </x:c>
      <x:c r="U92" s="26" t="str">
        <x:v>Water Filter	
Gas Stove&amp; Regulator
Pressure Cooker	
Slides	
Kids Chairs	
Fans &amp; Lights	
Storage Bins	
Egg &amp; Milk Storge Racks	
Digital GMD
</x:v>
      </x:c>
      <x:c r="V92" s="27" t="b">
        <x:v>1</x:v>
      </x:c>
      <x:c r="W92" s="26" t="n">
        <x:v>7</x:v>
      </x:c>
      <x:c r="X92" s="26" t="n">
        <x:v>0</x:v>
      </x:c>
      <x:c r="Y92" s="26" t="n">
        <x:f>SUMIF('Activity Detail'!$E$4:$E$706,F92,'Activity Detail'!$L$4:$L$706)</x:f>
        <x:v>39</x:v>
      </x:c>
      <x:c r="Z92" s="26" t="n">
        <x:f>SUMIF('Activity Detail'!$E$4:$E$706,F92,'Activity Detail'!$N$4:$N$706)</x:f>
        <x:v>0</x:v>
      </x:c>
      <x:c r="AA92" s="26" t="n">
        <x:f>MAX(Y92-Z92,0)</x:f>
        <x:v>39</x:v>
      </x:c>
      <x:c r="AB92" s="38" t="n">
        <x:f>IFERROR(Z92/Y92,0)</x:f>
        <x:v>0</x:v>
      </x:c>
      <x:c r="AC92" s="26" t="str">
        <x:v>Committed / Not Delivered</x:v>
      </x:c>
      <x:c r="AD92" s="26" t="str">
        <x:v>Approval not recorded in response</x:v>
      </x:c>
      <x:c r="AE92" s="27" t="b">
        <x:v>1</x:v>
      </x:c>
      <x:c r="AF92" s="34" t="n">
        <x:v>46219.729675925926</x:v>
      </x:c>
      <x:c r="AG92" s="34"/>
      <x:c r="AH92" s="26" t="str">
        <x:v>Fully enriched from attached Mulugu project JSON</x:v>
      </x:c>
      <x:c r="AI92" s="26" t="str"/>
      <x:c r="AJ92" s="26" t="str">
        <x:v>Not Started</x:v>
      </x:c>
      <x:c r="AK92" s="26" t="str"/>
      <x:c r="AL92" s="26" t="str"/>
    </x:row>
    <x:row r="93">
      <x:c r="A93" s="26" t="n">
        <x:v>90</x:v>
      </x:c>
      <x:c r="B93" s="26" t="n">
        <x:v>203</x:v>
      </x:c>
      <x:c r="C93" s="26" t="str">
        <x:v>Mulugu</x:v>
      </x:c>
      <x:c r="D93" s="26" t="str">
        <x:v>Telangana</x:v>
      </x:c>
      <x:c r="E93" s="26" t="n">
        <x:v>11139</x:v>
      </x:c>
      <x:c r="F93" s="26" t="str">
        <x:v>PRJ-2026-0011139</x:v>
      </x:c>
      <x:c r="G93" s="26" t="str">
        <x:v>AWC Venkatapur II BC Colony</x:v>
      </x:c>
      <x:c r="H93" s="26" t="str">
        <x:v>Mission Saksham Anganwadi &amp; POSHAN 2.0</x:v>
      </x:c>
      <x:c r="I93" s="32" t="n">
        <x:v>46164</x:v>
      </x:c>
      <x:c r="J93" s="32" t="n">
        <x:v>46348</x:v>
      </x:c>
      <x:c r="K93" s="32"/>
      <x:c r="L93" s="26" t="str">
        <x:v>Active: On/After 01-Aug-2026</x:v>
      </x:c>
      <x:c r="M93" s="26" t="str">
        <x:v>Medium</x:v>
      </x:c>
      <x:c r="N93" s="26" t="str">
        <x:v>ECCE Equipment=Minor; Educational Needs=Minor; Electrical Infrastructure=Medium; Health and Safety aids=Minor; Office Needs=Minor</x:v>
      </x:c>
      <x:c r="O93" s="26" t="n">
        <x:v>1</x:v>
      </x:c>
      <x:c r="P93" s="26" t="str">
        <x:v>Venkatapur II (Bc col (36701020602)</x:v>
      </x:c>
      <x:c r="Q93" s="26" t="str">
        <x:v>36701020602</x:v>
      </x:c>
      <x:c r="R93" s="26" t="n">
        <x:v>48</x:v>
      </x:c>
      <x:c r="S93" s="36" t="n">
        <x:v>50000</x:v>
      </x:c>
      <x:c r="T93" s="26" t="str">
        <x:v>Water Filter	
Gas Stove&amp; Regulator
Pressure Cooker	
Slides	
Kids Chairs	
Fans &amp; Lights	
Storage Bins	
Egg &amp; Milk Storge Racks	
Digital GMD
</x:v>
      </x:c>
      <x:c r="U93" s="26" t="str">
        <x:v>Water Filter	
Gas Stove&amp; Regulator
Pressure Cooker	
Slides	
Kids Chairs	
Fans &amp; Lights	
Storage Bins	
Egg &amp; Milk Storge Racks	
Digital GMD
</x:v>
      </x:c>
      <x:c r="V93" s="27" t="b">
        <x:v>1</x:v>
      </x:c>
      <x:c r="W93" s="26" t="n">
        <x:v>8</x:v>
      </x:c>
      <x:c r="X93" s="26" t="n">
        <x:v>0</x:v>
      </x:c>
      <x:c r="Y93" s="26" t="n">
        <x:f>SUMIF('Activity Detail'!$E$4:$E$706,F93,'Activity Detail'!$L$4:$L$706)</x:f>
        <x:v>39</x:v>
      </x:c>
      <x:c r="Z93" s="26" t="n">
        <x:f>SUMIF('Activity Detail'!$E$4:$E$706,F93,'Activity Detail'!$N$4:$N$706)</x:f>
        <x:v>0</x:v>
      </x:c>
      <x:c r="AA93" s="26" t="n">
        <x:f>MAX(Y93-Z93,0)</x:f>
        <x:v>39</x:v>
      </x:c>
      <x:c r="AB93" s="38" t="n">
        <x:f>IFERROR(Z93/Y93,0)</x:f>
        <x:v>0</x:v>
      </x:c>
      <x:c r="AC93" s="26" t="str">
        <x:v>Committed / Not Delivered</x:v>
      </x:c>
      <x:c r="AD93" s="26" t="str">
        <x:v>Approval not recorded in response</x:v>
      </x:c>
      <x:c r="AE93" s="27" t="b">
        <x:v>1</x:v>
      </x:c>
      <x:c r="AF93" s="34" t="n">
        <x:v>46219.729675925926</x:v>
      </x:c>
      <x:c r="AG93" s="34"/>
      <x:c r="AH93" s="26" t="str">
        <x:v>Fully enriched from attached Mulugu project JSON</x:v>
      </x:c>
      <x:c r="AI93" s="26" t="str"/>
      <x:c r="AJ93" s="26" t="str">
        <x:v>Not Started</x:v>
      </x:c>
      <x:c r="AK93" s="26" t="str"/>
      <x:c r="AL93" s="26" t="str"/>
    </x:row>
    <x:row r="94">
      <x:c r="A94" s="26" t="n">
        <x:v>91</x:v>
      </x:c>
      <x:c r="B94" s="26" t="n">
        <x:v>199</x:v>
      </x:c>
      <x:c r="C94" s="26" t="str">
        <x:v>Mulugu</x:v>
      </x:c>
      <x:c r="D94" s="26" t="str">
        <x:v>Telangana</x:v>
      </x:c>
      <x:c r="E94" s="26" t="n">
        <x:v>13081</x:v>
      </x:c>
      <x:c r="F94" s="26" t="str">
        <x:v>PRJ-2026-0013081</x:v>
      </x:c>
      <x:c r="G94" s="26" t="str">
        <x:v>AWC Venkatapur III</x:v>
      </x:c>
      <x:c r="H94" s="26" t="str">
        <x:v>Mission Saksham Anganwadi &amp; POSHAN 2.0</x:v>
      </x:c>
      <x:c r="I94" s="32" t="n">
        <x:v>46165</x:v>
      </x:c>
      <x:c r="J94" s="32" t="n">
        <x:v>46349</x:v>
      </x:c>
      <x:c r="K94" s="32"/>
      <x:c r="L94" s="26" t="str">
        <x:v>Active: On/After 01-Aug-2026</x:v>
      </x:c>
      <x:c r="M94" s="26" t="str">
        <x:v>Medium</x:v>
      </x:c>
      <x:c r="N94" s="26" t="str">
        <x:v>ECCE Equipment=Minor; Educational Needs=Minor; Electrical Infrastructure=Medium; Health and Safety aids=Minor; Office Needs=Minor</x:v>
      </x:c>
      <x:c r="O94" s="26" t="n">
        <x:v>1</x:v>
      </x:c>
      <x:c r="P94" s="26" t="str">
        <x:v>Venkatapur - III (36701020604)</x:v>
      </x:c>
      <x:c r="Q94" s="26" t="str">
        <x:v>36701020604</x:v>
      </x:c>
      <x:c r="R94" s="26" t="n">
        <x:v>60</x:v>
      </x:c>
      <x:c r="S94" s="36" t="n">
        <x:v>50000</x:v>
      </x:c>
      <x:c r="T94" s="26" t="str">
        <x:v>Water Filter Gas Stove&amp; Regulator Pressure Cooker Slides Kids Chairs Fans &amp; Lights Storage Bins Egg &amp; Milk Storge Racks Digital GMD</x:v>
      </x:c>
      <x:c r="U94" s="26" t="str">
        <x:v>Water Filter Gas Stove&amp; Regulator Pressure Cooker Slides Kids Chairs Fans &amp; Lights Storage Bins Egg &amp; Milk Storge Racks Digital GMD</x:v>
      </x:c>
      <x:c r="V94" s="27" t="b">
        <x:v>1</x:v>
      </x:c>
      <x:c r="W94" s="26" t="n">
        <x:v>7</x:v>
      </x:c>
      <x:c r="X94" s="26" t="n">
        <x:v>0</x:v>
      </x:c>
      <x:c r="Y94" s="26" t="n">
        <x:f>SUMIF('Activity Detail'!$E$4:$E$706,F94,'Activity Detail'!$L$4:$L$706)</x:f>
        <x:v>32</x:v>
      </x:c>
      <x:c r="Z94" s="26" t="n">
        <x:f>SUMIF('Activity Detail'!$E$4:$E$706,F94,'Activity Detail'!$N$4:$N$706)</x:f>
        <x:v>0</x:v>
      </x:c>
      <x:c r="AA94" s="26" t="n">
        <x:f>MAX(Y94-Z94,0)</x:f>
        <x:v>32</x:v>
      </x:c>
      <x:c r="AB94" s="38" t="n">
        <x:f>IFERROR(Z94/Y94,0)</x:f>
        <x:v>0</x:v>
      </x:c>
      <x:c r="AC94" s="26" t="str">
        <x:v>Committed / Not Delivered</x:v>
      </x:c>
      <x:c r="AD94" s="26" t="str">
        <x:v>Approval not recorded in response</x:v>
      </x:c>
      <x:c r="AE94" s="27" t="b">
        <x:v>1</x:v>
      </x:c>
      <x:c r="AF94" s="34" t="n">
        <x:v>46219.72966435185</x:v>
      </x:c>
      <x:c r="AG94" s="34"/>
      <x:c r="AH94" s="26" t="str">
        <x:v>Fully enriched from attached Mulugu project JSON</x:v>
      </x:c>
      <x:c r="AI94" s="26" t="str"/>
      <x:c r="AJ94" s="26" t="str">
        <x:v>Not Started</x:v>
      </x:c>
      <x:c r="AK94" s="26" t="str"/>
      <x:c r="AL94" s="26" t="str"/>
    </x:row>
    <x:row r="95">
      <x:c r="A95" s="26" t="n">
        <x:v>92</x:v>
      </x:c>
      <x:c r="B95" s="26" t="n">
        <x:v>200</x:v>
      </x:c>
      <x:c r="C95" s="26" t="str">
        <x:v>Mulugu</x:v>
      </x:c>
      <x:c r="D95" s="26" t="str">
        <x:v>Telangana</x:v>
      </x:c>
      <x:c r="E95" s="26" t="n">
        <x:v>11460</x:v>
      </x:c>
      <x:c r="F95" s="26" t="str">
        <x:v>PRJ-2026-0011460</x:v>
      </x:c>
      <x:c r="G95" s="26" t="str">
        <x:v>AWC Venkatapur I</x:v>
      </x:c>
      <x:c r="H95" s="26" t="str">
        <x:v>Mission Saksham Anganwadi &amp; POSHAN 2.0</x:v>
      </x:c>
      <x:c r="I95" s="32" t="n">
        <x:v>46164</x:v>
      </x:c>
      <x:c r="J95" s="32" t="n">
        <x:v>46348</x:v>
      </x:c>
      <x:c r="K95" s="32"/>
      <x:c r="L95" s="26" t="str">
        <x:v>Active: On/After 01-Aug-2026</x:v>
      </x:c>
      <x:c r="M95" s="26" t="str">
        <x:v>Medium</x:v>
      </x:c>
      <x:c r="N95" s="26" t="str">
        <x:v>ECCE Equipment=Minor; Educational Needs=Minor; Electrical Infrastructure=Medium; Health and Safety aids=Minor; Office Needs=Minor</x:v>
      </x:c>
      <x:c r="O95" s="26" t="n">
        <x:v>1</x:v>
      </x:c>
      <x:c r="P95" s="26" t="str">
        <x:v>Venkatapur - I (36701020606)</x:v>
      </x:c>
      <x:c r="Q95" s="26" t="str">
        <x:v>36701020606</x:v>
      </x:c>
      <x:c r="R95" s="26" t="n">
        <x:v>110</x:v>
      </x:c>
      <x:c r="S95" s="36" t="n">
        <x:v>50000</x:v>
      </x:c>
      <x:c r="T95" s="26" t="str">
        <x:v>Water Filter	
Gas Stove&amp; Regulator
Pressure Cooker	
Slides	
Kids Chairs	
Fans &amp; Lights	
Storage Bins	
Egg &amp; Milk Storge Racks	
Digital GMD
</x:v>
      </x:c>
      <x:c r="U95" s="26" t="str">
        <x:v>Water Filter	
Gas Stove&amp; Regulator
Pressure Cooker	
Slides	
Kids Chairs	
Fans &amp; Lights	
Storage Bins	
Egg &amp; Milk Storge Racks	
Digital GMD
</x:v>
      </x:c>
      <x:c r="V95" s="27" t="b">
        <x:v>1</x:v>
      </x:c>
      <x:c r="W95" s="26" t="n">
        <x:v>7</x:v>
      </x:c>
      <x:c r="X95" s="26" t="n">
        <x:v>0</x:v>
      </x:c>
      <x:c r="Y95" s="26" t="n">
        <x:f>SUMIF('Activity Detail'!$E$4:$E$706,F95,'Activity Detail'!$L$4:$L$706)</x:f>
        <x:v>37</x:v>
      </x:c>
      <x:c r="Z95" s="26" t="n">
        <x:f>SUMIF('Activity Detail'!$E$4:$E$706,F95,'Activity Detail'!$N$4:$N$706)</x:f>
        <x:v>0</x:v>
      </x:c>
      <x:c r="AA95" s="26" t="n">
        <x:f>MAX(Y95-Z95,0)</x:f>
        <x:v>37</x:v>
      </x:c>
      <x:c r="AB95" s="38" t="n">
        <x:f>IFERROR(Z95/Y95,0)</x:f>
        <x:v>0</x:v>
      </x:c>
      <x:c r="AC95" s="26" t="str">
        <x:v>Committed / Not Delivered</x:v>
      </x:c>
      <x:c r="AD95" s="26" t="str">
        <x:v>Approval not recorded in response</x:v>
      </x:c>
      <x:c r="AE95" s="27" t="b">
        <x:v>1</x:v>
      </x:c>
      <x:c r="AF95" s="34" t="n">
        <x:v>46219.72966435185</x:v>
      </x:c>
      <x:c r="AG95" s="34"/>
      <x:c r="AH95" s="26" t="str">
        <x:v>Fully enriched from attached Mulugu project JSON</x:v>
      </x:c>
      <x:c r="AI95" s="26" t="str"/>
      <x:c r="AJ95" s="26" t="str">
        <x:v>Not Started</x:v>
      </x:c>
      <x:c r="AK95" s="26" t="str"/>
      <x:c r="AL95" s="26" t="str"/>
    </x:row>
    <x:row r="96">
      <x:c r="A96" s="26" t="n">
        <x:v>93</x:v>
      </x:c>
      <x:c r="B96" s="26" t="n">
        <x:v>201</x:v>
      </x:c>
      <x:c r="C96" s="26" t="str">
        <x:v>Mulugu</x:v>
      </x:c>
      <x:c r="D96" s="26" t="str">
        <x:v>Telangana</x:v>
      </x:c>
      <x:c r="E96" s="26" t="n">
        <x:v>11386</x:v>
      </x:c>
      <x:c r="F96" s="26" t="str">
        <x:v>PRJ-2026-0011386</x:v>
      </x:c>
      <x:c r="G96" s="26" t="str">
        <x:v>AWC Venkatapur IV</x:v>
      </x:c>
      <x:c r="H96" s="26" t="str">
        <x:v>Mission Saksham Anganwadi &amp; POSHAN 2.0</x:v>
      </x:c>
      <x:c r="I96" s="32" t="n">
        <x:v>46164</x:v>
      </x:c>
      <x:c r="J96" s="32" t="n">
        <x:v>46348</x:v>
      </x:c>
      <x:c r="K96" s="32"/>
      <x:c r="L96" s="26" t="str">
        <x:v>Active: On/After 01-Aug-2026</x:v>
      </x:c>
      <x:c r="M96" s="26" t="str">
        <x:v>Medium</x:v>
      </x:c>
      <x:c r="N96" s="26" t="str">
        <x:v>ECCE Equipment=Minor; Educational Needs=Minor; Electrical Infrastructure=Medium; Health and Safety aids=Minor; Office Needs=Minor</x:v>
      </x:c>
      <x:c r="O96" s="26" t="n">
        <x:v>1</x:v>
      </x:c>
      <x:c r="P96" s="26" t="str">
        <x:v>Venkatapur - IV (36701020603)</x:v>
      </x:c>
      <x:c r="Q96" s="26" t="str">
        <x:v>36701020603</x:v>
      </x:c>
      <x:c r="R96" s="26" t="n">
        <x:v>107</x:v>
      </x:c>
      <x:c r="S96" s="36" t="n">
        <x:v>50000</x:v>
      </x:c>
      <x:c r="T96" s="26" t="str">
        <x:v>Water Filter	
Gas Stove&amp; Regulator
Pressure Cooker	
Slides	
Kids Chairs	
Fans &amp; Lights	
Storage Bins	
Egg &amp; Milk Storge Racks	
Digital GMD
</x:v>
      </x:c>
      <x:c r="U96" s="26" t="str">
        <x:v>Water Filter	
Gas Stove&amp; Regulator
Pressure Cooker	
Slides	
Kids Chairs	
Fans &amp; Lights	
Storage Bins	
Egg &amp; Milk Storge Racks	
Digital GMD
</x:v>
      </x:c>
      <x:c r="V96" s="27" t="b">
        <x:v>1</x:v>
      </x:c>
      <x:c r="W96" s="26" t="n">
        <x:v>8</x:v>
      </x:c>
      <x:c r="X96" s="26" t="n">
        <x:v>0</x:v>
      </x:c>
      <x:c r="Y96" s="26" t="n">
        <x:f>SUMIF('Activity Detail'!$E$4:$E$706,F96,'Activity Detail'!$L$4:$L$706)</x:f>
        <x:v>32</x:v>
      </x:c>
      <x:c r="Z96" s="26" t="n">
        <x:f>SUMIF('Activity Detail'!$E$4:$E$706,F96,'Activity Detail'!$N$4:$N$706)</x:f>
        <x:v>0</x:v>
      </x:c>
      <x:c r="AA96" s="26" t="n">
        <x:f>MAX(Y96-Z96,0)</x:f>
        <x:v>32</x:v>
      </x:c>
      <x:c r="AB96" s="38" t="n">
        <x:f>IFERROR(Z96/Y96,0)</x:f>
        <x:v>0</x:v>
      </x:c>
      <x:c r="AC96" s="26" t="str">
        <x:v>Committed / Not Delivered</x:v>
      </x:c>
      <x:c r="AD96" s="26" t="str">
        <x:v>Approval not recorded in response</x:v>
      </x:c>
      <x:c r="AE96" s="27" t="b">
        <x:v>1</x:v>
      </x:c>
      <x:c r="AF96" s="34" t="n">
        <x:v>46219.72966435185</x:v>
      </x:c>
      <x:c r="AG96" s="34"/>
      <x:c r="AH96" s="26" t="str">
        <x:v>Fully enriched from attached Mulugu project JSON</x:v>
      </x:c>
      <x:c r="AI96" s="26" t="str"/>
      <x:c r="AJ96" s="26" t="str">
        <x:v>Not Started</x:v>
      </x:c>
      <x:c r="AK96" s="26" t="str"/>
      <x:c r="AL96" s="26" t="str"/>
    </x:row>
    <x:row r="97">
      <x:c r="A97" s="26" t="n">
        <x:v>94</x:v>
      </x:c>
      <x:c r="B97" s="26" t="n">
        <x:v>196</x:v>
      </x:c>
      <x:c r="C97" s="26" t="str">
        <x:v>Mulugu</x:v>
      </x:c>
      <x:c r="D97" s="26" t="str">
        <x:v>Telangana</x:v>
      </x:c>
      <x:c r="E97" s="26" t="n">
        <x:v>13112</x:v>
      </x:c>
      <x:c r="F97" s="26" t="str">
        <x:v>PRJ-2026-0013112</x:v>
      </x:c>
      <x:c r="G97" s="26" t="str">
        <x:v>AWC Laxmidevipeta</x:v>
      </x:c>
      <x:c r="H97" s="26" t="str">
        <x:v>Mission Saksham Anganwadi &amp; POSHAN 2.0</x:v>
      </x:c>
      <x:c r="I97" s="32" t="n">
        <x:v>46165</x:v>
      </x:c>
      <x:c r="J97" s="32" t="n">
        <x:v>46349</x:v>
      </x:c>
      <x:c r="K97" s="32"/>
      <x:c r="L97" s="26" t="str">
        <x:v>Active: On/After 01-Aug-2026</x:v>
      </x:c>
      <x:c r="M97" s="26" t="str">
        <x:v>Medium</x:v>
      </x:c>
      <x:c r="N97" s="26" t="str">
        <x:v>ECCE Equipment=Minor; Educational Needs=Minor; Electrical Infrastructure=Medium; Health and Safety aids=Minor; Office Needs=Minor</x:v>
      </x:c>
      <x:c r="O97" s="26" t="n">
        <x:v>1</x:v>
      </x:c>
      <x:c r="P97" s="26" t="str">
        <x:v>Laxmidevpet (36701020619)</x:v>
      </x:c>
      <x:c r="Q97" s="26" t="str">
        <x:v>36701020619</x:v>
      </x:c>
      <x:c r="R97" s="26" t="n">
        <x:v>75</x:v>
      </x:c>
      <x:c r="S97" s="36" t="n">
        <x:v>50000</x:v>
      </x:c>
      <x:c r="T97" s="26" t="str">
        <x:v>Water Filter Gas Stove&amp; Regulator Pressure Cooker Slides Kids Chairs Fans &amp; Lights Storage Bins Egg &amp; Milk Storge Racks Digital GMD</x:v>
      </x:c>
      <x:c r="U97" s="26" t="str">
        <x:v>Water Filter Gas Stove&amp; Regulator Pressure Cooker Slides Kids Chairs Fans &amp; Lights Storage Bins Egg &amp; Milk Storge Racks Digital GMD</x:v>
      </x:c>
      <x:c r="V97" s="27" t="b">
        <x:v>1</x:v>
      </x:c>
      <x:c r="W97" s="26" t="n">
        <x:v>7</x:v>
      </x:c>
      <x:c r="X97" s="26" t="n">
        <x:v>0</x:v>
      </x:c>
      <x:c r="Y97" s="26" t="n">
        <x:f>SUMIF('Activity Detail'!$E$4:$E$706,F97,'Activity Detail'!$L$4:$L$706)</x:f>
        <x:v>37</x:v>
      </x:c>
      <x:c r="Z97" s="26" t="n">
        <x:f>SUMIF('Activity Detail'!$E$4:$E$706,F97,'Activity Detail'!$N$4:$N$706)</x:f>
        <x:v>0</x:v>
      </x:c>
      <x:c r="AA97" s="26" t="n">
        <x:f>MAX(Y97-Z97,0)</x:f>
        <x:v>37</x:v>
      </x:c>
      <x:c r="AB97" s="38" t="n">
        <x:f>IFERROR(Z97/Y97,0)</x:f>
        <x:v>0</x:v>
      </x:c>
      <x:c r="AC97" s="26" t="str">
        <x:v>Committed / Not Delivered</x:v>
      </x:c>
      <x:c r="AD97" s="26" t="str">
        <x:v>Approval not recorded in response</x:v>
      </x:c>
      <x:c r="AE97" s="27" t="b">
        <x:v>1</x:v>
      </x:c>
      <x:c r="AF97" s="34" t="n">
        <x:v>46219.72965277778</x:v>
      </x:c>
      <x:c r="AG97" s="34"/>
      <x:c r="AH97" s="26" t="str">
        <x:v>Fully enriched from attached Mulugu project JSON</x:v>
      </x:c>
      <x:c r="AI97" s="26" t="str"/>
      <x:c r="AJ97" s="26" t="str">
        <x:v>Not Started</x:v>
      </x:c>
      <x:c r="AK97" s="26" t="str"/>
      <x:c r="AL97" s="26" t="str"/>
    </x:row>
    <x:row r="98">
      <x:c r="A98" s="26" t="n">
        <x:v>95</x:v>
      </x:c>
      <x:c r="B98" s="26" t="n">
        <x:v>197</x:v>
      </x:c>
      <x:c r="C98" s="26" t="str">
        <x:v>Mulugu</x:v>
      </x:c>
      <x:c r="D98" s="26" t="str">
        <x:v>Telangana</x:v>
      </x:c>
      <x:c r="E98" s="26" t="n">
        <x:v>13091</x:v>
      </x:c>
      <x:c r="F98" s="26" t="str">
        <x:v>PRJ-2026-0013091</x:v>
      </x:c>
      <x:c r="G98" s="26" t="str">
        <x:v>AWC Gamponipally</x:v>
      </x:c>
      <x:c r="H98" s="26" t="str">
        <x:v>Mission Saksham Anganwadi &amp; POSHAN 2.0</x:v>
      </x:c>
      <x:c r="I98" s="32" t="n">
        <x:v>46165</x:v>
      </x:c>
      <x:c r="J98" s="32" t="n">
        <x:v>46349</x:v>
      </x:c>
      <x:c r="K98" s="32"/>
      <x:c r="L98" s="26" t="str">
        <x:v>Active: On/After 01-Aug-2026</x:v>
      </x:c>
      <x:c r="M98" s="26" t="str">
        <x:v>Medium</x:v>
      </x:c>
      <x:c r="N98" s="26" t="str">
        <x:v>ECCE Equipment=Minor; Educational Needs=Minor; Electrical Infrastructure=Medium; Health and Safety aids=Minor; Office Needs=Minor</x:v>
      </x:c>
      <x:c r="O98" s="26" t="n">
        <x:v>1</x:v>
      </x:c>
      <x:c r="P98" s="26" t="str">
        <x:v>Gamponipally(Mini) (36701020623)</x:v>
      </x:c>
      <x:c r="Q98" s="26" t="str">
        <x:v>36701020623</x:v>
      </x:c>
      <x:c r="R98" s="26" t="n">
        <x:v>14</x:v>
      </x:c>
      <x:c r="S98" s="36" t="n">
        <x:v>50000</x:v>
      </x:c>
      <x:c r="T98" s="26" t="str">
        <x:v>Water Filter Gas Stove&amp; Regulator Pressure Cooker Slides Kids Chairs Fans &amp; Lights Storage Bins Egg &amp; Milk Storge Racks Digital GMD</x:v>
      </x:c>
      <x:c r="U98" s="26" t="str">
        <x:v>Water Filter Gas Stove&amp; Regulator Pressure Cooker Slides Kids Chairs Fans &amp; Lights Storage Bins Egg &amp; Milk Storge Racks Digital GMD</x:v>
      </x:c>
      <x:c r="V98" s="27" t="b">
        <x:v>1</x:v>
      </x:c>
      <x:c r="W98" s="26" t="n">
        <x:v>7</x:v>
      </x:c>
      <x:c r="X98" s="26" t="n">
        <x:v>0</x:v>
      </x:c>
      <x:c r="Y98" s="26" t="n">
        <x:f>SUMIF('Activity Detail'!$E$4:$E$706,F98,'Activity Detail'!$L$4:$L$706)</x:f>
        <x:v>37</x:v>
      </x:c>
      <x:c r="Z98" s="26" t="n">
        <x:f>SUMIF('Activity Detail'!$E$4:$E$706,F98,'Activity Detail'!$N$4:$N$706)</x:f>
        <x:v>0</x:v>
      </x:c>
      <x:c r="AA98" s="26" t="n">
        <x:f>MAX(Y98-Z98,0)</x:f>
        <x:v>37</x:v>
      </x:c>
      <x:c r="AB98" s="38" t="n">
        <x:f>IFERROR(Z98/Y98,0)</x:f>
        <x:v>0</x:v>
      </x:c>
      <x:c r="AC98" s="26" t="str">
        <x:v>Committed / Not Delivered</x:v>
      </x:c>
      <x:c r="AD98" s="26" t="str">
        <x:v>Approval not recorded in response</x:v>
      </x:c>
      <x:c r="AE98" s="27" t="b">
        <x:v>1</x:v>
      </x:c>
      <x:c r="AF98" s="34" t="n">
        <x:v>46219.72965277778</x:v>
      </x:c>
      <x:c r="AG98" s="34"/>
      <x:c r="AH98" s="26" t="str">
        <x:v>Fully enriched from attached Mulugu project JSON</x:v>
      </x:c>
      <x:c r="AI98" s="26" t="str"/>
      <x:c r="AJ98" s="26" t="str">
        <x:v>Not Started</x:v>
      </x:c>
      <x:c r="AK98" s="26" t="str"/>
      <x:c r="AL98" s="26" t="str"/>
    </x:row>
    <x:row r="99">
      <x:c r="A99" s="26" t="n">
        <x:v>96</x:v>
      </x:c>
      <x:c r="B99" s="26" t="n">
        <x:v>198</x:v>
      </x:c>
      <x:c r="C99" s="26" t="str">
        <x:v>Mulugu</x:v>
      </x:c>
      <x:c r="D99" s="26" t="str">
        <x:v>Telangana</x:v>
      </x:c>
      <x:c r="E99" s="26" t="n">
        <x:v>13087</x:v>
      </x:c>
      <x:c r="F99" s="26" t="str">
        <x:v>PRJ-2026-0013087</x:v>
      </x:c>
      <x:c r="G99" s="26" t="str">
        <x:v>AWC Burugupeta</x:v>
      </x:c>
      <x:c r="H99" s="26" t="str">
        <x:v>Mission Saksham Anganwadi &amp; POSHAN 2.0</x:v>
      </x:c>
      <x:c r="I99" s="32" t="n">
        <x:v>46165</x:v>
      </x:c>
      <x:c r="J99" s="32" t="n">
        <x:v>46349</x:v>
      </x:c>
      <x:c r="K99" s="32"/>
      <x:c r="L99" s="26" t="str">
        <x:v>Active: On/After 01-Aug-2026</x:v>
      </x:c>
      <x:c r="M99" s="26" t="str">
        <x:v>Medium</x:v>
      </x:c>
      <x:c r="N99" s="26" t="str">
        <x:v>ECCE Equipment=Minor; Educational Needs=Minor; Electrical Infrastructure=Medium; Health and Safety aids=Minor; Office Needs=Minor</x:v>
      </x:c>
      <x:c r="O99" s="26" t="n">
        <x:v>1</x:v>
      </x:c>
      <x:c r="P99" s="26" t="str">
        <x:v>Burugupeta (36701020624)</x:v>
      </x:c>
      <x:c r="Q99" s="26" t="str">
        <x:v>36701020624</x:v>
      </x:c>
      <x:c r="R99" s="26" t="n">
        <x:v>70</x:v>
      </x:c>
      <x:c r="S99" s="36" t="n">
        <x:v>50000</x:v>
      </x:c>
      <x:c r="T99" s="26" t="str">
        <x:v>Water Filter Gas Stove&amp; Regulator Pressure Cooker Slides Kids Chairs Fans &amp; Lights Storage Bins Egg &amp; Milk Storge Racks Digital GMD</x:v>
      </x:c>
      <x:c r="U99" s="26" t="str">
        <x:v>Water Filter Gas Stove&amp; Regulator Pressure Cooker Slides Kids Chairs Fans &amp; Lights Storage Bins Egg &amp; Milk Storge Racks Digital GMD</x:v>
      </x:c>
      <x:c r="V99" s="27" t="b">
        <x:v>1</x:v>
      </x:c>
      <x:c r="W99" s="26" t="n">
        <x:v>7</x:v>
      </x:c>
      <x:c r="X99" s="26" t="n">
        <x:v>0</x:v>
      </x:c>
      <x:c r="Y99" s="26" t="n">
        <x:f>SUMIF('Activity Detail'!$E$4:$E$706,F99,'Activity Detail'!$L$4:$L$706)</x:f>
        <x:v>37</x:v>
      </x:c>
      <x:c r="Z99" s="26" t="n">
        <x:f>SUMIF('Activity Detail'!$E$4:$E$706,F99,'Activity Detail'!$N$4:$N$706)</x:f>
        <x:v>0</x:v>
      </x:c>
      <x:c r="AA99" s="26" t="n">
        <x:f>MAX(Y99-Z99,0)</x:f>
        <x:v>37</x:v>
      </x:c>
      <x:c r="AB99" s="38" t="n">
        <x:f>IFERROR(Z99/Y99,0)</x:f>
        <x:v>0</x:v>
      </x:c>
      <x:c r="AC99" s="26" t="str">
        <x:v>Committed / Not Delivered</x:v>
      </x:c>
      <x:c r="AD99" s="26" t="str">
        <x:v>Approval not recorded in response</x:v>
      </x:c>
      <x:c r="AE99" s="27" t="b">
        <x:v>1</x:v>
      </x:c>
      <x:c r="AF99" s="34" t="n">
        <x:v>46219.72965277778</x:v>
      </x:c>
      <x:c r="AG99" s="34"/>
      <x:c r="AH99" s="26" t="str">
        <x:v>Fully enriched from attached Mulugu project JSON</x:v>
      </x:c>
      <x:c r="AI99" s="26" t="str"/>
      <x:c r="AJ99" s="26" t="str">
        <x:v>Not Started</x:v>
      </x:c>
      <x:c r="AK99" s="26" t="str"/>
      <x:c r="AL99" s="26" t="str"/>
    </x:row>
    <x:row r="100">
      <x:c r="A100" s="26" t="n">
        <x:v>97</x:v>
      </x:c>
      <x:c r="B100" s="26" t="n">
        <x:v>193</x:v>
      </x:c>
      <x:c r="C100" s="26" t="str">
        <x:v>Mulugu</x:v>
      </x:c>
      <x:c r="D100" s="26" t="str">
        <x:v>Telangana</x:v>
      </x:c>
      <x:c r="E100" s="26" t="n">
        <x:v>15963</x:v>
      </x:c>
      <x:c r="F100" s="26" t="str">
        <x:v>PRJ-2026-0015963</x:v>
      </x:c>
      <x:c r="G100" s="26" t="str">
        <x:v>AWC Venkatapur Sector</x:v>
      </x:c>
      <x:c r="H100" s="26" t="str">
        <x:v>Mission Saksham Anganwadi &amp; POSHAN 2.0</x:v>
      </x:c>
      <x:c r="I100" s="32" t="n">
        <x:v>46169</x:v>
      </x:c>
      <x:c r="J100" s="32" t="n">
        <x:v>46353</x:v>
      </x:c>
      <x:c r="K100" s="32"/>
      <x:c r="L100" s="26" t="str">
        <x:v>Active: On/After 01-Aug-2026</x:v>
      </x:c>
      <x:c r="M100" s="26" t="str">
        <x:v>Medium</x:v>
      </x:c>
      <x:c r="N100" s="26" t="str">
        <x:v>ECCE Equipment=Minor; Educational Needs=Minor; Electrical Infrastructure=Medium; Health and Safety aids=Minor; Office Needs=Minor</x:v>
      </x:c>
      <x:c r="O100" s="26" t="n">
        <x:v>9</x:v>
      </x:c>
      <x:c r="P100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Q100" s="26" t="str">
        <x:v>36701020607; 36701020613; 36701020622; 36701020610; 36701020616; 36701020615; 36701020617; 36701020612; 36701020609</x:v>
      </x:c>
      <x:c r="R100" s="26" t="n">
        <x:v>1005</x:v>
      </x:c>
      <x:c r="S100" s="36" t="n">
        <x:v>50000</x:v>
      </x:c>
      <x:c r="T100" s="26" t="str">
        <x:v>Water Filter	Gas Stove&amp; Regulator						Pressure Cooker	Slides	Kids Chairs	Fans &amp; Lights	Storage Bins	Egg &amp; Milk Storge Racks	Digital GMD
</x:v>
      </x:c>
      <x:c r="U100" s="26" t="str">
        <x:v>Water Filter	Gas Stove&amp; Regulator						Pressure Cooker	Slides	Kids Chairs	Fans &amp; Lights	Storage Bins	Egg &amp; Milk Storge Racks	Digital GMD
</x:v>
      </x:c>
      <x:c r="V100" s="27" t="b">
        <x:v>1</x:v>
      </x:c>
      <x:c r="W100" s="26" t="n">
        <x:v>7</x:v>
      </x:c>
      <x:c r="X100" s="26" t="n">
        <x:v>0</x:v>
      </x:c>
      <x:c r="Y100" s="26" t="n">
        <x:f>SUMIF('Activity Detail'!$E$4:$E$706,F100,'Activity Detail'!$L$4:$L$706)</x:f>
        <x:v>33</x:v>
      </x:c>
      <x:c r="Z100" s="26" t="n">
        <x:f>SUMIF('Activity Detail'!$E$4:$E$706,F100,'Activity Detail'!$N$4:$N$706)</x:f>
        <x:v>0</x:v>
      </x:c>
      <x:c r="AA100" s="26" t="n">
        <x:f>MAX(Y100-Z100,0)</x:f>
        <x:v>33</x:v>
      </x:c>
      <x:c r="AB100" s="38" t="n">
        <x:f>IFERROR(Z100/Y100,0)</x:f>
        <x:v>0</x:v>
      </x:c>
      <x:c r="AC100" s="26" t="str">
        <x:v>Committed / Not Delivered</x:v>
      </x:c>
      <x:c r="AD100" s="26" t="str">
        <x:v>Approval not recorded in response</x:v>
      </x:c>
      <x:c r="AE100" s="27" t="b">
        <x:v>1</x:v>
      </x:c>
      <x:c r="AF100" s="34" t="n">
        <x:v>46219.7296412037</x:v>
      </x:c>
      <x:c r="AG100" s="34"/>
      <x:c r="AH100" s="26" t="str">
        <x:v>Fully enriched from attached Mulugu project JSON</x:v>
      </x:c>
      <x:c r="AI100" s="26" t="str"/>
      <x:c r="AJ100" s="26" t="str">
        <x:v>Not Started</x:v>
      </x:c>
      <x:c r="AK100" s="26" t="str"/>
      <x:c r="AL100" s="26" t="str"/>
    </x:row>
    <x:row r="101">
      <x:c r="A101" s="26" t="n">
        <x:v>98</x:v>
      </x:c>
      <x:c r="B101" s="26" t="n">
        <x:v>194</x:v>
      </x:c>
      <x:c r="C101" s="26" t="str">
        <x:v>Mulugu</x:v>
      </x:c>
      <x:c r="D101" s="26" t="str">
        <x:v>Telangana</x:v>
      </x:c>
      <x:c r="E101" s="26" t="n">
        <x:v>13542</x:v>
      </x:c>
      <x:c r="F101" s="26" t="str">
        <x:v>PRJ-2026-0013542</x:v>
      </x:c>
      <x:c r="G101" s="26" t="str">
        <x:v>Egg &amp; Milk Storge Racks</x:v>
      </x:c>
      <x:c r="H101" s="26" t="str">
        <x:v>Mission Saksham Anganwadi &amp; POSHAN 2.0</x:v>
      </x:c>
      <x:c r="I101" s="32" t="n">
        <x:v>46175</x:v>
      </x:c>
      <x:c r="J101" s="32" t="n">
        <x:v>46358</x:v>
      </x:c>
      <x:c r="K101" s="32"/>
      <x:c r="L101" s="26" t="str">
        <x:v>Active: On/After 01-Aug-2026</x:v>
      </x:c>
      <x:c r="M101" s="26" t="str">
        <x:v>Medium</x:v>
      </x:c>
      <x:c r="N101" s="26" t="str">
        <x:v>ECCE Equipment=Minor; Educational Needs=Minor; Electrical Infrastructure=Medium; Health and Safety aids=Minor; Office Needs=Minor</x:v>
      </x:c>
      <x:c r="O101" s="26" t="n">
        <x:v>20</x:v>
      </x:c>
      <x:c r="P101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Q101" s="26" t="str">
        <x:v>36701020423; 36701020422; 36701020421; 36701020420; 36701020418; 36701020417; 36701020416; 36701020414; 36701020413; 36701020412; 36701020411; 36701020410; 36701020409; 36701020408; 36701020407; 36701020406; 36701020405; 36701020404; 36701020403; 36701020402</x:v>
      </x:c>
      <x:c r="R101" s="26" t="n">
        <x:v>160</x:v>
      </x:c>
      <x:c r="S101" s="36" t="n">
        <x:v>50000</x:v>
      </x:c>
      <x:c r="T101" s="26" t="str">
        <x:v>Egg &amp; Milk Storge Racks</x:v>
      </x:c>
      <x:c r="U101" s="26" t="str">
        <x:v>Egg &amp; Milk Storge Racks</x:v>
      </x:c>
      <x:c r="V101" s="27" t="b">
        <x:v>1</x:v>
      </x:c>
      <x:c r="W101" s="26" t="n">
        <x:v>7</x:v>
      </x:c>
      <x:c r="X101" s="26" t="n">
        <x:v>0</x:v>
      </x:c>
      <x:c r="Y101" s="26" t="n">
        <x:f>SUMIF('Activity Detail'!$E$4:$E$706,F101,'Activity Detail'!$L$4:$L$706)</x:f>
        <x:v>401</x:v>
      </x:c>
      <x:c r="Z101" s="26" t="n">
        <x:f>SUMIF('Activity Detail'!$E$4:$E$706,F101,'Activity Detail'!$N$4:$N$706)</x:f>
        <x:v>0</x:v>
      </x:c>
      <x:c r="AA101" s="26" t="n">
        <x:f>MAX(Y101-Z101,0)</x:f>
        <x:v>401</x:v>
      </x:c>
      <x:c r="AB101" s="38" t="n">
        <x:f>IFERROR(Z101/Y101,0)</x:f>
        <x:v>0</x:v>
      </x:c>
      <x:c r="AC101" s="26" t="str">
        <x:v>Committed / Not Delivered</x:v>
      </x:c>
      <x:c r="AD101" s="26" t="str">
        <x:v>Approval not recorded in response</x:v>
      </x:c>
      <x:c r="AE101" s="27" t="b">
        <x:v>1</x:v>
      </x:c>
      <x:c r="AF101" s="34" t="n">
        <x:v>46219.7296412037</x:v>
      </x:c>
      <x:c r="AG101" s="34"/>
      <x:c r="AH101" s="26" t="str">
        <x:v>Fully enriched from attached Mulugu project JSON</x:v>
      </x:c>
      <x:c r="AI101" s="26" t="str"/>
      <x:c r="AJ101" s="26" t="str">
        <x:v>Not Started</x:v>
      </x:c>
      <x:c r="AK101" s="26" t="str"/>
      <x:c r="AL101" s="26" t="str"/>
    </x:row>
    <x:row r="102">
      <x:c r="A102" s="26" t="n">
        <x:v>99</x:v>
      </x:c>
      <x:c r="B102" s="26" t="n">
        <x:v>195</x:v>
      </x:c>
      <x:c r="C102" s="26" t="str">
        <x:v>Mulugu</x:v>
      </x:c>
      <x:c r="D102" s="26" t="str">
        <x:v>Telangana</x:v>
      </x:c>
      <x:c r="E102" s="26" t="n">
        <x:v>13276</x:v>
      </x:c>
      <x:c r="F102" s="26" t="str">
        <x:v>PRJ-2026-0013276</x:v>
      </x:c>
      <x:c r="G102" s="26" t="str">
        <x:v>Egg &amp; Milk Storge Racks</x:v>
      </x:c>
      <x:c r="H102" s="26" t="str">
        <x:v>Mission Saksham Anganwadi &amp; POSHAN 2.0</x:v>
      </x:c>
      <x:c r="I102" s="32" t="n">
        <x:v>46175</x:v>
      </x:c>
      <x:c r="J102" s="32" t="n">
        <x:v>46358</x:v>
      </x:c>
      <x:c r="K102" s="32"/>
      <x:c r="L102" s="26" t="str">
        <x:v>Active: On/After 01-Aug-2026</x:v>
      </x:c>
      <x:c r="M102" s="26" t="str">
        <x:v>Medium</x:v>
      </x:c>
      <x:c r="N102" s="26" t="str">
        <x:v>ECCE Equipment=Minor; Educational Needs=Minor; Electrical Infrastructure=Medium; Health and Safety aids=Minor; Office Needs=Minor</x:v>
      </x:c>
      <x:c r="O102" s="26" t="n">
        <x:v>12</x:v>
      </x:c>
      <x:c r="P102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Q102" s="26" t="str">
        <x:v>36701020123; 36701020121; 36701020120; 36701020118; 36701020117; 36701020115; 36701020114; 36701020112; 36701020111; 36701020108; 36701020104; 36701020103</x:v>
      </x:c>
      <x:c r="R102" s="26" t="n">
        <x:v>150</x:v>
      </x:c>
      <x:c r="S102" s="36" t="n">
        <x:v>50000</x:v>
      </x:c>
      <x:c r="T102" s="26" t="str">
        <x:v>Egg &amp; Milk Storge Racks
</x:v>
      </x:c>
      <x:c r="U102" s="26" t="str">
        <x:v>Egg &amp; Milk Storge Racks</x:v>
      </x:c>
      <x:c r="V102" s="27" t="b">
        <x:v>1</x:v>
      </x:c>
      <x:c r="W102" s="26" t="n">
        <x:v>6</x:v>
      </x:c>
      <x:c r="X102" s="26" t="n">
        <x:v>0</x:v>
      </x:c>
      <x:c r="Y102" s="26" t="n">
        <x:f>SUMIF('Activity Detail'!$E$4:$E$706,F102,'Activity Detail'!$L$4:$L$706)</x:f>
        <x:v>181</x:v>
      </x:c>
      <x:c r="Z102" s="26" t="n">
        <x:f>SUMIF('Activity Detail'!$E$4:$E$706,F102,'Activity Detail'!$N$4:$N$706)</x:f>
        <x:v>0</x:v>
      </x:c>
      <x:c r="AA102" s="26" t="n">
        <x:f>MAX(Y102-Z102,0)</x:f>
        <x:v>181</x:v>
      </x:c>
      <x:c r="AB102" s="38" t="n">
        <x:f>IFERROR(Z102/Y102,0)</x:f>
        <x:v>0</x:v>
      </x:c>
      <x:c r="AC102" s="26" t="str">
        <x:v>Committed / Not Delivered</x:v>
      </x:c>
      <x:c r="AD102" s="26" t="str">
        <x:v>Approval not recorded in response</x:v>
      </x:c>
      <x:c r="AE102" s="27" t="b">
        <x:v>1</x:v>
      </x:c>
      <x:c r="AF102" s="34" t="n">
        <x:v>46219.7296412037</x:v>
      </x:c>
      <x:c r="AG102" s="34"/>
      <x:c r="AH102" s="26" t="str">
        <x:v>Fully enriched from attached Mulugu project JSON</x:v>
      </x:c>
      <x:c r="AI102" s="26" t="str"/>
      <x:c r="AJ102" s="26" t="str">
        <x:v>Not Started</x:v>
      </x:c>
      <x:c r="AK102" s="26" t="str"/>
      <x:c r="AL102" s="26" t="str"/>
    </x:row>
    <x:row r="103">
      <x:c r="A103" s="26" t="n">
        <x:v>100</x:v>
      </x:c>
      <x:c r="B103" s="26" t="n">
        <x:v>192</x:v>
      </x:c>
      <x:c r="C103" s="26" t="str">
        <x:v>Mulugu</x:v>
      </x:c>
      <x:c r="D103" s="26" t="str">
        <x:v>Telangana</x:v>
      </x:c>
      <x:c r="E103" s="26" t="n">
        <x:v>19440</x:v>
      </x:c>
      <x:c r="F103" s="26" t="str">
        <x:v>PRJ-2026-0019440</x:v>
      </x:c>
      <x:c r="G103" s="26" t="str">
        <x:v>AWC Jangalapally Sector</x:v>
      </x:c>
      <x:c r="H103" s="26" t="str">
        <x:v>Mission Saksham Anganwadi &amp; POSHAN 2.0</x:v>
      </x:c>
      <x:c r="I103" s="32" t="n">
        <x:v>46177</x:v>
      </x:c>
      <x:c r="J103" s="32" t="n">
        <x:v>46360</x:v>
      </x:c>
      <x:c r="K103" s="32"/>
      <x:c r="L103" s="26" t="str">
        <x:v>Active: On/After 01-Aug-2026</x:v>
      </x:c>
      <x:c r="M103" s="26" t="str">
        <x:v>Medium</x:v>
      </x:c>
      <x:c r="N103" s="26" t="str">
        <x:v>ECCE Equipment=Minor; Educational Needs=Minor; Electrical Infrastructure=Medium; Health and Safety aids=Minor; Office Needs=Minor</x:v>
      </x:c>
      <x:c r="O103" s="26" t="n">
        <x:v>20</x:v>
      </x:c>
      <x:c r="P103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Q103" s="26" t="str">
        <x:v>36701020113; 36701020121; 36701020110; 36701020124; 36701020125; 36701020109; 36701020108; 36701020112; 36701020119; 36701020122; 36701020118; 36701020116; 36701020105; 36701020111; 36701020102; 36701020107; 36701020101; 36701020103; 36701020117; 36701020115</x:v>
      </x:c>
      <x:c r="R103" s="26" t="n">
        <x:v>1200</x:v>
      </x:c>
      <x:c r="S103" s="36" t="n">
        <x:v>50000</x:v>
      </x:c>
      <x:c r="T103" s="26" t="str">
        <x:v>Balapainting					Pressure Cooker	Slides	Kids Chairs	Fans &amp; Lights	Storage Bins	Egg &amp; Milk Storge Racks	Digital GMD
</x:v>
      </x:c>
      <x:c r="U103" s="26" t="str">
        <x:v>Balapainting					Pressure Cooker	Slides	Kids Chairs	Fans &amp; Lights	Storage Bins	Egg &amp; Milk Storge Racks	Digital GMD
</x:v>
      </x:c>
      <x:c r="V103" s="27" t="b">
        <x:v>1</x:v>
      </x:c>
      <x:c r="W103" s="26" t="n">
        <x:v>7</x:v>
      </x:c>
      <x:c r="X103" s="26" t="n">
        <x:v>0</x:v>
      </x:c>
      <x:c r="Y103" s="26" t="n">
        <x:f>SUMIF('Activity Detail'!$E$4:$E$706,F103,'Activity Detail'!$L$4:$L$706)</x:f>
        <x:v>580</x:v>
      </x:c>
      <x:c r="Z103" s="26" t="n">
        <x:f>SUMIF('Activity Detail'!$E$4:$E$706,F103,'Activity Detail'!$N$4:$N$706)</x:f>
        <x:v>0</x:v>
      </x:c>
      <x:c r="AA103" s="26" t="n">
        <x:f>MAX(Y103-Z103,0)</x:f>
        <x:v>580</x:v>
      </x:c>
      <x:c r="AB103" s="38" t="n">
        <x:f>IFERROR(Z103/Y103,0)</x:f>
        <x:v>0</x:v>
      </x:c>
      <x:c r="AC103" s="26" t="str">
        <x:v>Committed / Not Delivered</x:v>
      </x:c>
      <x:c r="AD103" s="26" t="str">
        <x:v>Approval not recorded in response</x:v>
      </x:c>
      <x:c r="AE103" s="27" t="b">
        <x:v>1</x:v>
      </x:c>
      <x:c r="AF103" s="34" t="n">
        <x:v>46219.72961805556</x:v>
      </x:c>
      <x:c r="AG103" s="34"/>
      <x:c r="AH103" s="26" t="str">
        <x:v>Fully enriched from attached Mulugu project JSON</x:v>
      </x:c>
      <x:c r="AI103" s="26" t="str"/>
      <x:c r="AJ103" s="26" t="str">
        <x:v>Not Started</x:v>
      </x:c>
      <x:c r="AK103" s="26" t="str"/>
      <x:c r="AL103" s="26" t="str"/>
    </x:row>
    <x:row r="104">
      <x:c r="A104" s="26" t="n">
        <x:v>101</x:v>
      </x:c>
      <x:c r="B104" s="26" t="n">
        <x:v>191</x:v>
      </x:c>
      <x:c r="C104" s="26" t="str">
        <x:v>Mulugu</x:v>
      </x:c>
      <x:c r="D104" s="26" t="str">
        <x:v>Telangana</x:v>
      </x:c>
      <x:c r="E104" s="26" t="n">
        <x:v>7936</x:v>
      </x:c>
      <x:c r="F104" s="26" t="str">
        <x:v>PRJ-2026-0007936</x:v>
      </x:c>
      <x:c r="G104" s="26" t="str">
        <x:v>AWC ABBAPUR</x:v>
      </x:c>
      <x:c r="H104" s="26" t="str">
        <x:v>Mission Saksham Anganwadi &amp; POSHAN 2.0</x:v>
      </x:c>
      <x:c r="I104" s="32" t="n">
        <x:v>46164</x:v>
      </x:c>
      <x:c r="J104" s="32" t="n">
        <x:v>46348</x:v>
      </x:c>
      <x:c r="K104" s="32"/>
      <x:c r="L104" s="26" t="str">
        <x:v>Active: On/After 01-Aug-2026</x:v>
      </x:c>
      <x:c r="M104" s="26" t="str">
        <x:v>Medium</x:v>
      </x:c>
      <x:c r="N104" s="26" t="str">
        <x:v>ECCE Equipment=Minor; Educational Needs=Minor; Electrical Infrastructure=Medium; Office Needs=Minor</x:v>
      </x:c>
      <x:c r="O104" s="26" t="n">
        <x:v>1</x:v>
      </x:c>
      <x:c r="P104" s="26" t="str">
        <x:v>Abbapur (36701020223)</x:v>
      </x:c>
      <x:c r="Q104" s="26" t="str">
        <x:v>36701020223</x:v>
      </x:c>
      <x:c r="R104" s="26" t="n">
        <x:v>55</x:v>
      </x:c>
      <x:c r="S104" s="36" t="n">
        <x:v>50000</x:v>
      </x:c>
      <x:c r="T104" s="26" t="str">
        <x:v>Civil Repair
Water Filter	
Gas Stove&amp; Regulator
Pressure Cooker
Slides
Kids Chairs
Fans &amp; Lights
Storage Bins
Egg &amp; Milk Storge 
</x:v>
      </x:c>
      <x:c r="U104" s="26" t="str">
        <x:v>Civil Repair
Water Filter	
Gas Stove&amp; Regulator
Pressure Cooker
Slides
Kids Chairs
Fans &amp; Lights
Storage Bins
Egg &amp; Milk Storge 
</x:v>
      </x:c>
      <x:c r="V104" s="27" t="b">
        <x:v>1</x:v>
      </x:c>
      <x:c r="W104" s="26" t="n">
        <x:v>8</x:v>
      </x:c>
      <x:c r="X104" s="26" t="n">
        <x:v>0</x:v>
      </x:c>
      <x:c r="Y104" s="26" t="n">
        <x:f>SUMIF('Activity Detail'!$E$4:$E$706,F104,'Activity Detail'!$L$4:$L$706)</x:f>
        <x:v>39</x:v>
      </x:c>
      <x:c r="Z104" s="26" t="n">
        <x:f>SUMIF('Activity Detail'!$E$4:$E$706,F104,'Activity Detail'!$N$4:$N$706)</x:f>
        <x:v>0</x:v>
      </x:c>
      <x:c r="AA104" s="26" t="n">
        <x:f>MAX(Y104-Z104,0)</x:f>
        <x:v>39</x:v>
      </x:c>
      <x:c r="AB104" s="38" t="n">
        <x:f>IFERROR(Z104/Y104,0)</x:f>
        <x:v>0</x:v>
      </x:c>
      <x:c r="AC104" s="26" t="str">
        <x:v>Committed / Not Delivered</x:v>
      </x:c>
      <x:c r="AD104" s="26" t="str">
        <x:v>Approval not recorded in response</x:v>
      </x:c>
      <x:c r="AE104" s="27" t="b">
        <x:v>1</x:v>
      </x:c>
      <x:c r="AF104" s="34" t="n">
        <x:v>46219.72287037037</x:v>
      </x:c>
      <x:c r="AG104" s="34"/>
      <x:c r="AH104" s="26" t="str">
        <x:v>Fully enriched from attached Mulugu project JSON</x:v>
      </x:c>
      <x:c r="AI104" s="26" t="str"/>
      <x:c r="AJ104" s="26" t="str">
        <x:v>Not Started</x:v>
      </x:c>
      <x:c r="AK104" s="26" t="str"/>
      <x:c r="AL104" s="26" t="str"/>
    </x:row>
    <x:row r="105">
      <x:c r="A105" s="26" t="n">
        <x:v>102</x:v>
      </x:c>
      <x:c r="B105" s="26" t="n">
        <x:v>190</x:v>
      </x:c>
      <x:c r="C105" s="26" t="str">
        <x:v>Mulugu</x:v>
      </x:c>
      <x:c r="D105" s="26" t="str">
        <x:v>Telangana</x:v>
      </x:c>
      <x:c r="E105" s="26" t="n">
        <x:v>19443</x:v>
      </x:c>
      <x:c r="F105" s="26" t="str">
        <x:v>PRJ-2026-0019443</x:v>
      </x:c>
      <x:c r="G105" s="26" t="str">
        <x:v>Jangalapally Sector 2</x:v>
      </x:c>
      <x:c r="H105" s="26" t="str">
        <x:v>Mission Saksham Anganwadi &amp; POSHAN 2.0</x:v>
      </x:c>
      <x:c r="I105" s="32" t="n">
        <x:v>46177</x:v>
      </x:c>
      <x:c r="J105" s="32" t="n">
        <x:v>46360</x:v>
      </x:c>
      <x:c r="K105" s="32"/>
      <x:c r="L105" s="26" t="str">
        <x:v>Active: On/After 01-Aug-2026</x:v>
      </x:c>
      <x:c r="M105" s="26" t="str">
        <x:v>Medium</x:v>
      </x:c>
      <x:c r="N105" s="26" t="str">
        <x:v>ECCE Equipment=Minor; Educational Needs=Minor; Electrical Infrastructure=Medium; Health and Safety aids=Minor; Office Needs=Minor</x:v>
      </x:c>
      <x:c r="O105" s="26" t="n">
        <x:v>5</x:v>
      </x:c>
      <x:c r="P105" s="26" t="str">
        <x:v>Incherla - II (36701020120); Jangalapalli - V (36701020114); Barigalonipalli (36701020123); Rainigudem - I (36701020106); Jangalapalli - IV (36701020115)</x:v>
      </x:c>
      <x:c r="Q105" s="26" t="str">
        <x:v>36701020120; 36701020114; 36701020123; 36701020106; 36701020115</x:v>
      </x:c>
      <x:c r="R105" s="26" t="n">
        <x:v>250</x:v>
      </x:c>
      <x:c r="S105" s="36" t="n">
        <x:v>50000</x:v>
      </x:c>
      <x:c r="T105" s="26" t="str">
        <x:v>Balapainting					Pressure Cooker	Slides	Kids Chairs	Fans &amp; Lights	Storage Bins	Egg &amp; Milk Storge Racks	Digital GMD
</x:v>
      </x:c>
      <x:c r="U105" s="26" t="str">
        <x:v>Balapainting					Pressure Cooker	Slides	Kids Chairs	Fans &amp; Lights	Storage Bins	Egg &amp; Milk Storge Racks	Digital GMD
</x:v>
      </x:c>
      <x:c r="V105" s="27" t="b">
        <x:v>1</x:v>
      </x:c>
      <x:c r="W105" s="26" t="n">
        <x:v>7</x:v>
      </x:c>
      <x:c r="X105" s="26" t="n">
        <x:v>0</x:v>
      </x:c>
      <x:c r="Y105" s="26" t="n">
        <x:f>SUMIF('Activity Detail'!$E$4:$E$706,F105,'Activity Detail'!$L$4:$L$706)</x:f>
        <x:v>175</x:v>
      </x:c>
      <x:c r="Z105" s="26" t="n">
        <x:f>SUMIF('Activity Detail'!$E$4:$E$706,F105,'Activity Detail'!$N$4:$N$706)</x:f>
        <x:v>0</x:v>
      </x:c>
      <x:c r="AA105" s="26" t="n">
        <x:f>MAX(Y105-Z105,0)</x:f>
        <x:v>175</x:v>
      </x:c>
      <x:c r="AB105" s="38" t="n">
        <x:f>IFERROR(Z105/Y105,0)</x:f>
        <x:v>0</x:v>
      </x:c>
      <x:c r="AC105" s="26" t="str">
        <x:v>Committed / Not Delivered</x:v>
      </x:c>
      <x:c r="AD105" s="26" t="str">
        <x:v>Approval not recorded in response</x:v>
      </x:c>
      <x:c r="AE105" s="27" t="b">
        <x:v>1</x:v>
      </x:c>
      <x:c r="AF105" s="34" t="n">
        <x:v>46219.71822916667</x:v>
      </x:c>
      <x:c r="AG105" s="34"/>
      <x:c r="AH105" s="26" t="str">
        <x:v>Fully enriched from attached Mulugu project JSON</x:v>
      </x:c>
      <x:c r="AI105" s="26" t="str"/>
      <x:c r="AJ105" s="26" t="str">
        <x:v>Not Started</x:v>
      </x:c>
      <x:c r="AK105" s="26" t="str"/>
      <x:c r="AL105" s="26" t="str"/>
    </x:row>
    <x:row r="106">
      <x:c r="A106" s="26" t="n">
        <x:v>103</x:v>
      </x:c>
      <x:c r="B106" s="26" t="n">
        <x:v>189</x:v>
      </x:c>
      <x:c r="C106" s="26" t="str">
        <x:v>Kumuram Bheem Asifabad</x:v>
      </x:c>
      <x:c r="D106" s="26" t="str">
        <x:v>Telangana</x:v>
      </x:c>
      <x:c r="E106" s="26" t="n">
        <x:v>11243</x:v>
      </x:c>
      <x:c r="F106" s="26" t="str">
        <x:v>PRJ-2026-0011243</x:v>
      </x:c>
      <x:c r="G106" s="26" t="str">
        <x:v>Water filter, solar pyanal </x:v>
      </x:c>
      <x:c r="H106" s="26" t="str">
        <x:v>Mission Saksham Anganwadi &amp; POSHAN 2.0</x:v>
      </x:c>
      <x:c r="I106" s="32" t="n">
        <x:v>46164</x:v>
      </x:c>
      <x:c r="J106" s="32" t="n">
        <x:v>46265</x:v>
      </x:c>
      <x:c r="K106" s="32"/>
      <x:c r="L106" s="26" t="str">
        <x:v>Active: On/After 01-Aug-2026</x:v>
      </x:c>
      <x:c r="M106" s="26" t="str">
        <x:v>Pending Mapping</x:v>
      </x:c>
      <x:c r="N106" s="26" t="str">
        <x:v>Original project JSON not available</x:v>
      </x:c>
      <x:c r="O106" s="26"/>
      <x:c r="P106" s="26" t="str"/>
      <x:c r="Q106" s="26" t="str"/>
      <x:c r="R106" s="26"/>
      <x:c r="S106" s="36"/>
      <x:c r="T106" s="26"/>
      <x:c r="U106" s="26"/>
      <x:c r="V106" s="26"/>
      <x:c r="W106" s="26" t="n">
        <x:v>6</x:v>
      </x:c>
      <x:c r="X106" s="26" t="n">
        <x:v>0</x:v>
      </x:c>
      <x:c r="Y106" s="26" t="n">
        <x:f>SUMIF('Activity Detail'!$E$4:$E$706,F106,'Activity Detail'!$L$4:$L$706)</x:f>
        <x:v>9</x:v>
      </x:c>
      <x:c r="Z106" s="26" t="n">
        <x:f>SUMIF('Activity Detail'!$E$4:$E$706,F106,'Activity Detail'!$N$4:$N$706)</x:f>
        <x:v>0</x:v>
      </x:c>
      <x:c r="AA106" s="26" t="n">
        <x:f>MAX(Y106-Z106,0)</x:f>
        <x:v>9</x:v>
      </x:c>
      <x:c r="AB106" s="38" t="n">
        <x:f>IFERROR(Z106/Y106,0)</x:f>
        <x:v>0</x:v>
      </x:c>
      <x:c r="AC106" s="26" t="str">
        <x:v>Committed / Not Delivered</x:v>
      </x:c>
      <x:c r="AD106" s="26" t="str">
        <x:v>Approval not recorded in response</x:v>
      </x:c>
      <x:c r="AE106" s="27" t="b">
        <x:v>1</x:v>
      </x:c>
      <x:c r="AF106" s="34" t="n">
        <x:v>46219.71761574074</x:v>
      </x:c>
      <x:c r="AG106" s="34"/>
      <x:c r="AH106" s="26" t="str">
        <x:v>Contribution API fields only; original project JSON needed for line-item names/centres/category</x:v>
      </x:c>
      <x:c r="AI106" s="26" t="str"/>
      <x:c r="AJ106" s="26" t="str">
        <x:v>Not Started</x:v>
      </x:c>
      <x:c r="AK106" s="26" t="str"/>
      <x:c r="AL106" s="26" t="str"/>
    </x:row>
    <x:row r="107">
      <x:c r="A107" s="26" t="n">
        <x:v>104</x:v>
      </x:c>
      <x:c r="B107" s="26" t="n">
        <x:v>173</x:v>
      </x:c>
      <x:c r="C107" s="26" t="str">
        <x:v>Kumuram Bheem Asifabad</x:v>
      </x:c>
      <x:c r="D107" s="26" t="str">
        <x:v>Telangana</x:v>
      </x:c>
      <x:c r="E107" s="26" t="n">
        <x:v>7329</x:v>
      </x:c>
      <x:c r="F107" s="26" t="str">
        <x:v>PRJ-2026-0007329</x:v>
      </x:c>
      <x:c r="G107" s="26" t="str">
        <x:v>Water filter</x:v>
      </x:c>
      <x:c r="H107" s="26" t="str">
        <x:v>Mission Saksham Anganwadi &amp; POSHAN 2.0</x:v>
      </x:c>
      <x:c r="I107" s="32" t="n">
        <x:v>46164</x:v>
      </x:c>
      <x:c r="J107" s="32" t="n">
        <x:v>46265</x:v>
      </x:c>
      <x:c r="K107" s="32"/>
      <x:c r="L107" s="26" t="str">
        <x:v>Active: On/After 01-Aug-2026</x:v>
      </x:c>
      <x:c r="M107" s="26" t="str">
        <x:v>Pending Mapping</x:v>
      </x:c>
      <x:c r="N107" s="26" t="str">
        <x:v>Original project JSON not available</x:v>
      </x:c>
      <x:c r="O107" s="26"/>
      <x:c r="P107" s="26" t="str"/>
      <x:c r="Q107" s="26" t="str"/>
      <x:c r="R107" s="26"/>
      <x:c r="S107" s="36"/>
      <x:c r="T107" s="26"/>
      <x:c r="U107" s="26"/>
      <x:c r="V107" s="26"/>
      <x:c r="W107" s="26" t="n">
        <x:v>1</x:v>
      </x:c>
      <x:c r="X107" s="26" t="n">
        <x:v>0</x:v>
      </x:c>
      <x:c r="Y107" s="26" t="n">
        <x:f>SUMIF('Activity Detail'!$E$4:$E$706,F107,'Activity Detail'!$L$4:$L$706)</x:f>
        <x:v>1</x:v>
      </x:c>
      <x:c r="Z107" s="26" t="n">
        <x:f>SUMIF('Activity Detail'!$E$4:$E$706,F107,'Activity Detail'!$N$4:$N$706)</x:f>
        <x:v>0</x:v>
      </x:c>
      <x:c r="AA107" s="26" t="n">
        <x:f>MAX(Y107-Z107,0)</x:f>
        <x:v>1</x:v>
      </x:c>
      <x:c r="AB107" s="38" t="n">
        <x:f>IFERROR(Z107/Y107,0)</x:f>
        <x:v>0</x:v>
      </x:c>
      <x:c r="AC107" s="26" t="str">
        <x:v>Committed / Not Delivered</x:v>
      </x:c>
      <x:c r="AD107" s="26" t="str">
        <x:v>Approval not recorded in response</x:v>
      </x:c>
      <x:c r="AE107" s="27" t="b">
        <x:v>1</x:v>
      </x:c>
      <x:c r="AF107" s="34" t="n">
        <x:v>46219.438935185186</x:v>
      </x:c>
      <x:c r="AG107" s="34"/>
      <x:c r="AH107" s="26" t="str">
        <x:v>Contribution API fields only; original project JSON needed for line-item names/centres/category</x:v>
      </x:c>
      <x:c r="AI107" s="26" t="str"/>
      <x:c r="AJ107" s="26" t="str">
        <x:v>Not Started</x:v>
      </x:c>
      <x:c r="AK107" s="26" t="str"/>
      <x:c r="AL107" s="26" t="str"/>
    </x:row>
    <x:row r="108">
      <x:c r="A108" s="26" t="n">
        <x:v>105</x:v>
      </x:c>
      <x:c r="B108" s="26" t="n">
        <x:v>184</x:v>
      </x:c>
      <x:c r="C108" s="26" t="str">
        <x:v>Kumuram Bheem Asifabad</x:v>
      </x:c>
      <x:c r="D108" s="26" t="str">
        <x:v>Telangana</x:v>
      </x:c>
      <x:c r="E108" s="26" t="n">
        <x:v>10044</x:v>
      </x:c>
      <x:c r="F108" s="26" t="str">
        <x:v>PRJ-2026-0010044</x:v>
      </x:c>
      <x:c r="G108" s="26" t="str">
        <x:v>Water filter </x:v>
      </x:c>
      <x:c r="H108" s="26" t="str">
        <x:v>Mission Saksham Anganwadi &amp; POSHAN 2.0</x:v>
      </x:c>
      <x:c r="I108" s="32" t="n">
        <x:v>46164</x:v>
      </x:c>
      <x:c r="J108" s="32" t="n">
        <x:v>46265</x:v>
      </x:c>
      <x:c r="K108" s="32"/>
      <x:c r="L108" s="26" t="str">
        <x:v>Active: On/After 01-Aug-2026</x:v>
      </x:c>
      <x:c r="M108" s="26" t="str">
        <x:v>Pending Mapping</x:v>
      </x:c>
      <x:c r="N108" s="26" t="str">
        <x:v>Original project JSON not available</x:v>
      </x:c>
      <x:c r="O108" s="26"/>
      <x:c r="P108" s="26" t="str"/>
      <x:c r="Q108" s="26" t="str"/>
      <x:c r="R108" s="26"/>
      <x:c r="S108" s="36"/>
      <x:c r="T108" s="26"/>
      <x:c r="U108" s="26"/>
      <x:c r="V108" s="26"/>
      <x:c r="W108" s="26" t="n">
        <x:v>1</x:v>
      </x:c>
      <x:c r="X108" s="26" t="n">
        <x:v>0</x:v>
      </x:c>
      <x:c r="Y108" s="26" t="n">
        <x:f>SUMIF('Activity Detail'!$E$4:$E$706,F108,'Activity Detail'!$L$4:$L$706)</x:f>
        <x:v>1</x:v>
      </x:c>
      <x:c r="Z108" s="26" t="n">
        <x:f>SUMIF('Activity Detail'!$E$4:$E$706,F108,'Activity Detail'!$N$4:$N$706)</x:f>
        <x:v>0</x:v>
      </x:c>
      <x:c r="AA108" s="26" t="n">
        <x:f>MAX(Y108-Z108,0)</x:f>
        <x:v>1</x:v>
      </x:c>
      <x:c r="AB108" s="38" t="n">
        <x:f>IFERROR(Z108/Y108,0)</x:f>
        <x:v>0</x:v>
      </x:c>
      <x:c r="AC108" s="26" t="str">
        <x:v>Committed / Not Delivered</x:v>
      </x:c>
      <x:c r="AD108" s="26" t="str">
        <x:v>Approval not recorded in response</x:v>
      </x:c>
      <x:c r="AE108" s="27" t="b">
        <x:v>1</x:v>
      </x:c>
      <x:c r="AF108" s="34" t="n">
        <x:v>46219.438935185186</x:v>
      </x:c>
      <x:c r="AG108" s="34"/>
      <x:c r="AH108" s="26" t="str">
        <x:v>Contribution API fields only; original project JSON needed for line-item names/centres/category</x:v>
      </x:c>
      <x:c r="AI108" s="26" t="str"/>
      <x:c r="AJ108" s="26" t="str">
        <x:v>Not Started</x:v>
      </x:c>
      <x:c r="AK108" s="26" t="str"/>
      <x:c r="AL108" s="26" t="str"/>
    </x:row>
    <x:row r="109">
      <x:c r="A109" s="26" t="n">
        <x:v>106</x:v>
      </x:c>
      <x:c r="B109" s="26" t="n">
        <x:v>185</x:v>
      </x:c>
      <x:c r="C109" s="26" t="str">
        <x:v>Kumuram Bheem Asifabad</x:v>
      </x:c>
      <x:c r="D109" s="26" t="str">
        <x:v>Telangana</x:v>
      </x:c>
      <x:c r="E109" s="26" t="n">
        <x:v>10183</x:v>
      </x:c>
      <x:c r="F109" s="26" t="str">
        <x:v>PRJ-2026-0010183</x:v>
      </x:c>
      <x:c r="G109" s="26" t="str">
        <x:v>Water filter </x:v>
      </x:c>
      <x:c r="H109" s="26" t="str">
        <x:v>Mission Saksham Anganwadi &amp; POSHAN 2.0</x:v>
      </x:c>
      <x:c r="I109" s="32" t="n">
        <x:v>46165</x:v>
      </x:c>
      <x:c r="J109" s="32" t="n">
        <x:v>46265</x:v>
      </x:c>
      <x:c r="K109" s="32"/>
      <x:c r="L109" s="26" t="str">
        <x:v>Active: On/After 01-Aug-2026</x:v>
      </x:c>
      <x:c r="M109" s="26" t="str">
        <x:v>Pending Mapping</x:v>
      </x:c>
      <x:c r="N109" s="26" t="str">
        <x:v>Original project JSON not available</x:v>
      </x:c>
      <x:c r="O109" s="26"/>
      <x:c r="P109" s="26" t="str"/>
      <x:c r="Q109" s="26" t="str"/>
      <x:c r="R109" s="26"/>
      <x:c r="S109" s="36"/>
      <x:c r="T109" s="26"/>
      <x:c r="U109" s="26"/>
      <x:c r="V109" s="26"/>
      <x:c r="W109" s="26" t="n">
        <x:v>1</x:v>
      </x:c>
      <x:c r="X109" s="26" t="n">
        <x:v>0</x:v>
      </x:c>
      <x:c r="Y109" s="26" t="n">
        <x:f>SUMIF('Activity Detail'!$E$4:$E$706,F109,'Activity Detail'!$L$4:$L$706)</x:f>
        <x:v>1</x:v>
      </x:c>
      <x:c r="Z109" s="26" t="n">
        <x:f>SUMIF('Activity Detail'!$E$4:$E$706,F109,'Activity Detail'!$N$4:$N$706)</x:f>
        <x:v>0</x:v>
      </x:c>
      <x:c r="AA109" s="26" t="n">
        <x:f>MAX(Y109-Z109,0)</x:f>
        <x:v>1</x:v>
      </x:c>
      <x:c r="AB109" s="38" t="n">
        <x:f>IFERROR(Z109/Y109,0)</x:f>
        <x:v>0</x:v>
      </x:c>
      <x:c r="AC109" s="26" t="str">
        <x:v>Committed / Not Delivered</x:v>
      </x:c>
      <x:c r="AD109" s="26" t="str">
        <x:v>Approval not recorded in response</x:v>
      </x:c>
      <x:c r="AE109" s="27" t="b">
        <x:v>1</x:v>
      </x:c>
      <x:c r="AF109" s="34" t="n">
        <x:v>46219.43892361111</x:v>
      </x:c>
      <x:c r="AG109" s="34"/>
      <x:c r="AH109" s="26" t="str">
        <x:v>Contribution API fields only; original project JSON needed for line-item names/centres/category</x:v>
      </x:c>
      <x:c r="AI109" s="26" t="str"/>
      <x:c r="AJ109" s="26" t="str">
        <x:v>Not Started</x:v>
      </x:c>
      <x:c r="AK109" s="26" t="str"/>
      <x:c r="AL109" s="26" t="str"/>
    </x:row>
    <x:row r="110">
      <x:c r="A110" s="26" t="n">
        <x:v>107</x:v>
      </x:c>
      <x:c r="B110" s="26" t="n">
        <x:v>186</x:v>
      </x:c>
      <x:c r="C110" s="26" t="str">
        <x:v>Kumuram Bheem Asifabad</x:v>
      </x:c>
      <x:c r="D110" s="26" t="str">
        <x:v>Telangana</x:v>
      </x:c>
      <x:c r="E110" s="26" t="n">
        <x:v>10282</x:v>
      </x:c>
      <x:c r="F110" s="26" t="str">
        <x:v>PRJ-2026-0010282</x:v>
      </x:c>
      <x:c r="G110" s="26" t="str">
        <x:v>Water filter, gas stove, ECCE metirial </x:v>
      </x:c>
      <x:c r="H110" s="26" t="str">
        <x:v>Mission Saksham Anganwadi &amp; POSHAN 2.0</x:v>
      </x:c>
      <x:c r="I110" s="32" t="n">
        <x:v>46164</x:v>
      </x:c>
      <x:c r="J110" s="32" t="n">
        <x:v>46265</x:v>
      </x:c>
      <x:c r="K110" s="32"/>
      <x:c r="L110" s="26" t="str">
        <x:v>Active: On/After 01-Aug-2026</x:v>
      </x:c>
      <x:c r="M110" s="26" t="str">
        <x:v>Pending Mapping</x:v>
      </x:c>
      <x:c r="N110" s="26" t="str">
        <x:v>Original project JSON not available</x:v>
      </x:c>
      <x:c r="O110" s="26"/>
      <x:c r="P110" s="26" t="str"/>
      <x:c r="Q110" s="26" t="str"/>
      <x:c r="R110" s="26"/>
      <x:c r="S110" s="36"/>
      <x:c r="T110" s="26"/>
      <x:c r="U110" s="26"/>
      <x:c r="V110" s="26"/>
      <x:c r="W110" s="26" t="n">
        <x:v>2</x:v>
      </x:c>
      <x:c r="X110" s="26" t="n">
        <x:v>0</x:v>
      </x:c>
      <x:c r="Y110" s="26" t="n">
        <x:f>SUMIF('Activity Detail'!$E$4:$E$706,F110,'Activity Detail'!$L$4:$L$706)</x:f>
        <x:v>2</x:v>
      </x:c>
      <x:c r="Z110" s="26" t="n">
        <x:f>SUMIF('Activity Detail'!$E$4:$E$706,F110,'Activity Detail'!$N$4:$N$706)</x:f>
        <x:v>0</x:v>
      </x:c>
      <x:c r="AA110" s="26" t="n">
        <x:f>MAX(Y110-Z110,0)</x:f>
        <x:v>2</x:v>
      </x:c>
      <x:c r="AB110" s="38" t="n">
        <x:f>IFERROR(Z110/Y110,0)</x:f>
        <x:v>0</x:v>
      </x:c>
      <x:c r="AC110" s="26" t="str">
        <x:v>Committed / Not Delivered</x:v>
      </x:c>
      <x:c r="AD110" s="26" t="str">
        <x:v>Approval not recorded in response</x:v>
      </x:c>
      <x:c r="AE110" s="27" t="b">
        <x:v>1</x:v>
      </x:c>
      <x:c r="AF110" s="34" t="n">
        <x:v>46219.43891203704</x:v>
      </x:c>
      <x:c r="AG110" s="34"/>
      <x:c r="AH110" s="26" t="str">
        <x:v>Contribution API fields only; original project JSON needed for line-item names/centres/category</x:v>
      </x:c>
      <x:c r="AI110" s="26" t="str"/>
      <x:c r="AJ110" s="26" t="str">
        <x:v>Not Started</x:v>
      </x:c>
      <x:c r="AK110" s="26" t="str"/>
      <x:c r="AL110" s="26" t="str"/>
    </x:row>
    <x:row r="111">
      <x:c r="A111" s="26" t="n">
        <x:v>108</x:v>
      </x:c>
      <x:c r="B111" s="26" t="n">
        <x:v>131</x:v>
      </x:c>
      <x:c r="C111" s="26" t="str">
        <x:v>Kumuram Bheem Asifabad</x:v>
      </x:c>
      <x:c r="D111" s="26" t="str">
        <x:v>Telangana</x:v>
      </x:c>
      <x:c r="E111" s="26" t="n">
        <x:v>10279</x:v>
      </x:c>
      <x:c r="F111" s="26" t="str">
        <x:v>PRJ-2026-0010279</x:v>
      </x:c>
      <x:c r="G111" s="26" t="str">
        <x:v>Rain Water Harvesting System : Water Filter Kitchen Construction : Poshan Vatika  kitchen Shelves : Gas stove, regulator : Solar Panel : Civil Repair : Toilet</x:v>
      </x:c>
      <x:c r="H111" s="26" t="str">
        <x:v>Mission Saksham Anganwadi &amp; POSHAN 2.0</x:v>
      </x:c>
      <x:c r="I111" s="32" t="n">
        <x:v>46164</x:v>
      </x:c>
      <x:c r="J111" s="32" t="n">
        <x:v>46255</x:v>
      </x:c>
      <x:c r="K111" s="32"/>
      <x:c r="L111" s="26" t="str">
        <x:v>Active: On/After 01-Aug-2026</x:v>
      </x:c>
      <x:c r="M111" s="26" t="str">
        <x:v>Pending Mapping</x:v>
      </x:c>
      <x:c r="N111" s="26" t="str">
        <x:v>Original project JSON not available</x:v>
      </x:c>
      <x:c r="O111" s="26"/>
      <x:c r="P111" s="26" t="str"/>
      <x:c r="Q111" s="26" t="str"/>
      <x:c r="R111" s="26"/>
      <x:c r="S111" s="36"/>
      <x:c r="T111" s="26"/>
      <x:c r="U111" s="26"/>
      <x:c r="V111" s="26"/>
      <x:c r="W111" s="26" t="n">
        <x:v>1</x:v>
      </x:c>
      <x:c r="X111" s="26" t="n">
        <x:v>0</x:v>
      </x:c>
      <x:c r="Y111" s="26" t="n">
        <x:f>SUMIF('Activity Detail'!$E$4:$E$706,F111,'Activity Detail'!$L$4:$L$706)</x:f>
        <x:v>1</x:v>
      </x:c>
      <x:c r="Z111" s="26" t="n">
        <x:f>SUMIF('Activity Detail'!$E$4:$E$706,F111,'Activity Detail'!$N$4:$N$706)</x:f>
        <x:v>0</x:v>
      </x:c>
      <x:c r="AA111" s="26" t="n">
        <x:f>MAX(Y111-Z111,0)</x:f>
        <x:v>1</x:v>
      </x:c>
      <x:c r="AB111" s="38" t="n">
        <x:f>IFERROR(Z111/Y111,0)</x:f>
        <x:v>0</x:v>
      </x:c>
      <x:c r="AC111" s="26" t="str">
        <x:v>Committed / Not Delivered</x:v>
      </x:c>
      <x:c r="AD111" s="26" t="str">
        <x:v>Approval not recorded in response</x:v>
      </x:c>
      <x:c r="AE111" s="27" t="b">
        <x:v>1</x:v>
      </x:c>
      <x:c r="AF111" s="34" t="n">
        <x:v>46219.42805555555</x:v>
      </x:c>
      <x:c r="AG111" s="34"/>
      <x:c r="AH111" s="26" t="str">
        <x:v>Contribution API fields only; original project JSON needed for line-item names/centres/category</x:v>
      </x:c>
      <x:c r="AI111" s="26" t="str"/>
      <x:c r="AJ111" s="26" t="str">
        <x:v>Not Started</x:v>
      </x:c>
      <x:c r="AK111" s="26" t="str"/>
      <x:c r="AL111" s="26" t="str"/>
    </x:row>
    <x:row r="112">
      <x:c r="A112" s="26" t="n">
        <x:v>109</x:v>
      </x:c>
      <x:c r="B112" s="26" t="n">
        <x:v>133</x:v>
      </x:c>
      <x:c r="C112" s="26" t="str">
        <x:v>Kumuram Bheem Asifabad</x:v>
      </x:c>
      <x:c r="D112" s="26" t="str">
        <x:v>Telangana</x:v>
      </x:c>
      <x:c r="E112" s="26" t="n">
        <x:v>83</x:v>
      </x:c>
      <x:c r="F112" s="26" t="str">
        <x:v>PRJ-2026-0000083</x:v>
      </x:c>
      <x:c r="G112" s="26" t="str">
        <x:v>Requirement of Water Filter, ECCE, GMD</x:v>
      </x:c>
      <x:c r="H112" s="26" t="str">
        <x:v>Mission Saksham Anganwadi &amp; POSHAN 2.0</x:v>
      </x:c>
      <x:c r="I112" s="32" t="n">
        <x:v>46163</x:v>
      </x:c>
      <x:c r="J112" s="32" t="n">
        <x:v>46316</x:v>
      </x:c>
      <x:c r="K112" s="32"/>
      <x:c r="L112" s="26" t="str">
        <x:v>Active: On/After 01-Aug-2026</x:v>
      </x:c>
      <x:c r="M112" s="26" t="str">
        <x:v>Pending Mapping</x:v>
      </x:c>
      <x:c r="N112" s="26" t="str">
        <x:v>Original project JSON not available</x:v>
      </x:c>
      <x:c r="O112" s="26"/>
      <x:c r="P112" s="26" t="str"/>
      <x:c r="Q112" s="26" t="str"/>
      <x:c r="R112" s="26"/>
      <x:c r="S112" s="36"/>
      <x:c r="T112" s="26"/>
      <x:c r="U112" s="26"/>
      <x:c r="V112" s="26"/>
      <x:c r="W112" s="26" t="n">
        <x:v>2</x:v>
      </x:c>
      <x:c r="X112" s="26" t="n">
        <x:v>0</x:v>
      </x:c>
      <x:c r="Y112" s="26" t="n">
        <x:f>SUMIF('Activity Detail'!$E$4:$E$706,F112,'Activity Detail'!$L$4:$L$706)</x:f>
        <x:v>3</x:v>
      </x:c>
      <x:c r="Z112" s="26" t="n">
        <x:f>SUMIF('Activity Detail'!$E$4:$E$706,F112,'Activity Detail'!$N$4:$N$706)</x:f>
        <x:v>0</x:v>
      </x:c>
      <x:c r="AA112" s="26" t="n">
        <x:f>MAX(Y112-Z112,0)</x:f>
        <x:v>3</x:v>
      </x:c>
      <x:c r="AB112" s="38" t="n">
        <x:f>IFERROR(Z112/Y112,0)</x:f>
        <x:v>0</x:v>
      </x:c>
      <x:c r="AC112" s="26" t="str">
        <x:v>Committed / Not Delivered</x:v>
      </x:c>
      <x:c r="AD112" s="26" t="str">
        <x:v>Approval not recorded in response</x:v>
      </x:c>
      <x:c r="AE112" s="27" t="b">
        <x:v>1</x:v>
      </x:c>
      <x:c r="AF112" s="34" t="n">
        <x:v>46219.41050925926</x:v>
      </x:c>
      <x:c r="AG112" s="34"/>
      <x:c r="AH112" s="26" t="str">
        <x:v>Contribution API fields only; original project JSON needed for line-item names/centres/category</x:v>
      </x:c>
      <x:c r="AI112" s="26" t="str"/>
      <x:c r="AJ112" s="26" t="str">
        <x:v>Not Started</x:v>
      </x:c>
      <x:c r="AK112" s="26" t="str"/>
      <x:c r="AL112" s="26" t="str"/>
    </x:row>
    <x:row r="113">
      <x:c r="A113" s="26" t="n">
        <x:v>110</x:v>
      </x:c>
      <x:c r="B113" s="26" t="n">
        <x:v>140</x:v>
      </x:c>
      <x:c r="C113" s="26" t="str">
        <x:v>Kumuram Bheem Asifabad</x:v>
      </x:c>
      <x:c r="D113" s="26" t="str">
        <x:v>Telangana</x:v>
      </x:c>
      <x:c r="E113" s="26" t="n">
        <x:v>1228</x:v>
      </x:c>
      <x:c r="F113" s="26" t="str">
        <x:v>PRJ-2026-0001228</x:v>
      </x:c>
      <x:c r="G113" s="26" t="str">
        <x:v>Materials (Games, Toys, Balls)  </x:v>
      </x:c>
      <x:c r="H113" s="26" t="str">
        <x:v>Mission Saksham Anganwadi &amp; POSHAN 2.0</x:v>
      </x:c>
      <x:c r="I113" s="32" t="n">
        <x:v>46163</x:v>
      </x:c>
      <x:c r="J113" s="32" t="n">
        <x:v>46316</x:v>
      </x:c>
      <x:c r="K113" s="32"/>
      <x:c r="L113" s="26" t="str">
        <x:v>Active: On/After 01-Aug-2026</x:v>
      </x:c>
      <x:c r="M113" s="26" t="str">
        <x:v>Pending Mapping</x:v>
      </x:c>
      <x:c r="N113" s="26" t="str">
        <x:v>Original project JSON not available</x:v>
      </x:c>
      <x:c r="O113" s="26"/>
      <x:c r="P113" s="26" t="str"/>
      <x:c r="Q113" s="26" t="str"/>
      <x:c r="R113" s="26"/>
      <x:c r="S113" s="36"/>
      <x:c r="T113" s="26"/>
      <x:c r="U113" s="26"/>
      <x:c r="V113" s="26"/>
      <x:c r="W113" s="26" t="n">
        <x:v>3</x:v>
      </x:c>
      <x:c r="X113" s="26" t="n">
        <x:v>0</x:v>
      </x:c>
      <x:c r="Y113" s="26" t="n">
        <x:f>SUMIF('Activity Detail'!$E$4:$E$706,F113,'Activity Detail'!$L$4:$L$706)</x:f>
        <x:v>25</x:v>
      </x:c>
      <x:c r="Z113" s="26" t="n">
        <x:f>SUMIF('Activity Detail'!$E$4:$E$706,F113,'Activity Detail'!$N$4:$N$706)</x:f>
        <x:v>0</x:v>
      </x:c>
      <x:c r="AA113" s="26" t="n">
        <x:f>MAX(Y113-Z113,0)</x:f>
        <x:v>25</x:v>
      </x:c>
      <x:c r="AB113" s="38" t="n">
        <x:f>IFERROR(Z113/Y113,0)</x:f>
        <x:v>0</x:v>
      </x:c>
      <x:c r="AC113" s="26" t="str">
        <x:v>Committed / Not Delivered</x:v>
      </x:c>
      <x:c r="AD113" s="26" t="str">
        <x:v>Approval not recorded in response</x:v>
      </x:c>
      <x:c r="AE113" s="27" t="b">
        <x:v>1</x:v>
      </x:c>
      <x:c r="AF113" s="34" t="n">
        <x:v>46219.41050925926</x:v>
      </x:c>
      <x:c r="AG113" s="34"/>
      <x:c r="AH113" s="26" t="str">
        <x:v>Contribution API fields only; original project JSON needed for line-item names/centres/category</x:v>
      </x:c>
      <x:c r="AI113" s="26" t="str"/>
      <x:c r="AJ113" s="26" t="str">
        <x:v>Not Started</x:v>
      </x:c>
      <x:c r="AK113" s="26" t="str"/>
      <x:c r="AL113" s="26" t="str"/>
    </x:row>
    <x:row r="114">
      <x:c r="A114" s="26" t="n">
        <x:v>111</x:v>
      </x:c>
      <x:c r="B114" s="26" t="n">
        <x:v>141</x:v>
      </x:c>
      <x:c r="C114" s="26" t="str">
        <x:v>Kumuram Bheem Asifabad</x:v>
      </x:c>
      <x:c r="D114" s="26" t="str">
        <x:v>Telangana</x:v>
      </x:c>
      <x:c r="E114" s="26" t="n">
        <x:v>1273</x:v>
      </x:c>
      <x:c r="F114" s="26" t="str">
        <x:v>PRJ-2026-0001273</x:v>
      </x:c>
      <x:c r="G114" s="26" t="str">
        <x:v>Materials (Games, Toys, Balls)  </x:v>
      </x:c>
      <x:c r="H114" s="26" t="str">
        <x:v>Mission Saksham Anganwadi &amp; POSHAN 2.0</x:v>
      </x:c>
      <x:c r="I114" s="32" t="n">
        <x:v>46163</x:v>
      </x:c>
      <x:c r="J114" s="32" t="n">
        <x:v>46316</x:v>
      </x:c>
      <x:c r="K114" s="32"/>
      <x:c r="L114" s="26" t="str">
        <x:v>Active: On/After 01-Aug-2026</x:v>
      </x:c>
      <x:c r="M114" s="26" t="str">
        <x:v>Pending Mapping</x:v>
      </x:c>
      <x:c r="N114" s="26" t="str">
        <x:v>Original project JSON not available</x:v>
      </x:c>
      <x:c r="O114" s="26"/>
      <x:c r="P114" s="26" t="str"/>
      <x:c r="Q114" s="26" t="str"/>
      <x:c r="R114" s="26"/>
      <x:c r="S114" s="36"/>
      <x:c r="T114" s="26"/>
      <x:c r="U114" s="26"/>
      <x:c r="V114" s="26"/>
      <x:c r="W114" s="26" t="n">
        <x:v>3</x:v>
      </x:c>
      <x:c r="X114" s="26" t="n">
        <x:v>0</x:v>
      </x:c>
      <x:c r="Y114" s="26" t="n">
        <x:f>SUMIF('Activity Detail'!$E$4:$E$706,F114,'Activity Detail'!$L$4:$L$706)</x:f>
        <x:v>45</x:v>
      </x:c>
      <x:c r="Z114" s="26" t="n">
        <x:f>SUMIF('Activity Detail'!$E$4:$E$706,F114,'Activity Detail'!$N$4:$N$706)</x:f>
        <x:v>0</x:v>
      </x:c>
      <x:c r="AA114" s="26" t="n">
        <x:f>MAX(Y114-Z114,0)</x:f>
        <x:v>45</x:v>
      </x:c>
      <x:c r="AB114" s="38" t="n">
        <x:f>IFERROR(Z114/Y114,0)</x:f>
        <x:v>0</x:v>
      </x:c>
      <x:c r="AC114" s="26" t="str">
        <x:v>Committed / Not Delivered</x:v>
      </x:c>
      <x:c r="AD114" s="26" t="str">
        <x:v>Approval not recorded in response</x:v>
      </x:c>
      <x:c r="AE114" s="27" t="b">
        <x:v>1</x:v>
      </x:c>
      <x:c r="AF114" s="34" t="n">
        <x:v>46219.41049768519</x:v>
      </x:c>
      <x:c r="AG114" s="34"/>
      <x:c r="AH114" s="26" t="str">
        <x:v>Contribution API fields only; original project JSON needed for line-item names/centres/category</x:v>
      </x:c>
      <x:c r="AI114" s="26" t="str"/>
      <x:c r="AJ114" s="26" t="str">
        <x:v>Not Started</x:v>
      </x:c>
      <x:c r="AK114" s="26" t="str"/>
      <x:c r="AL114" s="26" t="str"/>
    </x:row>
    <x:row r="115">
      <x:c r="A115" s="26" t="n">
        <x:v>112</x:v>
      </x:c>
      <x:c r="B115" s="26" t="n">
        <x:v>142</x:v>
      </x:c>
      <x:c r="C115" s="26" t="str">
        <x:v>Kumuram Bheem Asifabad</x:v>
      </x:c>
      <x:c r="D115" s="26" t="str">
        <x:v>Telangana</x:v>
      </x:c>
      <x:c r="E115" s="26" t="n">
        <x:v>1962</x:v>
      </x:c>
      <x:c r="F115" s="26" t="str">
        <x:v>PRJ-2026-0001962</x:v>
      </x:c>
      <x:c r="G115" s="26" t="str">
        <x:v>requirement of anganwadi fecilitices</x:v>
      </x:c>
      <x:c r="H115" s="26" t="str">
        <x:v>Mission Saksham Anganwadi &amp; POSHAN 2.0</x:v>
      </x:c>
      <x:c r="I115" s="32" t="n">
        <x:v>46163</x:v>
      </x:c>
      <x:c r="J115" s="32" t="n">
        <x:v>46347</x:v>
      </x:c>
      <x:c r="K115" s="32"/>
      <x:c r="L115" s="26" t="str">
        <x:v>Active: On/After 01-Aug-2026</x:v>
      </x:c>
      <x:c r="M115" s="26" t="str">
        <x:v>Pending Mapping</x:v>
      </x:c>
      <x:c r="N115" s="26" t="str">
        <x:v>Original project JSON not available</x:v>
      </x:c>
      <x:c r="O115" s="26"/>
      <x:c r="P115" s="26" t="str"/>
      <x:c r="Q115" s="26" t="str"/>
      <x:c r="R115" s="26"/>
      <x:c r="S115" s="36"/>
      <x:c r="T115" s="26"/>
      <x:c r="U115" s="26"/>
      <x:c r="V115" s="26"/>
      <x:c r="W115" s="26" t="n">
        <x:v>1</x:v>
      </x:c>
      <x:c r="X115" s="26" t="n">
        <x:v>0</x:v>
      </x:c>
      <x:c r="Y115" s="26" t="n">
        <x:f>SUMIF('Activity Detail'!$E$4:$E$706,F115,'Activity Detail'!$L$4:$L$706)</x:f>
        <x:v>1</x:v>
      </x:c>
      <x:c r="Z115" s="26" t="n">
        <x:f>SUMIF('Activity Detail'!$E$4:$E$706,F115,'Activity Detail'!$N$4:$N$706)</x:f>
        <x:v>0</x:v>
      </x:c>
      <x:c r="AA115" s="26" t="n">
        <x:f>MAX(Y115-Z115,0)</x:f>
        <x:v>1</x:v>
      </x:c>
      <x:c r="AB115" s="38" t="n">
        <x:f>IFERROR(Z115/Y115,0)</x:f>
        <x:v>0</x:v>
      </x:c>
      <x:c r="AC115" s="26" t="str">
        <x:v>Committed / Not Delivered</x:v>
      </x:c>
      <x:c r="AD115" s="26" t="str">
        <x:v>Approval not recorded in response</x:v>
      </x:c>
      <x:c r="AE115" s="27" t="b">
        <x:v>1</x:v>
      </x:c>
      <x:c r="AF115" s="34" t="n">
        <x:v>46219.41048611111</x:v>
      </x:c>
      <x:c r="AG115" s="34"/>
      <x:c r="AH115" s="26" t="str">
        <x:v>Contribution API fields only; original project JSON needed for line-item names/centres/category</x:v>
      </x:c>
      <x:c r="AI115" s="26" t="str"/>
      <x:c r="AJ115" s="26" t="str">
        <x:v>Not Started</x:v>
      </x:c>
      <x:c r="AK115" s="26" t="str"/>
      <x:c r="AL115" s="26" t="str"/>
    </x:row>
    <x:row r="116">
      <x:c r="A116" s="26" t="n">
        <x:v>113</x:v>
      </x:c>
      <x:c r="B116" s="26" t="n">
        <x:v>143</x:v>
      </x:c>
      <x:c r="C116" s="26" t="str">
        <x:v>Kumuram Bheem Asifabad</x:v>
      </x:c>
      <x:c r="D116" s="26" t="str">
        <x:v>Telangana</x:v>
      </x:c>
      <x:c r="E116" s="26" t="n">
        <x:v>2002</x:v>
      </x:c>
      <x:c r="F116" s="26" t="str">
        <x:v>PRJ-2026-0002002</x:v>
      </x:c>
      <x:c r="G116" s="26" t="str">
        <x:v>requirement of anganwadi facilities</x:v>
      </x:c>
      <x:c r="H116" s="26" t="str">
        <x:v>Mission Saksham Anganwadi &amp; POSHAN 2.0</x:v>
      </x:c>
      <x:c r="I116" s="32" t="n">
        <x:v>46163</x:v>
      </x:c>
      <x:c r="J116" s="32" t="n">
        <x:v>46316</x:v>
      </x:c>
      <x:c r="K116" s="32"/>
      <x:c r="L116" s="26" t="str">
        <x:v>Active: On/After 01-Aug-2026</x:v>
      </x:c>
      <x:c r="M116" s="26" t="str">
        <x:v>Pending Mapping</x:v>
      </x:c>
      <x:c r="N116" s="26" t="str">
        <x:v>Original project JSON not available</x:v>
      </x:c>
      <x:c r="O116" s="26"/>
      <x:c r="P116" s="26" t="str"/>
      <x:c r="Q116" s="26" t="str"/>
      <x:c r="R116" s="26"/>
      <x:c r="S116" s="36"/>
      <x:c r="T116" s="26"/>
      <x:c r="U116" s="26"/>
      <x:c r="V116" s="26"/>
      <x:c r="W116" s="26" t="n">
        <x:v>1</x:v>
      </x:c>
      <x:c r="X116" s="26" t="n">
        <x:v>0</x:v>
      </x:c>
      <x:c r="Y116" s="26" t="n">
        <x:f>SUMIF('Activity Detail'!$E$4:$E$706,F116,'Activity Detail'!$L$4:$L$706)</x:f>
        <x:v>1</x:v>
      </x:c>
      <x:c r="Z116" s="26" t="n">
        <x:f>SUMIF('Activity Detail'!$E$4:$E$706,F116,'Activity Detail'!$N$4:$N$706)</x:f>
        <x:v>0</x:v>
      </x:c>
      <x:c r="AA116" s="26" t="n">
        <x:f>MAX(Y116-Z116,0)</x:f>
        <x:v>1</x:v>
      </x:c>
      <x:c r="AB116" s="38" t="n">
        <x:f>IFERROR(Z116/Y116,0)</x:f>
        <x:v>0</x:v>
      </x:c>
      <x:c r="AC116" s="26" t="str">
        <x:v>Committed / Not Delivered</x:v>
      </x:c>
      <x:c r="AD116" s="26" t="str">
        <x:v>Approval not recorded in response</x:v>
      </x:c>
      <x:c r="AE116" s="27" t="b">
        <x:v>1</x:v>
      </x:c>
      <x:c r="AF116" s="34" t="n">
        <x:v>46219.410474537035</x:v>
      </x:c>
      <x:c r="AG116" s="34"/>
      <x:c r="AH116" s="26" t="str">
        <x:v>Contribution API fields only; original project JSON needed for line-item names/centres/category</x:v>
      </x:c>
      <x:c r="AI116" s="26" t="str"/>
      <x:c r="AJ116" s="26" t="str">
        <x:v>Not Started</x:v>
      </x:c>
      <x:c r="AK116" s="26" t="str"/>
      <x:c r="AL116" s="26" t="str"/>
    </x:row>
    <x:row r="117">
      <x:c r="A117" s="26" t="n">
        <x:v>114</x:v>
      </x:c>
      <x:c r="B117" s="26" t="n">
        <x:v>145</x:v>
      </x:c>
      <x:c r="C117" s="26" t="str">
        <x:v>Kumuram Bheem Asifabad</x:v>
      </x:c>
      <x:c r="D117" s="26" t="str">
        <x:v>Telangana</x:v>
      </x:c>
      <x:c r="E117" s="26" t="n">
        <x:v>2310</x:v>
      </x:c>
      <x:c r="F117" s="26" t="str">
        <x:v>PRJ-2026-0002310</x:v>
      </x:c>
      <x:c r="G117" s="26" t="str">
        <x:v>Materials (Gardening Equipment, Seeds, Other resources)  </x:v>
      </x:c>
      <x:c r="H117" s="26" t="str">
        <x:v>Mission Saksham Anganwadi &amp; POSHAN 2.0</x:v>
      </x:c>
      <x:c r="I117" s="32" t="n">
        <x:v>46163</x:v>
      </x:c>
      <x:c r="J117" s="32" t="n">
        <x:v>46316</x:v>
      </x:c>
      <x:c r="K117" s="32"/>
      <x:c r="L117" s="26" t="str">
        <x:v>Active: On/After 01-Aug-2026</x:v>
      </x:c>
      <x:c r="M117" s="26" t="str">
        <x:v>Pending Mapping</x:v>
      </x:c>
      <x:c r="N117" s="26" t="str">
        <x:v>Original project JSON not available</x:v>
      </x:c>
      <x:c r="O117" s="26"/>
      <x:c r="P117" s="26" t="str"/>
      <x:c r="Q117" s="26" t="str"/>
      <x:c r="R117" s="26"/>
      <x:c r="S117" s="36"/>
      <x:c r="T117" s="26"/>
      <x:c r="U117" s="26"/>
      <x:c r="V117" s="26"/>
      <x:c r="W117" s="26" t="n">
        <x:v>3</x:v>
      </x:c>
      <x:c r="X117" s="26" t="n">
        <x:v>0</x:v>
      </x:c>
      <x:c r="Y117" s="26" t="n">
        <x:f>SUMIF('Activity Detail'!$E$4:$E$706,F117,'Activity Detail'!$L$4:$L$706)</x:f>
        <x:v>21</x:v>
      </x:c>
      <x:c r="Z117" s="26" t="n">
        <x:f>SUMIF('Activity Detail'!$E$4:$E$706,F117,'Activity Detail'!$N$4:$N$706)</x:f>
        <x:v>0</x:v>
      </x:c>
      <x:c r="AA117" s="26" t="n">
        <x:f>MAX(Y117-Z117,0)</x:f>
        <x:v>21</x:v>
      </x:c>
      <x:c r="AB117" s="38" t="n">
        <x:f>IFERROR(Z117/Y117,0)</x:f>
        <x:v>0</x:v>
      </x:c>
      <x:c r="AC117" s="26" t="str">
        <x:v>Committed / Not Delivered</x:v>
      </x:c>
      <x:c r="AD117" s="26" t="str">
        <x:v>Approval not recorded in response</x:v>
      </x:c>
      <x:c r="AE117" s="27" t="b">
        <x:v>1</x:v>
      </x:c>
      <x:c r="AF117" s="34" t="n">
        <x:v>46219.410474537035</x:v>
      </x:c>
      <x:c r="AG117" s="34"/>
      <x:c r="AH117" s="26" t="str">
        <x:v>Contribution API fields only; original project JSON needed for line-item names/centres/category</x:v>
      </x:c>
      <x:c r="AI117" s="26" t="str"/>
      <x:c r="AJ117" s="26" t="str">
        <x:v>Not Started</x:v>
      </x:c>
      <x:c r="AK117" s="26" t="str"/>
      <x:c r="AL117" s="26" t="str"/>
    </x:row>
    <x:row r="118">
      <x:c r="A118" s="26" t="n">
        <x:v>115</x:v>
      </x:c>
      <x:c r="B118" s="26" t="n">
        <x:v>146</x:v>
      </x:c>
      <x:c r="C118" s="26" t="str">
        <x:v>Kumuram Bheem Asifabad</x:v>
      </x:c>
      <x:c r="D118" s="26" t="str">
        <x:v>Telangana</x:v>
      </x:c>
      <x:c r="E118" s="26" t="n">
        <x:v>2380</x:v>
      </x:c>
      <x:c r="F118" s="26" t="str">
        <x:v>PRJ-2026-0002380</x:v>
      </x:c>
      <x:c r="G118" s="26" t="str">
        <x:v>requirement of anganwadi facilities</x:v>
      </x:c>
      <x:c r="H118" s="26" t="str">
        <x:v>Mission Saksham Anganwadi &amp; POSHAN 2.0</x:v>
      </x:c>
      <x:c r="I118" s="32" t="n">
        <x:v>46163</x:v>
      </x:c>
      <x:c r="J118" s="32" t="n">
        <x:v>46316</x:v>
      </x:c>
      <x:c r="K118" s="32"/>
      <x:c r="L118" s="26" t="str">
        <x:v>Active: On/After 01-Aug-2026</x:v>
      </x:c>
      <x:c r="M118" s="26" t="str">
        <x:v>Pending Mapping</x:v>
      </x:c>
      <x:c r="N118" s="26" t="str">
        <x:v>Original project JSON not available</x:v>
      </x:c>
      <x:c r="O118" s="26"/>
      <x:c r="P118" s="26" t="str"/>
      <x:c r="Q118" s="26" t="str"/>
      <x:c r="R118" s="26"/>
      <x:c r="S118" s="36"/>
      <x:c r="T118" s="26"/>
      <x:c r="U118" s="26"/>
      <x:c r="V118" s="26"/>
      <x:c r="W118" s="26" t="n">
        <x:v>2</x:v>
      </x:c>
      <x:c r="X118" s="26" t="n">
        <x:v>0</x:v>
      </x:c>
      <x:c r="Y118" s="26" t="n">
        <x:f>SUMIF('Activity Detail'!$E$4:$E$706,F118,'Activity Detail'!$L$4:$L$706)</x:f>
        <x:v>20</x:v>
      </x:c>
      <x:c r="Z118" s="26" t="n">
        <x:f>SUMIF('Activity Detail'!$E$4:$E$706,F118,'Activity Detail'!$N$4:$N$706)</x:f>
        <x:v>0</x:v>
      </x:c>
      <x:c r="AA118" s="26" t="n">
        <x:f>MAX(Y118-Z118,0)</x:f>
        <x:v>20</x:v>
      </x:c>
      <x:c r="AB118" s="38" t="n">
        <x:f>IFERROR(Z118/Y118,0)</x:f>
        <x:v>0</x:v>
      </x:c>
      <x:c r="AC118" s="26" t="str">
        <x:v>Committed / Not Delivered</x:v>
      </x:c>
      <x:c r="AD118" s="26" t="str">
        <x:v>Approval not recorded in response</x:v>
      </x:c>
      <x:c r="AE118" s="27" t="b">
        <x:v>1</x:v>
      </x:c>
      <x:c r="AF118" s="34" t="n">
        <x:v>46219.410462962966</x:v>
      </x:c>
      <x:c r="AG118" s="34"/>
      <x:c r="AH118" s="26" t="str">
        <x:v>Contribution API fields only; original project JSON needed for line-item names/centres/category</x:v>
      </x:c>
      <x:c r="AI118" s="26" t="str"/>
      <x:c r="AJ118" s="26" t="str">
        <x:v>Not Started</x:v>
      </x:c>
      <x:c r="AK118" s="26" t="str"/>
      <x:c r="AL118" s="26" t="str"/>
    </x:row>
    <x:row r="119">
      <x:c r="A119" s="26" t="n">
        <x:v>116</x:v>
      </x:c>
      <x:c r="B119" s="26" t="n">
        <x:v>147</x:v>
      </x:c>
      <x:c r="C119" s="26" t="str">
        <x:v>Kumuram Bheem Asifabad</x:v>
      </x:c>
      <x:c r="D119" s="26" t="str">
        <x:v>Telangana</x:v>
      </x:c>
      <x:c r="E119" s="26" t="n">
        <x:v>2431</x:v>
      </x:c>
      <x:c r="F119" s="26" t="str">
        <x:v>PRJ-2026-0002431</x:v>
      </x:c>
      <x:c r="G119" s="26" t="str">
        <x:v>requirement of anganwadi  facilties</x:v>
      </x:c>
      <x:c r="H119" s="26" t="str">
        <x:v>Mission Saksham Anganwadi &amp; POSHAN 2.0</x:v>
      </x:c>
      <x:c r="I119" s="32" t="n">
        <x:v>46163</x:v>
      </x:c>
      <x:c r="J119" s="32" t="n">
        <x:v>46316</x:v>
      </x:c>
      <x:c r="K119" s="32"/>
      <x:c r="L119" s="26" t="str">
        <x:v>Active: On/After 01-Aug-2026</x:v>
      </x:c>
      <x:c r="M119" s="26" t="str">
        <x:v>Pending Mapping</x:v>
      </x:c>
      <x:c r="N119" s="26" t="str">
        <x:v>Original project JSON not available</x:v>
      </x:c>
      <x:c r="O119" s="26"/>
      <x:c r="P119" s="26" t="str"/>
      <x:c r="Q119" s="26" t="str"/>
      <x:c r="R119" s="26"/>
      <x:c r="S119" s="36"/>
      <x:c r="T119" s="26"/>
      <x:c r="U119" s="26"/>
      <x:c r="V119" s="26"/>
      <x:c r="W119" s="26" t="n">
        <x:v>1</x:v>
      </x:c>
      <x:c r="X119" s="26" t="n">
        <x:v>0</x:v>
      </x:c>
      <x:c r="Y119" s="26" t="n">
        <x:f>SUMIF('Activity Detail'!$E$4:$E$706,F119,'Activity Detail'!$L$4:$L$706)</x:f>
        <x:v>1</x:v>
      </x:c>
      <x:c r="Z119" s="26" t="n">
        <x:f>SUMIF('Activity Detail'!$E$4:$E$706,F119,'Activity Detail'!$N$4:$N$706)</x:f>
        <x:v>0</x:v>
      </x:c>
      <x:c r="AA119" s="26" t="n">
        <x:f>MAX(Y119-Z119,0)</x:f>
        <x:v>1</x:v>
      </x:c>
      <x:c r="AB119" s="38" t="n">
        <x:f>IFERROR(Z119/Y119,0)</x:f>
        <x:v>0</x:v>
      </x:c>
      <x:c r="AC119" s="26" t="str">
        <x:v>Committed / Not Delivered</x:v>
      </x:c>
      <x:c r="AD119" s="26" t="str">
        <x:v>Approval not recorded in response</x:v>
      </x:c>
      <x:c r="AE119" s="27" t="b">
        <x:v>1</x:v>
      </x:c>
      <x:c r="AF119" s="34" t="n">
        <x:v>46219.41045138889</x:v>
      </x:c>
      <x:c r="AG119" s="34"/>
      <x:c r="AH119" s="26" t="str">
        <x:v>Contribution API fields only; original project JSON needed for line-item names/centres/category</x:v>
      </x:c>
      <x:c r="AI119" s="26" t="str"/>
      <x:c r="AJ119" s="26" t="str">
        <x:v>Not Started</x:v>
      </x:c>
      <x:c r="AK119" s="26" t="str"/>
      <x:c r="AL119" s="26" t="str"/>
    </x:row>
    <x:row r="120">
      <x:c r="A120" s="26" t="n">
        <x:v>117</x:v>
      </x:c>
      <x:c r="B120" s="26" t="n">
        <x:v>152</x:v>
      </x:c>
      <x:c r="C120" s="26" t="str">
        <x:v>Kumuram Bheem Asifabad</x:v>
      </x:c>
      <x:c r="D120" s="26" t="str">
        <x:v>Telangana</x:v>
      </x:c>
      <x:c r="E120" s="26" t="n">
        <x:v>3208</x:v>
      </x:c>
      <x:c r="F120" s="26" t="str">
        <x:v>PRJ-2026-0003208</x:v>
      </x:c>
      <x:c r="G120" s="26" t="str">
        <x:v>water filter</x:v>
      </x:c>
      <x:c r="H120" s="26" t="str">
        <x:v>Mission Saksham Anganwadi &amp; POSHAN 2.0</x:v>
      </x:c>
      <x:c r="I120" s="32" t="n">
        <x:v>46163</x:v>
      </x:c>
      <x:c r="J120" s="32" t="n">
        <x:v>46316</x:v>
      </x:c>
      <x:c r="K120" s="32"/>
      <x:c r="L120" s="26" t="str">
        <x:v>Active: On/After 01-Aug-2026</x:v>
      </x:c>
      <x:c r="M120" s="26" t="str">
        <x:v>Pending Mapping</x:v>
      </x:c>
      <x:c r="N120" s="26" t="str">
        <x:v>Original project JSON not available</x:v>
      </x:c>
      <x:c r="O120" s="26"/>
      <x:c r="P120" s="26" t="str"/>
      <x:c r="Q120" s="26" t="str"/>
      <x:c r="R120" s="26"/>
      <x:c r="S120" s="36"/>
      <x:c r="T120" s="26"/>
      <x:c r="U120" s="26"/>
      <x:c r="V120" s="26"/>
      <x:c r="W120" s="26" t="n">
        <x:v>1</x:v>
      </x:c>
      <x:c r="X120" s="26" t="n">
        <x:v>0</x:v>
      </x:c>
      <x:c r="Y120" s="26" t="n">
        <x:f>SUMIF('Activity Detail'!$E$4:$E$706,F120,'Activity Detail'!$L$4:$L$706)</x:f>
        <x:v>1</x:v>
      </x:c>
      <x:c r="Z120" s="26" t="n">
        <x:f>SUMIF('Activity Detail'!$E$4:$E$706,F120,'Activity Detail'!$N$4:$N$706)</x:f>
        <x:v>0</x:v>
      </x:c>
      <x:c r="AA120" s="26" t="n">
        <x:f>MAX(Y120-Z120,0)</x:f>
        <x:v>1</x:v>
      </x:c>
      <x:c r="AB120" s="38" t="n">
        <x:f>IFERROR(Z120/Y120,0)</x:f>
        <x:v>0</x:v>
      </x:c>
      <x:c r="AC120" s="26" t="str">
        <x:v>Committed / Not Delivered</x:v>
      </x:c>
      <x:c r="AD120" s="26" t="str">
        <x:v>Approval not recorded in response</x:v>
      </x:c>
      <x:c r="AE120" s="27" t="b">
        <x:v>1</x:v>
      </x:c>
      <x:c r="AF120" s="34" t="n">
        <x:v>46219.41045138889</x:v>
      </x:c>
      <x:c r="AG120" s="34"/>
      <x:c r="AH120" s="26" t="str">
        <x:v>Contribution API fields only; original project JSON needed for line-item names/centres/category</x:v>
      </x:c>
      <x:c r="AI120" s="26" t="str"/>
      <x:c r="AJ120" s="26" t="str">
        <x:v>Not Started</x:v>
      </x:c>
      <x:c r="AK120" s="26" t="str"/>
      <x:c r="AL120" s="26" t="str"/>
    </x:row>
    <x:row r="121">
      <x:c r="A121" s="26" t="n">
        <x:v>118</x:v>
      </x:c>
      <x:c r="B121" s="26" t="n">
        <x:v>153</x:v>
      </x:c>
      <x:c r="C121" s="26" t="str">
        <x:v>Kumuram Bheem Asifabad</x:v>
      </x:c>
      <x:c r="D121" s="26" t="str">
        <x:v>Telangana</x:v>
      </x:c>
      <x:c r="E121" s="26" t="n">
        <x:v>3245</x:v>
      </x:c>
      <x:c r="F121" s="26" t="str">
        <x:v>PRJ-2026-0003245</x:v>
      </x:c>
      <x:c r="G121" s="26" t="str">
        <x:v>water filter</x:v>
      </x:c>
      <x:c r="H121" s="26" t="str">
        <x:v>Mission Saksham Anganwadi &amp; POSHAN 2.0</x:v>
      </x:c>
      <x:c r="I121" s="32" t="n">
        <x:v>46163</x:v>
      </x:c>
      <x:c r="J121" s="32" t="n">
        <x:v>46316</x:v>
      </x:c>
      <x:c r="K121" s="32"/>
      <x:c r="L121" s="26" t="str">
        <x:v>Active: On/After 01-Aug-2026</x:v>
      </x:c>
      <x:c r="M121" s="26" t="str">
        <x:v>Pending Mapping</x:v>
      </x:c>
      <x:c r="N121" s="26" t="str">
        <x:v>Original project JSON not available</x:v>
      </x:c>
      <x:c r="O121" s="26"/>
      <x:c r="P121" s="26" t="str"/>
      <x:c r="Q121" s="26" t="str"/>
      <x:c r="R121" s="26"/>
      <x:c r="S121" s="36"/>
      <x:c r="T121" s="26"/>
      <x:c r="U121" s="26"/>
      <x:c r="V121" s="26"/>
      <x:c r="W121" s="26" t="n">
        <x:v>1</x:v>
      </x:c>
      <x:c r="X121" s="26" t="n">
        <x:v>0</x:v>
      </x:c>
      <x:c r="Y121" s="26" t="n">
        <x:f>SUMIF('Activity Detail'!$E$4:$E$706,F121,'Activity Detail'!$L$4:$L$706)</x:f>
        <x:v>1</x:v>
      </x:c>
      <x:c r="Z121" s="26" t="n">
        <x:f>SUMIF('Activity Detail'!$E$4:$E$706,F121,'Activity Detail'!$N$4:$N$706)</x:f>
        <x:v>0</x:v>
      </x:c>
      <x:c r="AA121" s="26" t="n">
        <x:f>MAX(Y121-Z121,0)</x:f>
        <x:v>1</x:v>
      </x:c>
      <x:c r="AB121" s="38" t="n">
        <x:f>IFERROR(Z121/Y121,0)</x:f>
        <x:v>0</x:v>
      </x:c>
      <x:c r="AC121" s="26" t="str">
        <x:v>Committed / Not Delivered</x:v>
      </x:c>
      <x:c r="AD121" s="26" t="str">
        <x:v>Approval not recorded in response</x:v>
      </x:c>
      <x:c r="AE121" s="27" t="b">
        <x:v>1</x:v>
      </x:c>
      <x:c r="AF121" s="34" t="n">
        <x:v>46219.41043981481</x:v>
      </x:c>
      <x:c r="AG121" s="34"/>
      <x:c r="AH121" s="26" t="str">
        <x:v>Contribution API fields only; original project JSON needed for line-item names/centres/category</x:v>
      </x:c>
      <x:c r="AI121" s="26" t="str"/>
      <x:c r="AJ121" s="26" t="str">
        <x:v>Not Started</x:v>
      </x:c>
      <x:c r="AK121" s="26" t="str"/>
      <x:c r="AL121" s="26" t="str"/>
    </x:row>
    <x:row r="122">
      <x:c r="A122" s="26" t="n">
        <x:v>119</x:v>
      </x:c>
      <x:c r="B122" s="26" t="n">
        <x:v>156</x:v>
      </x:c>
      <x:c r="C122" s="26" t="str">
        <x:v>Kumuram Bheem Asifabad</x:v>
      </x:c>
      <x:c r="D122" s="26" t="str">
        <x:v>Telangana</x:v>
      </x:c>
      <x:c r="E122" s="26" t="n">
        <x:v>3859</x:v>
      </x:c>
      <x:c r="F122" s="26" t="str">
        <x:v>PRJ-2026-0003859</x:v>
      </x:c>
      <x:c r="G122" s="26" t="str">
        <x:v>requirement of anganwadi facilities</x:v>
      </x:c>
      <x:c r="H122" s="26" t="str">
        <x:v>Mission Saksham Anganwadi &amp; POSHAN 2.0</x:v>
      </x:c>
      <x:c r="I122" s="32" t="n">
        <x:v>46163</x:v>
      </x:c>
      <x:c r="J122" s="32" t="n">
        <x:v>46316</x:v>
      </x:c>
      <x:c r="K122" s="32"/>
      <x:c r="L122" s="26" t="str">
        <x:v>Active: On/After 01-Aug-2026</x:v>
      </x:c>
      <x:c r="M122" s="26" t="str">
        <x:v>Pending Mapping</x:v>
      </x:c>
      <x:c r="N122" s="26" t="str">
        <x:v>Original project JSON not available</x:v>
      </x:c>
      <x:c r="O122" s="26"/>
      <x:c r="P122" s="26" t="str"/>
      <x:c r="Q122" s="26" t="str"/>
      <x:c r="R122" s="26"/>
      <x:c r="S122" s="36"/>
      <x:c r="T122" s="26"/>
      <x:c r="U122" s="26"/>
      <x:c r="V122" s="26"/>
      <x:c r="W122" s="26" t="n">
        <x:v>1</x:v>
      </x:c>
      <x:c r="X122" s="26" t="n">
        <x:v>0</x:v>
      </x:c>
      <x:c r="Y122" s="26" t="n">
        <x:f>SUMIF('Activity Detail'!$E$4:$E$706,F122,'Activity Detail'!$L$4:$L$706)</x:f>
        <x:v>1</x:v>
      </x:c>
      <x:c r="Z122" s="26" t="n">
        <x:f>SUMIF('Activity Detail'!$E$4:$E$706,F122,'Activity Detail'!$N$4:$N$706)</x:f>
        <x:v>0</x:v>
      </x:c>
      <x:c r="AA122" s="26" t="n">
        <x:f>MAX(Y122-Z122,0)</x:f>
        <x:v>1</x:v>
      </x:c>
      <x:c r="AB122" s="38" t="n">
        <x:f>IFERROR(Z122/Y122,0)</x:f>
        <x:v>0</x:v>
      </x:c>
      <x:c r="AC122" s="26" t="str">
        <x:v>Committed / Not Delivered</x:v>
      </x:c>
      <x:c r="AD122" s="26" t="str">
        <x:v>Approval not recorded in response</x:v>
      </x:c>
      <x:c r="AE122" s="27" t="b">
        <x:v>1</x:v>
      </x:c>
      <x:c r="AF122" s="34" t="n">
        <x:v>46219.41042824074</x:v>
      </x:c>
      <x:c r="AG122" s="34"/>
      <x:c r="AH122" s="26" t="str">
        <x:v>Contribution API fields only; original project JSON needed for line-item names/centres/category</x:v>
      </x:c>
      <x:c r="AI122" s="26" t="str"/>
      <x:c r="AJ122" s="26" t="str">
        <x:v>Not Started</x:v>
      </x:c>
      <x:c r="AK122" s="26" t="str"/>
      <x:c r="AL122" s="26" t="str"/>
    </x:row>
    <x:row r="123">
      <x:c r="A123" s="26" t="n">
        <x:v>120</x:v>
      </x:c>
      <x:c r="B123" s="26" t="n">
        <x:v>158</x:v>
      </x:c>
      <x:c r="C123" s="26" t="str">
        <x:v>Kumuram Bheem Asifabad</x:v>
      </x:c>
      <x:c r="D123" s="26" t="str">
        <x:v>Telangana</x:v>
      </x:c>
      <x:c r="E123" s="26" t="n">
        <x:v>4105</x:v>
      </x:c>
      <x:c r="F123" s="26" t="str">
        <x:v>PRJ-2026-0004105</x:v>
      </x:c>
      <x:c r="G123" s="26" t="str">
        <x:v>water filter</x:v>
      </x:c>
      <x:c r="H123" s="26" t="str">
        <x:v>Mission Saksham Anganwadi &amp; POSHAN 2.0</x:v>
      </x:c>
      <x:c r="I123" s="32" t="n">
        <x:v>46163</x:v>
      </x:c>
      <x:c r="J123" s="32" t="n">
        <x:v>46316</x:v>
      </x:c>
      <x:c r="K123" s="32"/>
      <x:c r="L123" s="26" t="str">
        <x:v>Active: On/After 01-Aug-2026</x:v>
      </x:c>
      <x:c r="M123" s="26" t="str">
        <x:v>Pending Mapping</x:v>
      </x:c>
      <x:c r="N123" s="26" t="str">
        <x:v>Original project JSON not available</x:v>
      </x:c>
      <x:c r="O123" s="26"/>
      <x:c r="P123" s="26" t="str"/>
      <x:c r="Q123" s="26" t="str"/>
      <x:c r="R123" s="26"/>
      <x:c r="S123" s="36"/>
      <x:c r="T123" s="26"/>
      <x:c r="U123" s="26"/>
      <x:c r="V123" s="26"/>
      <x:c r="W123" s="26" t="n">
        <x:v>1</x:v>
      </x:c>
      <x:c r="X123" s="26" t="n">
        <x:v>0</x:v>
      </x:c>
      <x:c r="Y123" s="26" t="n">
        <x:f>SUMIF('Activity Detail'!$E$4:$E$706,F123,'Activity Detail'!$L$4:$L$706)</x:f>
        <x:v>1</x:v>
      </x:c>
      <x:c r="Z123" s="26" t="n">
        <x:f>SUMIF('Activity Detail'!$E$4:$E$706,F123,'Activity Detail'!$N$4:$N$706)</x:f>
        <x:v>0</x:v>
      </x:c>
      <x:c r="AA123" s="26" t="n">
        <x:f>MAX(Y123-Z123,0)</x:f>
        <x:v>1</x:v>
      </x:c>
      <x:c r="AB123" s="38" t="n">
        <x:f>IFERROR(Z123/Y123,0)</x:f>
        <x:v>0</x:v>
      </x:c>
      <x:c r="AC123" s="26" t="str">
        <x:v>Committed / Not Delivered</x:v>
      </x:c>
      <x:c r="AD123" s="26" t="str">
        <x:v>Approval not recorded in response</x:v>
      </x:c>
      <x:c r="AE123" s="27" t="b">
        <x:v>1</x:v>
      </x:c>
      <x:c r="AF123" s="34" t="n">
        <x:v>46219.41042824074</x:v>
      </x:c>
      <x:c r="AG123" s="34"/>
      <x:c r="AH123" s="26" t="str">
        <x:v>Contribution API fields only; original project JSON needed for line-item names/centres/category</x:v>
      </x:c>
      <x:c r="AI123" s="26" t="str"/>
      <x:c r="AJ123" s="26" t="str">
        <x:v>Not Started</x:v>
      </x:c>
      <x:c r="AK123" s="26" t="str"/>
      <x:c r="AL123" s="26" t="str"/>
    </x:row>
    <x:row r="124">
      <x:c r="A124" s="26" t="n">
        <x:v>121</x:v>
      </x:c>
      <x:c r="B124" s="26" t="n">
        <x:v>159</x:v>
      </x:c>
      <x:c r="C124" s="26" t="str">
        <x:v>Kumuram Bheem Asifabad</x:v>
      </x:c>
      <x:c r="D124" s="26" t="str">
        <x:v>Telangana</x:v>
      </x:c>
      <x:c r="E124" s="26" t="n">
        <x:v>4137</x:v>
      </x:c>
      <x:c r="F124" s="26" t="str">
        <x:v>PRJ-2026-0004137</x:v>
      </x:c>
      <x:c r="G124" s="26" t="str">
        <x:v>water filter</x:v>
      </x:c>
      <x:c r="H124" s="26" t="str">
        <x:v>Mission Saksham Anganwadi &amp; POSHAN 2.0</x:v>
      </x:c>
      <x:c r="I124" s="32" t="n">
        <x:v>46163</x:v>
      </x:c>
      <x:c r="J124" s="32" t="n">
        <x:v>46316</x:v>
      </x:c>
      <x:c r="K124" s="32"/>
      <x:c r="L124" s="26" t="str">
        <x:v>Active: On/After 01-Aug-2026</x:v>
      </x:c>
      <x:c r="M124" s="26" t="str">
        <x:v>Pending Mapping</x:v>
      </x:c>
      <x:c r="N124" s="26" t="str">
        <x:v>Original project JSON not available</x:v>
      </x:c>
      <x:c r="O124" s="26"/>
      <x:c r="P124" s="26" t="str"/>
      <x:c r="Q124" s="26" t="str"/>
      <x:c r="R124" s="26"/>
      <x:c r="S124" s="36"/>
      <x:c r="T124" s="26"/>
      <x:c r="U124" s="26"/>
      <x:c r="V124" s="26"/>
      <x:c r="W124" s="26" t="n">
        <x:v>1</x:v>
      </x:c>
      <x:c r="X124" s="26" t="n">
        <x:v>0</x:v>
      </x:c>
      <x:c r="Y124" s="26" t="n">
        <x:f>SUMIF('Activity Detail'!$E$4:$E$706,F124,'Activity Detail'!$L$4:$L$706)</x:f>
        <x:v>1</x:v>
      </x:c>
      <x:c r="Z124" s="26" t="n">
        <x:f>SUMIF('Activity Detail'!$E$4:$E$706,F124,'Activity Detail'!$N$4:$N$706)</x:f>
        <x:v>0</x:v>
      </x:c>
      <x:c r="AA124" s="26" t="n">
        <x:f>MAX(Y124-Z124,0)</x:f>
        <x:v>1</x:v>
      </x:c>
      <x:c r="AB124" s="38" t="n">
        <x:f>IFERROR(Z124/Y124,0)</x:f>
        <x:v>0</x:v>
      </x:c>
      <x:c r="AC124" s="26" t="str">
        <x:v>Committed / Not Delivered</x:v>
      </x:c>
      <x:c r="AD124" s="26" t="str">
        <x:v>Approval not recorded in response</x:v>
      </x:c>
      <x:c r="AE124" s="27" t="b">
        <x:v>1</x:v>
      </x:c>
      <x:c r="AF124" s="34" t="n">
        <x:v>46219.410416666666</x:v>
      </x:c>
      <x:c r="AG124" s="34"/>
      <x:c r="AH124" s="26" t="str">
        <x:v>Contribution API fields only; original project JSON needed for line-item names/centres/category</x:v>
      </x:c>
      <x:c r="AI124" s="26" t="str"/>
      <x:c r="AJ124" s="26" t="str">
        <x:v>Not Started</x:v>
      </x:c>
      <x:c r="AK124" s="26" t="str"/>
      <x:c r="AL124" s="26" t="str"/>
    </x:row>
    <x:row r="125">
      <x:c r="A125" s="26" t="n">
        <x:v>122</x:v>
      </x:c>
      <x:c r="B125" s="26" t="n">
        <x:v>161</x:v>
      </x:c>
      <x:c r="C125" s="26" t="str">
        <x:v>Kumuram Bheem Asifabad</x:v>
      </x:c>
      <x:c r="D125" s="26" t="str">
        <x:v>Telangana</x:v>
      </x:c>
      <x:c r="E125" s="26" t="n">
        <x:v>4303</x:v>
      </x:c>
      <x:c r="F125" s="26" t="str">
        <x:v>PRJ-2026-0004303</x:v>
      </x:c>
      <x:c r="G125" s="26" t="str">
        <x:v>Provision of water suppliers</x:v>
      </x:c>
      <x:c r="H125" s="26" t="str">
        <x:v>Mission Saksham Anganwadi &amp; POSHAN 2.0</x:v>
      </x:c>
      <x:c r="I125" s="32" t="n">
        <x:v>46163</x:v>
      </x:c>
      <x:c r="J125" s="32" t="n">
        <x:v>46255</x:v>
      </x:c>
      <x:c r="K125" s="32"/>
      <x:c r="L125" s="26" t="str">
        <x:v>Active: On/After 01-Aug-2026</x:v>
      </x:c>
      <x:c r="M125" s="26" t="str">
        <x:v>Pending Mapping</x:v>
      </x:c>
      <x:c r="N125" s="26" t="str">
        <x:v>Original project JSON not available</x:v>
      </x:c>
      <x:c r="O125" s="26"/>
      <x:c r="P125" s="26" t="str"/>
      <x:c r="Q125" s="26" t="str"/>
      <x:c r="R125" s="26"/>
      <x:c r="S125" s="36"/>
      <x:c r="T125" s="26"/>
      <x:c r="U125" s="26"/>
      <x:c r="V125" s="26"/>
      <x:c r="W125" s="26" t="n">
        <x:v>1</x:v>
      </x:c>
      <x:c r="X125" s="26" t="n">
        <x:v>0</x:v>
      </x:c>
      <x:c r="Y125" s="26" t="n">
        <x:f>SUMIF('Activity Detail'!$E$4:$E$706,F125,'Activity Detail'!$L$4:$L$706)</x:f>
        <x:v>1</x:v>
      </x:c>
      <x:c r="Z125" s="26" t="n">
        <x:f>SUMIF('Activity Detail'!$E$4:$E$706,F125,'Activity Detail'!$N$4:$N$706)</x:f>
        <x:v>0</x:v>
      </x:c>
      <x:c r="AA125" s="26" t="n">
        <x:f>MAX(Y125-Z125,0)</x:f>
        <x:v>1</x:v>
      </x:c>
      <x:c r="AB125" s="38" t="n">
        <x:f>IFERROR(Z125/Y125,0)</x:f>
        <x:v>0</x:v>
      </x:c>
      <x:c r="AC125" s="26" t="str">
        <x:v>Committed / Not Delivered</x:v>
      </x:c>
      <x:c r="AD125" s="26" t="str">
        <x:v>Approval not recorded in response</x:v>
      </x:c>
      <x:c r="AE125" s="27" t="b">
        <x:v>1</x:v>
      </x:c>
      <x:c r="AF125" s="34" t="n">
        <x:v>46219.410405092596</x:v>
      </x:c>
      <x:c r="AG125" s="34"/>
      <x:c r="AH125" s="26" t="str">
        <x:v>Contribution API fields only; original project JSON needed for line-item names/centres/category</x:v>
      </x:c>
      <x:c r="AI125" s="26" t="str"/>
      <x:c r="AJ125" s="26" t="str">
        <x:v>Not Started</x:v>
      </x:c>
      <x:c r="AK125" s="26" t="str"/>
      <x:c r="AL125" s="26" t="str"/>
    </x:row>
    <x:row r="126">
      <x:c r="A126" s="26" t="n">
        <x:v>123</x:v>
      </x:c>
      <x:c r="B126" s="26" t="n">
        <x:v>162</x:v>
      </x:c>
      <x:c r="C126" s="26" t="str">
        <x:v>Kumuram Bheem Asifabad</x:v>
      </x:c>
      <x:c r="D126" s="26" t="str">
        <x:v>Telangana</x:v>
      </x:c>
      <x:c r="E126" s="26" t="n">
        <x:v>4379</x:v>
      </x:c>
      <x:c r="F126" s="26" t="str">
        <x:v>PRJ-2026-0004379</x:v>
      </x:c>
      <x:c r="G126" s="26" t="str">
        <x:v>provision of water suppliers</x:v>
      </x:c>
      <x:c r="H126" s="26" t="str">
        <x:v>Mission Saksham Anganwadi &amp; POSHAN 2.0</x:v>
      </x:c>
      <x:c r="I126" s="32" t="n">
        <x:v>46163</x:v>
      </x:c>
      <x:c r="J126" s="32" t="n">
        <x:v>46255</x:v>
      </x:c>
      <x:c r="K126" s="32"/>
      <x:c r="L126" s="26" t="str">
        <x:v>Active: On/After 01-Aug-2026</x:v>
      </x:c>
      <x:c r="M126" s="26" t="str">
        <x:v>Pending Mapping</x:v>
      </x:c>
      <x:c r="N126" s="26" t="str">
        <x:v>Original project JSON not available</x:v>
      </x:c>
      <x:c r="O126" s="26"/>
      <x:c r="P126" s="26" t="str"/>
      <x:c r="Q126" s="26" t="str"/>
      <x:c r="R126" s="26"/>
      <x:c r="S126" s="36"/>
      <x:c r="T126" s="26"/>
      <x:c r="U126" s="26"/>
      <x:c r="V126" s="26"/>
      <x:c r="W126" s="26" t="n">
        <x:v>1</x:v>
      </x:c>
      <x:c r="X126" s="26" t="n">
        <x:v>0</x:v>
      </x:c>
      <x:c r="Y126" s="26" t="n">
        <x:f>SUMIF('Activity Detail'!$E$4:$E$706,F126,'Activity Detail'!$L$4:$L$706)</x:f>
        <x:v>1</x:v>
      </x:c>
      <x:c r="Z126" s="26" t="n">
        <x:f>SUMIF('Activity Detail'!$E$4:$E$706,F126,'Activity Detail'!$N$4:$N$706)</x:f>
        <x:v>0</x:v>
      </x:c>
      <x:c r="AA126" s="26" t="n">
        <x:f>MAX(Y126-Z126,0)</x:f>
        <x:v>1</x:v>
      </x:c>
      <x:c r="AB126" s="38" t="n">
        <x:f>IFERROR(Z126/Y126,0)</x:f>
        <x:v>0</x:v>
      </x:c>
      <x:c r="AC126" s="26" t="str">
        <x:v>Committed / Not Delivered</x:v>
      </x:c>
      <x:c r="AD126" s="26" t="str">
        <x:v>Approval not recorded in response</x:v>
      </x:c>
      <x:c r="AE126" s="27" t="b">
        <x:v>1</x:v>
      </x:c>
      <x:c r="AF126" s="34" t="n">
        <x:v>46219.410405092596</x:v>
      </x:c>
      <x:c r="AG126" s="34"/>
      <x:c r="AH126" s="26" t="str">
        <x:v>Contribution API fields only; original project JSON needed for line-item names/centres/category</x:v>
      </x:c>
      <x:c r="AI126" s="26" t="str"/>
      <x:c r="AJ126" s="26" t="str">
        <x:v>Not Started</x:v>
      </x:c>
      <x:c r="AK126" s="26" t="str"/>
      <x:c r="AL126" s="26" t="str"/>
    </x:row>
    <x:row r="127">
      <x:c r="A127" s="26" t="n">
        <x:v>124</x:v>
      </x:c>
      <x:c r="B127" s="26" t="n">
        <x:v>163</x:v>
      </x:c>
      <x:c r="C127" s="26" t="str">
        <x:v>Kumuram Bheem Asifabad</x:v>
      </x:c>
      <x:c r="D127" s="26" t="str">
        <x:v>Telangana</x:v>
      </x:c>
      <x:c r="E127" s="26" t="n">
        <x:v>4454</x:v>
      </x:c>
      <x:c r="F127" s="26" t="str">
        <x:v>PRJ-2026-0004454</x:v>
      </x:c>
      <x:c r="G127" s="26" t="str">
        <x:v>provision of water supplier</x:v>
      </x:c>
      <x:c r="H127" s="26" t="str">
        <x:v>Mission Saksham Anganwadi &amp; POSHAN 2.0</x:v>
      </x:c>
      <x:c r="I127" s="32" t="n">
        <x:v>46163</x:v>
      </x:c>
      <x:c r="J127" s="32" t="n">
        <x:v>46255</x:v>
      </x:c>
      <x:c r="K127" s="32"/>
      <x:c r="L127" s="26" t="str">
        <x:v>Active: On/After 01-Aug-2026</x:v>
      </x:c>
      <x:c r="M127" s="26" t="str">
        <x:v>Pending Mapping</x:v>
      </x:c>
      <x:c r="N127" s="26" t="str">
        <x:v>Original project JSON not available</x:v>
      </x:c>
      <x:c r="O127" s="26"/>
      <x:c r="P127" s="26" t="str"/>
      <x:c r="Q127" s="26" t="str"/>
      <x:c r="R127" s="26"/>
      <x:c r="S127" s="36"/>
      <x:c r="T127" s="26"/>
      <x:c r="U127" s="26"/>
      <x:c r="V127" s="26"/>
      <x:c r="W127" s="26" t="n">
        <x:v>1</x:v>
      </x:c>
      <x:c r="X127" s="26" t="n">
        <x:v>0</x:v>
      </x:c>
      <x:c r="Y127" s="26" t="n">
        <x:f>SUMIF('Activity Detail'!$E$4:$E$706,F127,'Activity Detail'!$L$4:$L$706)</x:f>
        <x:v>1</x:v>
      </x:c>
      <x:c r="Z127" s="26" t="n">
        <x:f>SUMIF('Activity Detail'!$E$4:$E$706,F127,'Activity Detail'!$N$4:$N$706)</x:f>
        <x:v>0</x:v>
      </x:c>
      <x:c r="AA127" s="26" t="n">
        <x:f>MAX(Y127-Z127,0)</x:f>
        <x:v>1</x:v>
      </x:c>
      <x:c r="AB127" s="38" t="n">
        <x:f>IFERROR(Z127/Y127,0)</x:f>
        <x:v>0</x:v>
      </x:c>
      <x:c r="AC127" s="26" t="str">
        <x:v>Committed / Not Delivered</x:v>
      </x:c>
      <x:c r="AD127" s="26" t="str">
        <x:v>Approval not recorded in response</x:v>
      </x:c>
      <x:c r="AE127" s="27" t="b">
        <x:v>1</x:v>
      </x:c>
      <x:c r="AF127" s="34" t="n">
        <x:v>46219.41039351852</x:v>
      </x:c>
      <x:c r="AG127" s="34"/>
      <x:c r="AH127" s="26" t="str">
        <x:v>Contribution API fields only; original project JSON needed for line-item names/centres/category</x:v>
      </x:c>
      <x:c r="AI127" s="26" t="str"/>
      <x:c r="AJ127" s="26" t="str">
        <x:v>Not Started</x:v>
      </x:c>
      <x:c r="AK127" s="26" t="str"/>
      <x:c r="AL127" s="26" t="str"/>
    </x:row>
    <x:row r="128">
      <x:c r="A128" s="26" t="n">
        <x:v>125</x:v>
      </x:c>
      <x:c r="B128" s="26" t="n">
        <x:v>164</x:v>
      </x:c>
      <x:c r="C128" s="26" t="str">
        <x:v>Kumuram Bheem Asifabad</x:v>
      </x:c>
      <x:c r="D128" s="26" t="str">
        <x:v>Telangana</x:v>
      </x:c>
      <x:c r="E128" s="26" t="n">
        <x:v>4522</x:v>
      </x:c>
      <x:c r="F128" s="26" t="str">
        <x:v>PRJ-2026-0004522</x:v>
      </x:c>
      <x:c r="G128" s="26" t="str">
        <x:v>provision of water supplier</x:v>
      </x:c>
      <x:c r="H128" s="26" t="str">
        <x:v>Mission Saksham Anganwadi &amp; POSHAN 2.0</x:v>
      </x:c>
      <x:c r="I128" s="32" t="n">
        <x:v>46163</x:v>
      </x:c>
      <x:c r="J128" s="32" t="n">
        <x:v>46255</x:v>
      </x:c>
      <x:c r="K128" s="32"/>
      <x:c r="L128" s="26" t="str">
        <x:v>Active: On/After 01-Aug-2026</x:v>
      </x:c>
      <x:c r="M128" s="26" t="str">
        <x:v>Pending Mapping</x:v>
      </x:c>
      <x:c r="N128" s="26" t="str">
        <x:v>Original project JSON not available</x:v>
      </x:c>
      <x:c r="O128" s="26"/>
      <x:c r="P128" s="26" t="str"/>
      <x:c r="Q128" s="26" t="str"/>
      <x:c r="R128" s="26"/>
      <x:c r="S128" s="36"/>
      <x:c r="T128" s="26"/>
      <x:c r="U128" s="26"/>
      <x:c r="V128" s="26"/>
      <x:c r="W128" s="26" t="n">
        <x:v>1</x:v>
      </x:c>
      <x:c r="X128" s="26" t="n">
        <x:v>0</x:v>
      </x:c>
      <x:c r="Y128" s="26" t="n">
        <x:f>SUMIF('Activity Detail'!$E$4:$E$706,F128,'Activity Detail'!$L$4:$L$706)</x:f>
        <x:v>1</x:v>
      </x:c>
      <x:c r="Z128" s="26" t="n">
        <x:f>SUMIF('Activity Detail'!$E$4:$E$706,F128,'Activity Detail'!$N$4:$N$706)</x:f>
        <x:v>0</x:v>
      </x:c>
      <x:c r="AA128" s="26" t="n">
        <x:f>MAX(Y128-Z128,0)</x:f>
        <x:v>1</x:v>
      </x:c>
      <x:c r="AB128" s="38" t="n">
        <x:f>IFERROR(Z128/Y128,0)</x:f>
        <x:v>0</x:v>
      </x:c>
      <x:c r="AC128" s="26" t="str">
        <x:v>Committed / Not Delivered</x:v>
      </x:c>
      <x:c r="AD128" s="26" t="str">
        <x:v>Approval not recorded in response</x:v>
      </x:c>
      <x:c r="AE128" s="27" t="b">
        <x:v>1</x:v>
      </x:c>
      <x:c r="AF128" s="34" t="n">
        <x:v>46219.41038194444</x:v>
      </x:c>
      <x:c r="AG128" s="34"/>
      <x:c r="AH128" s="26" t="str">
        <x:v>Contribution API fields only; original project JSON needed for line-item names/centres/category</x:v>
      </x:c>
      <x:c r="AI128" s="26" t="str"/>
      <x:c r="AJ128" s="26" t="str">
        <x:v>Not Started</x:v>
      </x:c>
      <x:c r="AK128" s="26" t="str"/>
      <x:c r="AL128" s="26" t="str"/>
    </x:row>
    <x:row r="129">
      <x:c r="A129" s="26" t="n">
        <x:v>126</x:v>
      </x:c>
      <x:c r="B129" s="26" t="n">
        <x:v>166</x:v>
      </x:c>
      <x:c r="C129" s="26" t="str">
        <x:v>Kumuram Bheem Asifabad</x:v>
      </x:c>
      <x:c r="D129" s="26" t="str">
        <x:v>Telangana</x:v>
      </x:c>
      <x:c r="E129" s="26" t="n">
        <x:v>5279</x:v>
      </x:c>
      <x:c r="F129" s="26" t="str">
        <x:v>PRJ-2026-0005279</x:v>
      </x:c>
      <x:c r="G129" s="26" t="str">
        <x:v>Upgradation of Anganwadi </x:v>
      </x:c>
      <x:c r="H129" s="26" t="str">
        <x:v>Mission Saksham Anganwadi &amp; POSHAN 2.0</x:v>
      </x:c>
      <x:c r="I129" s="32" t="n">
        <x:v>46163</x:v>
      </x:c>
      <x:c r="J129" s="32" t="n">
        <x:v>46254</x:v>
      </x:c>
      <x:c r="K129" s="32"/>
      <x:c r="L129" s="26" t="str">
        <x:v>Active: On/After 01-Aug-2026</x:v>
      </x:c>
      <x:c r="M129" s="26" t="str">
        <x:v>Pending Mapping</x:v>
      </x:c>
      <x:c r="N129" s="26" t="str">
        <x:v>Original project JSON not available</x:v>
      </x:c>
      <x:c r="O129" s="26"/>
      <x:c r="P129" s="26" t="str"/>
      <x:c r="Q129" s="26" t="str"/>
      <x:c r="R129" s="26"/>
      <x:c r="S129" s="36"/>
      <x:c r="T129" s="26"/>
      <x:c r="U129" s="26"/>
      <x:c r="V129" s="26"/>
      <x:c r="W129" s="26" t="n">
        <x:v>1</x:v>
      </x:c>
      <x:c r="X129" s="26" t="n">
        <x:v>0</x:v>
      </x:c>
      <x:c r="Y129" s="26" t="n">
        <x:f>SUMIF('Activity Detail'!$E$4:$E$706,F129,'Activity Detail'!$L$4:$L$706)</x:f>
        <x:v>2</x:v>
      </x:c>
      <x:c r="Z129" s="26" t="n">
        <x:f>SUMIF('Activity Detail'!$E$4:$E$706,F129,'Activity Detail'!$N$4:$N$706)</x:f>
        <x:v>0</x:v>
      </x:c>
      <x:c r="AA129" s="26" t="n">
        <x:f>MAX(Y129-Z129,0)</x:f>
        <x:v>2</x:v>
      </x:c>
      <x:c r="AB129" s="38" t="n">
        <x:f>IFERROR(Z129/Y129,0)</x:f>
        <x:v>0</x:v>
      </x:c>
      <x:c r="AC129" s="26" t="str">
        <x:v>Committed / Not Delivered</x:v>
      </x:c>
      <x:c r="AD129" s="26" t="str">
        <x:v>Approval not recorded in response</x:v>
      </x:c>
      <x:c r="AE129" s="27" t="b">
        <x:v>1</x:v>
      </x:c>
      <x:c r="AF129" s="34" t="n">
        <x:v>46219.41038194444</x:v>
      </x:c>
      <x:c r="AG129" s="34"/>
      <x:c r="AH129" s="26" t="str">
        <x:v>Contribution API fields only; original project JSON needed for line-item names/centres/category</x:v>
      </x:c>
      <x:c r="AI129" s="26" t="str"/>
      <x:c r="AJ129" s="26" t="str">
        <x:v>Not Started</x:v>
      </x:c>
      <x:c r="AK129" s="26" t="str"/>
      <x:c r="AL129" s="26" t="str"/>
    </x:row>
    <x:row r="130">
      <x:c r="A130" s="26" t="n">
        <x:v>127</x:v>
      </x:c>
      <x:c r="B130" s="26" t="n">
        <x:v>167</x:v>
      </x:c>
      <x:c r="C130" s="26" t="str">
        <x:v>Kumuram Bheem Asifabad</x:v>
      </x:c>
      <x:c r="D130" s="26" t="str">
        <x:v>Telangana</x:v>
      </x:c>
      <x:c r="E130" s="26" t="n">
        <x:v>5725</x:v>
      </x:c>
      <x:c r="F130" s="26" t="str">
        <x:v>PRJ-2026-0005725</x:v>
      </x:c>
      <x:c r="G130" s="26" t="str">
        <x:v>Upgradation of Anganwadies</x:v>
      </x:c>
      <x:c r="H130" s="26" t="str">
        <x:v>Mission Saksham Anganwadi &amp; POSHAN 2.0</x:v>
      </x:c>
      <x:c r="I130" s="32" t="n">
        <x:v>46163</x:v>
      </x:c>
      <x:c r="J130" s="32" t="n">
        <x:v>46255</x:v>
      </x:c>
      <x:c r="K130" s="32"/>
      <x:c r="L130" s="26" t="str">
        <x:v>Active: On/After 01-Aug-2026</x:v>
      </x:c>
      <x:c r="M130" s="26" t="str">
        <x:v>Pending Mapping</x:v>
      </x:c>
      <x:c r="N130" s="26" t="str">
        <x:v>Original project JSON not available</x:v>
      </x:c>
      <x:c r="O130" s="26"/>
      <x:c r="P130" s="26" t="str"/>
      <x:c r="Q130" s="26" t="str"/>
      <x:c r="R130" s="26"/>
      <x:c r="S130" s="36"/>
      <x:c r="T130" s="26"/>
      <x:c r="U130" s="26"/>
      <x:c r="V130" s="26"/>
      <x:c r="W130" s="26" t="n">
        <x:v>2</x:v>
      </x:c>
      <x:c r="X130" s="26" t="n">
        <x:v>0</x:v>
      </x:c>
      <x:c r="Y130" s="26" t="n">
        <x:f>SUMIF('Activity Detail'!$E$4:$E$706,F130,'Activity Detail'!$L$4:$L$706)</x:f>
        <x:v>12</x:v>
      </x:c>
      <x:c r="Z130" s="26" t="n">
        <x:f>SUMIF('Activity Detail'!$E$4:$E$706,F130,'Activity Detail'!$N$4:$N$706)</x:f>
        <x:v>0</x:v>
      </x:c>
      <x:c r="AA130" s="26" t="n">
        <x:f>MAX(Y130-Z130,0)</x:f>
        <x:v>12</x:v>
      </x:c>
      <x:c r="AB130" s="38" t="n">
        <x:f>IFERROR(Z130/Y130,0)</x:f>
        <x:v>0</x:v>
      </x:c>
      <x:c r="AC130" s="26" t="str">
        <x:v>Committed / Not Delivered</x:v>
      </x:c>
      <x:c r="AD130" s="26" t="str">
        <x:v>Approval not recorded in response</x:v>
      </x:c>
      <x:c r="AE130" s="27" t="b">
        <x:v>1</x:v>
      </x:c>
      <x:c r="AF130" s="34" t="n">
        <x:v>46219.41037037037</x:v>
      </x:c>
      <x:c r="AG130" s="34"/>
      <x:c r="AH130" s="26" t="str">
        <x:v>Contribution API fields only; original project JSON needed for line-item names/centres/category</x:v>
      </x:c>
      <x:c r="AI130" s="26" t="str"/>
      <x:c r="AJ130" s="26" t="str">
        <x:v>Not Started</x:v>
      </x:c>
      <x:c r="AK130" s="26" t="str"/>
      <x:c r="AL130" s="26" t="str"/>
    </x:row>
    <x:row r="131">
      <x:c r="A131" s="26" t="n">
        <x:v>128</x:v>
      </x:c>
      <x:c r="B131" s="26" t="n">
        <x:v>180</x:v>
      </x:c>
      <x:c r="C131" s="26" t="str">
        <x:v>Kumuram Bheem Asifabad</x:v>
      </x:c>
      <x:c r="D131" s="26" t="str">
        <x:v>Telangana</x:v>
      </x:c>
      <x:c r="E131" s="26" t="n">
        <x:v>9159</x:v>
      </x:c>
      <x:c r="F131" s="26" t="str">
        <x:v>PRJ-2026-0009159</x:v>
      </x:c>
      <x:c r="G131" s="26" t="str">
        <x:v>Proposal for upgradation of Anganwadi centre</x:v>
      </x:c>
      <x:c r="H131" s="26" t="str">
        <x:v>Mission Saksham Anganwadi &amp; POSHAN 2.0</x:v>
      </x:c>
      <x:c r="I131" s="32" t="n">
        <x:v>46164</x:v>
      </x:c>
      <x:c r="J131" s="32" t="n">
        <x:v>46295</x:v>
      </x:c>
      <x:c r="K131" s="32"/>
      <x:c r="L131" s="26" t="str">
        <x:v>Active: On/After 01-Aug-2026</x:v>
      </x:c>
      <x:c r="M131" s="26" t="str">
        <x:v>Pending Mapping</x:v>
      </x:c>
      <x:c r="N131" s="26" t="str">
        <x:v>Original project JSON not available</x:v>
      </x:c>
      <x:c r="O131" s="26"/>
      <x:c r="P131" s="26" t="str"/>
      <x:c r="Q131" s="26" t="str"/>
      <x:c r="R131" s="26"/>
      <x:c r="S131" s="36"/>
      <x:c r="T131" s="26"/>
      <x:c r="U131" s="26"/>
      <x:c r="V131" s="26"/>
      <x:c r="W131" s="26" t="n">
        <x:v>4</x:v>
      </x:c>
      <x:c r="X131" s="26" t="n">
        <x:v>0</x:v>
      </x:c>
      <x:c r="Y131" s="26" t="n">
        <x:f>SUMIF('Activity Detail'!$E$4:$E$706,F131,'Activity Detail'!$L$4:$L$706)</x:f>
        <x:v>8</x:v>
      </x:c>
      <x:c r="Z131" s="26" t="n">
        <x:f>SUMIF('Activity Detail'!$E$4:$E$706,F131,'Activity Detail'!$N$4:$N$706)</x:f>
        <x:v>0</x:v>
      </x:c>
      <x:c r="AA131" s="26" t="n">
        <x:f>MAX(Y131-Z131,0)</x:f>
        <x:v>8</x:v>
      </x:c>
      <x:c r="AB131" s="38" t="n">
        <x:f>IFERROR(Z131/Y131,0)</x:f>
        <x:v>0</x:v>
      </x:c>
      <x:c r="AC131" s="26" t="str">
        <x:v>Committed / Not Delivered</x:v>
      </x:c>
      <x:c r="AD131" s="26" t="str">
        <x:v>Approval not recorded in response</x:v>
      </x:c>
      <x:c r="AE131" s="27" t="b">
        <x:v>1</x:v>
      </x:c>
      <x:c r="AF131" s="34" t="n">
        <x:v>46219.40943287037</x:v>
      </x:c>
      <x:c r="AG131" s="34"/>
      <x:c r="AH131" s="26" t="str">
        <x:v>Contribution API fields only; original project JSON needed for line-item names/centres/category</x:v>
      </x:c>
      <x:c r="AI131" s="26" t="str"/>
      <x:c r="AJ131" s="26" t="str">
        <x:v>Not Started</x:v>
      </x:c>
      <x:c r="AK131" s="26" t="str"/>
      <x:c r="AL131" s="26" t="str"/>
    </x:row>
    <x:row r="132">
      <x:c r="A132" s="26" t="n">
        <x:v>129</x:v>
      </x:c>
      <x:c r="B132" s="26" t="n">
        <x:v>181</x:v>
      </x:c>
      <x:c r="C132" s="26" t="str">
        <x:v>Kumuram Bheem Asifabad</x:v>
      </x:c>
      <x:c r="D132" s="26" t="str">
        <x:v>Telangana</x:v>
      </x:c>
      <x:c r="E132" s="26" t="n">
        <x:v>9651</x:v>
      </x:c>
      <x:c r="F132" s="26" t="str">
        <x:v>PRJ-2026-0009651</x:v>
      </x:c>
      <x:c r="G132" s="26" t="str">
        <x:v>Proposal for upgradation of Anganwadi centre</x:v>
      </x:c>
      <x:c r="H132" s="26" t="str">
        <x:v>Mission Saksham Anganwadi &amp; POSHAN 2.0</x:v>
      </x:c>
      <x:c r="I132" s="32" t="n">
        <x:v>46164</x:v>
      </x:c>
      <x:c r="J132" s="32" t="n">
        <x:v>46295</x:v>
      </x:c>
      <x:c r="K132" s="32"/>
      <x:c r="L132" s="26" t="str">
        <x:v>Active: On/After 01-Aug-2026</x:v>
      </x:c>
      <x:c r="M132" s="26" t="str">
        <x:v>Pending Mapping</x:v>
      </x:c>
      <x:c r="N132" s="26" t="str">
        <x:v>Original project JSON not available</x:v>
      </x:c>
      <x:c r="O132" s="26"/>
      <x:c r="P132" s="26" t="str"/>
      <x:c r="Q132" s="26" t="str"/>
      <x:c r="R132" s="26"/>
      <x:c r="S132" s="36"/>
      <x:c r="T132" s="26"/>
      <x:c r="U132" s="26"/>
      <x:c r="V132" s="26"/>
      <x:c r="W132" s="26" t="n">
        <x:v>5</x:v>
      </x:c>
      <x:c r="X132" s="26" t="n">
        <x:v>0</x:v>
      </x:c>
      <x:c r="Y132" s="26" t="n">
        <x:f>SUMIF('Activity Detail'!$E$4:$E$706,F132,'Activity Detail'!$L$4:$L$706)</x:f>
        <x:v>23</x:v>
      </x:c>
      <x:c r="Z132" s="26" t="n">
        <x:f>SUMIF('Activity Detail'!$E$4:$E$706,F132,'Activity Detail'!$N$4:$N$706)</x:f>
        <x:v>0</x:v>
      </x:c>
      <x:c r="AA132" s="26" t="n">
        <x:f>MAX(Y132-Z132,0)</x:f>
        <x:v>23</x:v>
      </x:c>
      <x:c r="AB132" s="38" t="n">
        <x:f>IFERROR(Z132/Y132,0)</x:f>
        <x:v>0</x:v>
      </x:c>
      <x:c r="AC132" s="26" t="str">
        <x:v>Committed / Not Delivered</x:v>
      </x:c>
      <x:c r="AD132" s="26" t="str">
        <x:v>Approval not recorded in response</x:v>
      </x:c>
      <x:c r="AE132" s="27" t="b">
        <x:v>1</x:v>
      </x:c>
      <x:c r="AF132" s="34" t="n">
        <x:v>46219.40943287037</x:v>
      </x:c>
      <x:c r="AG132" s="34"/>
      <x:c r="AH132" s="26" t="str">
        <x:v>Contribution API fields only; original project JSON needed for line-item names/centres/category</x:v>
      </x:c>
      <x:c r="AI132" s="26" t="str"/>
      <x:c r="AJ132" s="26" t="str">
        <x:v>Not Started</x:v>
      </x:c>
      <x:c r="AK132" s="26" t="str"/>
      <x:c r="AL132" s="26" t="str"/>
    </x:row>
    <x:row r="133">
      <x:c r="A133" s="26" t="n">
        <x:v>130</x:v>
      </x:c>
      <x:c r="B133" s="26" t="n">
        <x:v>182</x:v>
      </x:c>
      <x:c r="C133" s="26" t="str">
        <x:v>Kumuram Bheem Asifabad</x:v>
      </x:c>
      <x:c r="D133" s="26" t="str">
        <x:v>Telangana</x:v>
      </x:c>
      <x:c r="E133" s="26" t="n">
        <x:v>9717</x:v>
      </x:c>
      <x:c r="F133" s="26" t="str">
        <x:v>PRJ-2026-0009717</x:v>
      </x:c>
      <x:c r="G133" s="26" t="str">
        <x:v>Proposal for Upgradation of Anganwadi centre</x:v>
      </x:c>
      <x:c r="H133" s="26" t="str">
        <x:v>Mission Saksham Anganwadi &amp; POSHAN 2.0</x:v>
      </x:c>
      <x:c r="I133" s="32" t="n">
        <x:v>46164</x:v>
      </x:c>
      <x:c r="J133" s="32" t="n">
        <x:v>46295</x:v>
      </x:c>
      <x:c r="K133" s="32"/>
      <x:c r="L133" s="26" t="str">
        <x:v>Active: On/After 01-Aug-2026</x:v>
      </x:c>
      <x:c r="M133" s="26" t="str">
        <x:v>Pending Mapping</x:v>
      </x:c>
      <x:c r="N133" s="26" t="str">
        <x:v>Original project JSON not available</x:v>
      </x:c>
      <x:c r="O133" s="26"/>
      <x:c r="P133" s="26" t="str"/>
      <x:c r="Q133" s="26" t="str"/>
      <x:c r="R133" s="26"/>
      <x:c r="S133" s="36"/>
      <x:c r="T133" s="26"/>
      <x:c r="U133" s="26"/>
      <x:c r="V133" s="26"/>
      <x:c r="W133" s="26" t="n">
        <x:v>4</x:v>
      </x:c>
      <x:c r="X133" s="26" t="n">
        <x:v>0</x:v>
      </x:c>
      <x:c r="Y133" s="26" t="n">
        <x:f>SUMIF('Activity Detail'!$E$4:$E$706,F133,'Activity Detail'!$L$4:$L$706)</x:f>
        <x:v>8</x:v>
      </x:c>
      <x:c r="Z133" s="26" t="n">
        <x:f>SUMIF('Activity Detail'!$E$4:$E$706,F133,'Activity Detail'!$N$4:$N$706)</x:f>
        <x:v>0</x:v>
      </x:c>
      <x:c r="AA133" s="26" t="n">
        <x:f>MAX(Y133-Z133,0)</x:f>
        <x:v>8</x:v>
      </x:c>
      <x:c r="AB133" s="38" t="n">
        <x:f>IFERROR(Z133/Y133,0)</x:f>
        <x:v>0</x:v>
      </x:c>
      <x:c r="AC133" s="26" t="str">
        <x:v>Committed / Not Delivered</x:v>
      </x:c>
      <x:c r="AD133" s="26" t="str">
        <x:v>Approval not recorded in response</x:v>
      </x:c>
      <x:c r="AE133" s="27" t="b">
        <x:v>1</x:v>
      </x:c>
      <x:c r="AF133" s="34" t="n">
        <x:v>46219.409421296295</x:v>
      </x:c>
      <x:c r="AG133" s="34"/>
      <x:c r="AH133" s="26" t="str">
        <x:v>Contribution API fields only; original project JSON needed for line-item names/centres/category</x:v>
      </x:c>
      <x:c r="AI133" s="26" t="str"/>
      <x:c r="AJ133" s="26" t="str">
        <x:v>Not Started</x:v>
      </x:c>
      <x:c r="AK133" s="26" t="str"/>
      <x:c r="AL133" s="26" t="str"/>
    </x:row>
    <x:row r="134">
      <x:c r="A134" s="26" t="n">
        <x:v>131</x:v>
      </x:c>
      <x:c r="B134" s="26" t="n">
        <x:v>183</x:v>
      </x:c>
      <x:c r="C134" s="26" t="str">
        <x:v>Kumuram Bheem Asifabad</x:v>
      </x:c>
      <x:c r="D134" s="26" t="str">
        <x:v>Telangana</x:v>
      </x:c>
      <x:c r="E134" s="26" t="n">
        <x:v>9810</x:v>
      </x:c>
      <x:c r="F134" s="26" t="str">
        <x:v>PRJ-2026-0009810</x:v>
      </x:c>
      <x:c r="G134" s="26" t="str">
        <x:v>Proposal for upgradation of Anganwadi centre</x:v>
      </x:c>
      <x:c r="H134" s="26" t="str">
        <x:v>Mission Saksham Anganwadi &amp; POSHAN 2.0</x:v>
      </x:c>
      <x:c r="I134" s="32" t="n">
        <x:v>46164</x:v>
      </x:c>
      <x:c r="J134" s="32" t="n">
        <x:v>46295</x:v>
      </x:c>
      <x:c r="K134" s="32"/>
      <x:c r="L134" s="26" t="str">
        <x:v>Active: On/After 01-Aug-2026</x:v>
      </x:c>
      <x:c r="M134" s="26" t="str">
        <x:v>Pending Mapping</x:v>
      </x:c>
      <x:c r="N134" s="26" t="str">
        <x:v>Original project JSON not available</x:v>
      </x:c>
      <x:c r="O134" s="26"/>
      <x:c r="P134" s="26" t="str"/>
      <x:c r="Q134" s="26" t="str"/>
      <x:c r="R134" s="26"/>
      <x:c r="S134" s="36"/>
      <x:c r="T134" s="26"/>
      <x:c r="U134" s="26"/>
      <x:c r="V134" s="26"/>
      <x:c r="W134" s="26" t="n">
        <x:v>5</x:v>
      </x:c>
      <x:c r="X134" s="26" t="n">
        <x:v>0</x:v>
      </x:c>
      <x:c r="Y134" s="26" t="n">
        <x:f>SUMIF('Activity Detail'!$E$4:$E$706,F134,'Activity Detail'!$L$4:$L$706)</x:f>
        <x:v>23</x:v>
      </x:c>
      <x:c r="Z134" s="26" t="n">
        <x:f>SUMIF('Activity Detail'!$E$4:$E$706,F134,'Activity Detail'!$N$4:$N$706)</x:f>
        <x:v>0</x:v>
      </x:c>
      <x:c r="AA134" s="26" t="n">
        <x:f>MAX(Y134-Z134,0)</x:f>
        <x:v>23</x:v>
      </x:c>
      <x:c r="AB134" s="38" t="n">
        <x:f>IFERROR(Z134/Y134,0)</x:f>
        <x:v>0</x:v>
      </x:c>
      <x:c r="AC134" s="26" t="str">
        <x:v>Committed / Not Delivered</x:v>
      </x:c>
      <x:c r="AD134" s="26" t="str">
        <x:v>Approval not recorded in response</x:v>
      </x:c>
      <x:c r="AE134" s="27" t="b">
        <x:v>1</x:v>
      </x:c>
      <x:c r="AF134" s="34" t="n">
        <x:v>46219.40940972222</x:v>
      </x:c>
      <x:c r="AG134" s="34"/>
      <x:c r="AH134" s="26" t="str">
        <x:v>Contribution API fields only; original project JSON needed for line-item names/centres/category</x:v>
      </x:c>
      <x:c r="AI134" s="26" t="str"/>
      <x:c r="AJ134" s="26" t="str">
        <x:v>Not Started</x:v>
      </x:c>
      <x:c r="AK134" s="26" t="str"/>
      <x:c r="AL134" s="26" t="str"/>
    </x:row>
    <x:row r="135">
      <x:c r="A135" s="26" t="n">
        <x:v>132</x:v>
      </x:c>
      <x:c r="B135" s="26" t="n">
        <x:v>187</x:v>
      </x:c>
      <x:c r="C135" s="26" t="str">
        <x:v>Kumuram Bheem Asifabad</x:v>
      </x:c>
      <x:c r="D135" s="26" t="str">
        <x:v>Telangana</x:v>
      </x:c>
      <x:c r="E135" s="26" t="n">
        <x:v>10421</x:v>
      </x:c>
      <x:c r="F135" s="26" t="str">
        <x:v>PRJ-2026-0010421</x:v>
      </x:c>
      <x:c r="G135" s="26" t="str">
        <x:v>Water filter, gas stove, ECCE metirial </x:v>
      </x:c>
      <x:c r="H135" s="26" t="str">
        <x:v>Mission Saksham Anganwadi &amp; POSHAN 2.0</x:v>
      </x:c>
      <x:c r="I135" s="32" t="n">
        <x:v>46164</x:v>
      </x:c>
      <x:c r="J135" s="32" t="n">
        <x:v>46265</x:v>
      </x:c>
      <x:c r="K135" s="32"/>
      <x:c r="L135" s="26" t="str">
        <x:v>Active: On/After 01-Aug-2026</x:v>
      </x:c>
      <x:c r="M135" s="26" t="str">
        <x:v>Pending Mapping</x:v>
      </x:c>
      <x:c r="N135" s="26" t="str">
        <x:v>Original project JSON not available</x:v>
      </x:c>
      <x:c r="O135" s="26"/>
      <x:c r="P135" s="26" t="str"/>
      <x:c r="Q135" s="26" t="str"/>
      <x:c r="R135" s="26"/>
      <x:c r="S135" s="36"/>
      <x:c r="T135" s="26"/>
      <x:c r="U135" s="26"/>
      <x:c r="V135" s="26"/>
      <x:c r="W135" s="26" t="n">
        <x:v>2</x:v>
      </x:c>
      <x:c r="X135" s="26" t="n">
        <x:v>0</x:v>
      </x:c>
      <x:c r="Y135" s="26" t="n">
        <x:f>SUMIF('Activity Detail'!$E$4:$E$706,F135,'Activity Detail'!$L$4:$L$706)</x:f>
        <x:v>2</x:v>
      </x:c>
      <x:c r="Z135" s="26" t="n">
        <x:f>SUMIF('Activity Detail'!$E$4:$E$706,F135,'Activity Detail'!$N$4:$N$706)</x:f>
        <x:v>0</x:v>
      </x:c>
      <x:c r="AA135" s="26" t="n">
        <x:f>MAX(Y135-Z135,0)</x:f>
        <x:v>2</x:v>
      </x:c>
      <x:c r="AB135" s="38" t="n">
        <x:f>IFERROR(Z135/Y135,0)</x:f>
        <x:v>0</x:v>
      </x:c>
      <x:c r="AC135" s="26" t="str">
        <x:v>Committed / Not Delivered</x:v>
      </x:c>
      <x:c r="AD135" s="26" t="str">
        <x:v>Approval not recorded in response</x:v>
      </x:c>
      <x:c r="AE135" s="27" t="b">
        <x:v>1</x:v>
      </x:c>
      <x:c r="AF135" s="34" t="n">
        <x:v>46219.40938657407</x:v>
      </x:c>
      <x:c r="AG135" s="34"/>
      <x:c r="AH135" s="26" t="str">
        <x:v>Contribution API fields only; original project JSON needed for line-item names/centres/category</x:v>
      </x:c>
      <x:c r="AI135" s="26" t="str"/>
      <x:c r="AJ135" s="26" t="str">
        <x:v>Not Started</x:v>
      </x:c>
      <x:c r="AK135" s="26" t="str"/>
      <x:c r="AL135" s="26" t="str"/>
    </x:row>
    <x:row r="136">
      <x:c r="A136" s="26" t="n">
        <x:v>133</x:v>
      </x:c>
      <x:c r="B136" s="26" t="n">
        <x:v>188</x:v>
      </x:c>
      <x:c r="C136" s="26" t="str">
        <x:v>Kumuram Bheem Asifabad</x:v>
      </x:c>
      <x:c r="D136" s="26" t="str">
        <x:v>Telangana</x:v>
      </x:c>
      <x:c r="E136" s="26" t="n">
        <x:v>10521</x:v>
      </x:c>
      <x:c r="F136" s="26" t="str">
        <x:v>PRJ-2026-0010521</x:v>
      </x:c>
      <x:c r="G136" s="26" t="str">
        <x:v>Water filter, ECCE metirial </x:v>
      </x:c>
      <x:c r="H136" s="26" t="str">
        <x:v>Mission Saksham Anganwadi &amp; POSHAN 2.0</x:v>
      </x:c>
      <x:c r="I136" s="32" t="n">
        <x:v>46164</x:v>
      </x:c>
      <x:c r="J136" s="32" t="n">
        <x:v>46265</x:v>
      </x:c>
      <x:c r="K136" s="32"/>
      <x:c r="L136" s="26" t="str">
        <x:v>Active: On/After 01-Aug-2026</x:v>
      </x:c>
      <x:c r="M136" s="26" t="str">
        <x:v>Pending Mapping</x:v>
      </x:c>
      <x:c r="N136" s="26" t="str">
        <x:v>Original project JSON not available</x:v>
      </x:c>
      <x:c r="O136" s="26"/>
      <x:c r="P136" s="26" t="str"/>
      <x:c r="Q136" s="26" t="str"/>
      <x:c r="R136" s="26"/>
      <x:c r="S136" s="36"/>
      <x:c r="T136" s="26"/>
      <x:c r="U136" s="26"/>
      <x:c r="V136" s="26"/>
      <x:c r="W136" s="26" t="n">
        <x:v>5</x:v>
      </x:c>
      <x:c r="X136" s="26" t="n">
        <x:v>0</x:v>
      </x:c>
      <x:c r="Y136" s="26" t="n">
        <x:f>SUMIF('Activity Detail'!$E$4:$E$706,F136,'Activity Detail'!$L$4:$L$706)</x:f>
        <x:v>8</x:v>
      </x:c>
      <x:c r="Z136" s="26" t="n">
        <x:f>SUMIF('Activity Detail'!$E$4:$E$706,F136,'Activity Detail'!$N$4:$N$706)</x:f>
        <x:v>0</x:v>
      </x:c>
      <x:c r="AA136" s="26" t="n">
        <x:f>MAX(Y136-Z136,0)</x:f>
        <x:v>8</x:v>
      </x:c>
      <x:c r="AB136" s="38" t="n">
        <x:f>IFERROR(Z136/Y136,0)</x:f>
        <x:v>0</x:v>
      </x:c>
      <x:c r="AC136" s="26" t="str">
        <x:v>Committed / Not Delivered</x:v>
      </x:c>
      <x:c r="AD136" s="26" t="str">
        <x:v>Approval not recorded in response</x:v>
      </x:c>
      <x:c r="AE136" s="27" t="b">
        <x:v>1</x:v>
      </x:c>
      <x:c r="AF136" s="34" t="n">
        <x:v>46219.409375</x:v>
      </x:c>
      <x:c r="AG136" s="34"/>
      <x:c r="AH136" s="26" t="str">
        <x:v>Contribution API fields only; original project JSON needed for line-item names/centres/category</x:v>
      </x:c>
      <x:c r="AI136" s="26" t="str"/>
      <x:c r="AJ136" s="26" t="str">
        <x:v>Not Started</x:v>
      </x:c>
      <x:c r="AK136" s="26" t="str"/>
      <x:c r="AL136" s="26" t="str"/>
    </x:row>
    <x:row r="137">
      <x:c r="A137" s="26" t="n">
        <x:v>134</x:v>
      </x:c>
      <x:c r="B137" s="26" t="n">
        <x:v>130</x:v>
      </x:c>
      <x:c r="C137" s="26" t="str">
        <x:v>Siddipet</x:v>
      </x:c>
      <x:c r="D137" s="26" t="str">
        <x:v>Telangana</x:v>
      </x:c>
      <x:c r="E137" s="26" t="n">
        <x:v>3649</x:v>
      </x:c>
      <x:c r="F137" s="26" t="str">
        <x:v>PRJ-2026-0003649</x:v>
      </x:c>
      <x:c r="G137" s="26" t="str">
        <x:v>doulthabad 1 requirement</x:v>
      </x:c>
      <x:c r="H137" s="26" t="str">
        <x:v>Mission Saksham Anganwadi &amp; POSHAN 2.0</x:v>
      </x:c>
      <x:c r="I137" s="32" t="n">
        <x:v>46200</x:v>
      </x:c>
      <x:c r="J137" s="32" t="n">
        <x:v>46326</x:v>
      </x:c>
      <x:c r="K137" s="32"/>
      <x:c r="L137" s="26" t="str">
        <x:v>Active: On/After 01-Aug-2026</x:v>
      </x:c>
      <x:c r="M137" s="26" t="str">
        <x:v>Pending Mapping</x:v>
      </x:c>
      <x:c r="N137" s="26" t="str">
        <x:v>Original project JSON not available</x:v>
      </x:c>
      <x:c r="O137" s="26"/>
      <x:c r="P137" s="26" t="str"/>
      <x:c r="Q137" s="26" t="str"/>
      <x:c r="R137" s="26"/>
      <x:c r="S137" s="36"/>
      <x:c r="T137" s="26"/>
      <x:c r="U137" s="26"/>
      <x:c r="V137" s="26"/>
      <x:c r="W137" s="26" t="n">
        <x:v>3</x:v>
      </x:c>
      <x:c r="X137" s="26" t="n">
        <x:v>0</x:v>
      </x:c>
      <x:c r="Y137" s="26" t="n">
        <x:f>SUMIF('Activity Detail'!$E$4:$E$706,F137,'Activity Detail'!$L$4:$L$706)</x:f>
        <x:v>3</x:v>
      </x:c>
      <x:c r="Z137" s="26" t="n">
        <x:f>SUMIF('Activity Detail'!$E$4:$E$706,F137,'Activity Detail'!$N$4:$N$706)</x:f>
        <x:v>0</x:v>
      </x:c>
      <x:c r="AA137" s="26" t="n">
        <x:f>MAX(Y137-Z137,0)</x:f>
        <x:v>3</x:v>
      </x:c>
      <x:c r="AB137" s="38" t="n">
        <x:f>IFERROR(Z137/Y137,0)</x:f>
        <x:v>0</x:v>
      </x:c>
      <x:c r="AC137" s="26" t="str">
        <x:v>Committed / Not Delivered</x:v>
      </x:c>
      <x:c r="AD137" s="26" t="str">
        <x:v>Approval not recorded in response</x:v>
      </x:c>
      <x:c r="AE137" s="27" t="b">
        <x:v>1</x:v>
      </x:c>
      <x:c r="AF137" s="34" t="n">
        <x:v>46219.40523148148</x:v>
      </x:c>
      <x:c r="AG137" s="34"/>
      <x:c r="AH137" s="26" t="str">
        <x:v>Contribution API fields only; original project JSON needed for line-item names/centres/category</x:v>
      </x:c>
      <x:c r="AI137" s="26" t="str"/>
      <x:c r="AJ137" s="26" t="str">
        <x:v>Not Started</x:v>
      </x:c>
      <x:c r="AK137" s="26" t="str"/>
      <x:c r="AL137" s="26" t="str"/>
    </x:row>
    <x:row r="138">
      <x:c r="A138" s="26" t="n">
        <x:v>135</x:v>
      </x:c>
      <x:c r="B138" s="26" t="n">
        <x:v>129</x:v>
      </x:c>
      <x:c r="C138" s="26" t="str">
        <x:v>Kumuram Bheem Asifabad</x:v>
      </x:c>
      <x:c r="D138" s="26" t="str">
        <x:v>Telangana</x:v>
      </x:c>
      <x:c r="E138" s="26" t="n">
        <x:v>4191</x:v>
      </x:c>
      <x:c r="F138" s="26" t="str">
        <x:v>PRJ-2026-0004191</x:v>
      </x:c>
      <x:c r="G138" s="26" t="str">
        <x:v>water filter</x:v>
      </x:c>
      <x:c r="H138" s="26" t="str">
        <x:v>Mission Saksham Anganwadi &amp; POSHAN 2.0</x:v>
      </x:c>
      <x:c r="I138" s="32" t="n">
        <x:v>46163</x:v>
      </x:c>
      <x:c r="J138" s="32" t="n">
        <x:v>46316</x:v>
      </x:c>
      <x:c r="K138" s="32"/>
      <x:c r="L138" s="26" t="str">
        <x:v>Active: On/After 01-Aug-2026</x:v>
      </x:c>
      <x:c r="M138" s="26" t="str">
        <x:v>Pending Mapping</x:v>
      </x:c>
      <x:c r="N138" s="26" t="str">
        <x:v>Original project JSON not available</x:v>
      </x:c>
      <x:c r="O138" s="26"/>
      <x:c r="P138" s="26" t="str"/>
      <x:c r="Q138" s="26" t="str"/>
      <x:c r="R138" s="26"/>
      <x:c r="S138" s="36"/>
      <x:c r="T138" s="26"/>
      <x:c r="U138" s="26"/>
      <x:c r="V138" s="26"/>
      <x:c r="W138" s="26" t="n">
        <x:v>1</x:v>
      </x:c>
      <x:c r="X138" s="26" t="n">
        <x:v>0</x:v>
      </x:c>
      <x:c r="Y138" s="26" t="n">
        <x:f>SUMIF('Activity Detail'!$E$4:$E$706,F138,'Activity Detail'!$L$4:$L$706)</x:f>
        <x:v>1</x:v>
      </x:c>
      <x:c r="Z138" s="26" t="n">
        <x:f>SUMIF('Activity Detail'!$E$4:$E$706,F138,'Activity Detail'!$N$4:$N$706)</x:f>
        <x:v>0</x:v>
      </x:c>
      <x:c r="AA138" s="26" t="n">
        <x:f>MAX(Y138-Z138,0)</x:f>
        <x:v>1</x:v>
      </x:c>
      <x:c r="AB138" s="38" t="n">
        <x:f>IFERROR(Z138/Y138,0)</x:f>
        <x:v>0</x:v>
      </x:c>
      <x:c r="AC138" s="26" t="str">
        <x:v>Committed / Not Delivered</x:v>
      </x:c>
      <x:c r="AD138" s="26" t="str">
        <x:v>Approval not recorded in response</x:v>
      </x:c>
      <x:c r="AE138" s="27" t="b">
        <x:v>1</x:v>
      </x:c>
      <x:c r="AF138" s="34" t="n">
        <x:v>46219.38929398148</x:v>
      </x:c>
      <x:c r="AG138" s="34"/>
      <x:c r="AH138" s="26" t="str">
        <x:v>Contribution API fields only; original project JSON needed for line-item names/centres/category</x:v>
      </x:c>
      <x:c r="AI138" s="26" t="str"/>
      <x:c r="AJ138" s="26" t="str">
        <x:v>Not Started</x:v>
      </x:c>
      <x:c r="AK138" s="26" t="str"/>
      <x:c r="AL138" s="26" t="str"/>
    </x:row>
    <x:row r="139">
      <x:c r="A139" s="26" t="n">
        <x:v>136</x:v>
      </x:c>
      <x:c r="B139" s="26" t="n">
        <x:v>128</x:v>
      </x:c>
      <x:c r="C139" s="26" t="str">
        <x:v>Kumuram Bheem Asifabad</x:v>
      </x:c>
      <x:c r="D139" s="26" t="str">
        <x:v>Telangana</x:v>
      </x:c>
      <x:c r="E139" s="26" t="n">
        <x:v>144</x:v>
      </x:c>
      <x:c r="F139" s="26" t="str">
        <x:v>PRJ-2026-0000144</x:v>
      </x:c>
      <x:c r="G139" s="26" t="str">
        <x:v>Upgradation of Anganwadi center</x:v>
      </x:c>
      <x:c r="H139" s="26" t="str">
        <x:v>Mission Saksham Anganwadi &amp; POSHAN 2.0</x:v>
      </x:c>
      <x:c r="I139" s="32" t="n">
        <x:v>46162</x:v>
      </x:c>
      <x:c r="J139" s="32" t="n">
        <x:v>46254</x:v>
      </x:c>
      <x:c r="K139" s="32"/>
      <x:c r="L139" s="26" t="str">
        <x:v>Active: On/After 01-Aug-2026</x:v>
      </x:c>
      <x:c r="M139" s="26" t="str">
        <x:v>Pending Mapping</x:v>
      </x:c>
      <x:c r="N139" s="26" t="str">
        <x:v>Original project JSON not available</x:v>
      </x:c>
      <x:c r="O139" s="26"/>
      <x:c r="P139" s="26" t="str"/>
      <x:c r="Q139" s="26" t="str"/>
      <x:c r="R139" s="26"/>
      <x:c r="S139" s="36"/>
      <x:c r="T139" s="26"/>
      <x:c r="U139" s="26"/>
      <x:c r="V139" s="26"/>
      <x:c r="W139" s="26" t="n">
        <x:v>3</x:v>
      </x:c>
      <x:c r="X139" s="26" t="n">
        <x:v>0</x:v>
      </x:c>
      <x:c r="Y139" s="26" t="n">
        <x:f>SUMIF('Activity Detail'!$E$4:$E$706,F139,'Activity Detail'!$L$4:$L$706)</x:f>
        <x:v>9</x:v>
      </x:c>
      <x:c r="Z139" s="26" t="n">
        <x:f>SUMIF('Activity Detail'!$E$4:$E$706,F139,'Activity Detail'!$N$4:$N$706)</x:f>
        <x:v>0</x:v>
      </x:c>
      <x:c r="AA139" s="26" t="n">
        <x:f>MAX(Y139-Z139,0)</x:f>
        <x:v>9</x:v>
      </x:c>
      <x:c r="AB139" s="38" t="n">
        <x:f>IFERROR(Z139/Y139,0)</x:f>
        <x:v>0</x:v>
      </x:c>
      <x:c r="AC139" s="26" t="str">
        <x:v>Committed / Not Delivered</x:v>
      </x:c>
      <x:c r="AD139" s="26" t="str">
        <x:v>Approval not recorded in response</x:v>
      </x:c>
      <x:c r="AE139" s="27" t="b">
        <x:v>1</x:v>
      </x:c>
      <x:c r="AF139" s="34" t="n">
        <x:v>46219.37427083333</x:v>
      </x:c>
      <x:c r="AG139" s="34"/>
      <x:c r="AH139" s="26" t="str">
        <x:v>Contribution API fields only; original project JSON needed for line-item names/centres/category</x:v>
      </x:c>
      <x:c r="AI139" s="26" t="str"/>
      <x:c r="AJ139" s="26" t="str">
        <x:v>Not Started</x:v>
      </x:c>
      <x:c r="AK139" s="26" t="str"/>
      <x:c r="AL139" s="26" t="str"/>
    </x:row>
    <x:row r="140">
      <x:c r="A140" s="26" t="n">
        <x:v>137</x:v>
      </x:c>
      <x:c r="B140" s="26" t="n">
        <x:v>132</x:v>
      </x:c>
      <x:c r="C140" s="26" t="str">
        <x:v>Kumuram Bheem Asifabad</x:v>
      </x:c>
      <x:c r="D140" s="26" t="str">
        <x:v>Telangana</x:v>
      </x:c>
      <x:c r="E140" s="26" t="n">
        <x:v>82</x:v>
      </x:c>
      <x:c r="F140" s="26" t="str">
        <x:v>PRJ-2026-0000082</x:v>
      </x:c>
      <x:c r="G140" s="26" t="str">
        <x:v>Requirement of Water Filter, Door,Ramps</x:v>
      </x:c>
      <x:c r="H140" s="26" t="str">
        <x:v>Mission Saksham Anganwadi &amp; POSHAN 2.0</x:v>
      </x:c>
      <x:c r="I140" s="32" t="n">
        <x:v>46163</x:v>
      </x:c>
      <x:c r="J140" s="32" t="n">
        <x:v>46347</x:v>
      </x:c>
      <x:c r="K140" s="32"/>
      <x:c r="L140" s="26" t="str">
        <x:v>Active: On/After 01-Aug-2026</x:v>
      </x:c>
      <x:c r="M140" s="26" t="str">
        <x:v>Pending Mapping</x:v>
      </x:c>
      <x:c r="N140" s="26" t="str">
        <x:v>Original project JSON not available</x:v>
      </x:c>
      <x:c r="O140" s="26"/>
      <x:c r="P140" s="26" t="str"/>
      <x:c r="Q140" s="26" t="str"/>
      <x:c r="R140" s="26"/>
      <x:c r="S140" s="36"/>
      <x:c r="T140" s="26"/>
      <x:c r="U140" s="26"/>
      <x:c r="V140" s="26"/>
      <x:c r="W140" s="26" t="n">
        <x:v>2</x:v>
      </x:c>
      <x:c r="X140" s="26" t="n">
        <x:v>0</x:v>
      </x:c>
      <x:c r="Y140" s="26" t="n">
        <x:f>SUMIF('Activity Detail'!$E$4:$E$706,F140,'Activity Detail'!$L$4:$L$706)</x:f>
        <x:v>2</x:v>
      </x:c>
      <x:c r="Z140" s="26" t="n">
        <x:f>SUMIF('Activity Detail'!$E$4:$E$706,F140,'Activity Detail'!$N$4:$N$706)</x:f>
        <x:v>0</x:v>
      </x:c>
      <x:c r="AA140" s="26" t="n">
        <x:f>MAX(Y140-Z140,0)</x:f>
        <x:v>2</x:v>
      </x:c>
      <x:c r="AB140" s="38" t="n">
        <x:f>IFERROR(Z140/Y140,0)</x:f>
        <x:v>0</x:v>
      </x:c>
      <x:c r="AC140" s="26" t="str">
        <x:v>Committed / Not Delivered</x:v>
      </x:c>
      <x:c r="AD140" s="26" t="str">
        <x:v>Approval not recorded in response</x:v>
      </x:c>
      <x:c r="AE140" s="27" t="b">
        <x:v>1</x:v>
      </x:c>
      <x:c r="AF140" s="34" t="n">
        <x:v>46218.51111111111</x:v>
      </x:c>
      <x:c r="AG140" s="34"/>
      <x:c r="AH140" s="26" t="str">
        <x:v>Contribution API fields only; original project JSON needed for line-item names/centres/category</x:v>
      </x:c>
      <x:c r="AI140" s="26" t="str"/>
      <x:c r="AJ140" s="26" t="str">
        <x:v>Not Started</x:v>
      </x:c>
      <x:c r="AK140" s="26" t="str"/>
      <x:c r="AL140" s="26" t="str"/>
    </x:row>
    <x:row r="141">
      <x:c r="A141" s="26" t="n">
        <x:v>138</x:v>
      </x:c>
      <x:c r="B141" s="26" t="n">
        <x:v>134</x:v>
      </x:c>
      <x:c r="C141" s="26" t="str">
        <x:v>Kumuram Bheem Asifabad</x:v>
      </x:c>
      <x:c r="D141" s="26" t="str">
        <x:v>Telangana</x:v>
      </x:c>
      <x:c r="E141" s="26" t="n">
        <x:v>223</x:v>
      </x:c>
      <x:c r="F141" s="26" t="str">
        <x:v>PRJ-2026-0000223</x:v>
      </x:c>
      <x:c r="G141" s="26" t="str">
        <x:v>Requirement of Toilet, Water filter, Poshan Vatika, Solar panel</x:v>
      </x:c>
      <x:c r="H141" s="26" t="str">
        <x:v>Mission Saksham Anganwadi &amp; POSHAN 2.0</x:v>
      </x:c>
      <x:c r="I141" s="32" t="n">
        <x:v>46163</x:v>
      </x:c>
      <x:c r="J141" s="32" t="n">
        <x:v>46347</x:v>
      </x:c>
      <x:c r="K141" s="32"/>
      <x:c r="L141" s="26" t="str">
        <x:v>Active: On/After 01-Aug-2026</x:v>
      </x:c>
      <x:c r="M141" s="26" t="str">
        <x:v>Pending Mapping</x:v>
      </x:c>
      <x:c r="N141" s="26" t="str">
        <x:v>Original project JSON not available</x:v>
      </x:c>
      <x:c r="O141" s="26"/>
      <x:c r="P141" s="26" t="str"/>
      <x:c r="Q141" s="26" t="str"/>
      <x:c r="R141" s="26"/>
      <x:c r="S141" s="36"/>
      <x:c r="T141" s="26"/>
      <x:c r="U141" s="26"/>
      <x:c r="V141" s="26"/>
      <x:c r="W141" s="26" t="n">
        <x:v>4</x:v>
      </x:c>
      <x:c r="X141" s="26" t="n">
        <x:v>0</x:v>
      </x:c>
      <x:c r="Y141" s="26" t="n">
        <x:f>SUMIF('Activity Detail'!$E$4:$E$706,F141,'Activity Detail'!$L$4:$L$706)</x:f>
        <x:v>5</x:v>
      </x:c>
      <x:c r="Z141" s="26" t="n">
        <x:f>SUMIF('Activity Detail'!$E$4:$E$706,F141,'Activity Detail'!$N$4:$N$706)</x:f>
        <x:v>0</x:v>
      </x:c>
      <x:c r="AA141" s="26" t="n">
        <x:f>MAX(Y141-Z141,0)</x:f>
        <x:v>5</x:v>
      </x:c>
      <x:c r="AB141" s="38" t="n">
        <x:f>IFERROR(Z141/Y141,0)</x:f>
        <x:v>0</x:v>
      </x:c>
      <x:c r="AC141" s="26" t="str">
        <x:v>Committed / Not Delivered</x:v>
      </x:c>
      <x:c r="AD141" s="26" t="str">
        <x:v>Approval not recorded in response</x:v>
      </x:c>
      <x:c r="AE141" s="27" t="b">
        <x:v>1</x:v>
      </x:c>
      <x:c r="AF141" s="34" t="n">
        <x:v>46218.511087962965</x:v>
      </x:c>
      <x:c r="AG141" s="34"/>
      <x:c r="AH141" s="26" t="str">
        <x:v>Contribution API fields only; original project JSON needed for line-item names/centres/category</x:v>
      </x:c>
      <x:c r="AI141" s="26" t="str"/>
      <x:c r="AJ141" s="26" t="str">
        <x:v>Not Started</x:v>
      </x:c>
      <x:c r="AK141" s="26" t="str"/>
      <x:c r="AL141" s="26" t="str"/>
    </x:row>
    <x:row r="142">
      <x:c r="A142" s="26" t="n">
        <x:v>139</x:v>
      </x:c>
      <x:c r="B142" s="26" t="n">
        <x:v>135</x:v>
      </x:c>
      <x:c r="C142" s="26" t="str">
        <x:v>Kumuram Bheem Asifabad</x:v>
      </x:c>
      <x:c r="D142" s="26" t="str">
        <x:v>Telangana</x:v>
      </x:c>
      <x:c r="E142" s="26" t="n">
        <x:v>245</x:v>
      </x:c>
      <x:c r="F142" s="26" t="str">
        <x:v>PRJ-2026-0000245</x:v>
      </x:c>
      <x:c r="G142" s="26" t="str">
        <x:v>Requirement of Water Filter, ECCE, GMD, Gas stove &amp; Regulator</x:v>
      </x:c>
      <x:c r="H142" s="26" t="str">
        <x:v>Mission Saksham Anganwadi &amp; POSHAN 2.0</x:v>
      </x:c>
      <x:c r="I142" s="32" t="n">
        <x:v>46163</x:v>
      </x:c>
      <x:c r="J142" s="32" t="n">
        <x:v>46347</x:v>
      </x:c>
      <x:c r="K142" s="32"/>
      <x:c r="L142" s="26" t="str">
        <x:v>Active: On/After 01-Aug-2026</x:v>
      </x:c>
      <x:c r="M142" s="26" t="str">
        <x:v>Pending Mapping</x:v>
      </x:c>
      <x:c r="N142" s="26" t="str">
        <x:v>Original project JSON not available</x:v>
      </x:c>
      <x:c r="O142" s="26"/>
      <x:c r="P142" s="26" t="str"/>
      <x:c r="Q142" s="26" t="str"/>
      <x:c r="R142" s="26"/>
      <x:c r="S142" s="36"/>
      <x:c r="T142" s="26"/>
      <x:c r="U142" s="26"/>
      <x:c r="V142" s="26"/>
      <x:c r="W142" s="26" t="n">
        <x:v>3</x:v>
      </x:c>
      <x:c r="X142" s="26" t="n">
        <x:v>0</x:v>
      </x:c>
      <x:c r="Y142" s="26" t="n">
        <x:f>SUMIF('Activity Detail'!$E$4:$E$706,F142,'Activity Detail'!$L$4:$L$706)</x:f>
        <x:v>8</x:v>
      </x:c>
      <x:c r="Z142" s="26" t="n">
        <x:f>SUMIF('Activity Detail'!$E$4:$E$706,F142,'Activity Detail'!$N$4:$N$706)</x:f>
        <x:v>0</x:v>
      </x:c>
      <x:c r="AA142" s="26" t="n">
        <x:f>MAX(Y142-Z142,0)</x:f>
        <x:v>8</x:v>
      </x:c>
      <x:c r="AB142" s="38" t="n">
        <x:f>IFERROR(Z142/Y142,0)</x:f>
        <x:v>0</x:v>
      </x:c>
      <x:c r="AC142" s="26" t="str">
        <x:v>Committed / Not Delivered</x:v>
      </x:c>
      <x:c r="AD142" s="26" t="str">
        <x:v>Approval not recorded in response</x:v>
      </x:c>
      <x:c r="AE142" s="27" t="b">
        <x:v>1</x:v>
      </x:c>
      <x:c r="AF142" s="34" t="n">
        <x:v>46218.51107638889</x:v>
      </x:c>
      <x:c r="AG142" s="34"/>
      <x:c r="AH142" s="26" t="str">
        <x:v>Contribution API fields only; original project JSON needed for line-item names/centres/category</x:v>
      </x:c>
      <x:c r="AI142" s="26" t="str"/>
      <x:c r="AJ142" s="26" t="str">
        <x:v>Not Started</x:v>
      </x:c>
      <x:c r="AK142" s="26" t="str"/>
      <x:c r="AL142" s="26" t="str"/>
    </x:row>
    <x:row r="143">
      <x:c r="A143" s="26" t="n">
        <x:v>140</x:v>
      </x:c>
      <x:c r="B143" s="26" t="n">
        <x:v>136</x:v>
      </x:c>
      <x:c r="C143" s="26" t="str">
        <x:v>Kumuram Bheem Asifabad</x:v>
      </x:c>
      <x:c r="D143" s="26" t="str">
        <x:v>Telangana</x:v>
      </x:c>
      <x:c r="E143" s="26" t="n">
        <x:v>250</x:v>
      </x:c>
      <x:c r="F143" s="26" t="str">
        <x:v>PRJ-2026-0000250</x:v>
      </x:c>
      <x:c r="G143" s="26" t="str">
        <x:v>Requirement of Water Filter, Solar Panel, GMD</x:v>
      </x:c>
      <x:c r="H143" s="26" t="str">
        <x:v>Mission Saksham Anganwadi &amp; POSHAN 2.0</x:v>
      </x:c>
      <x:c r="I143" s="32" t="n">
        <x:v>46163</x:v>
      </x:c>
      <x:c r="J143" s="32" t="n">
        <x:v>46347</x:v>
      </x:c>
      <x:c r="K143" s="32"/>
      <x:c r="L143" s="26" t="str">
        <x:v>Active: On/After 01-Aug-2026</x:v>
      </x:c>
      <x:c r="M143" s="26" t="str">
        <x:v>Pending Mapping</x:v>
      </x:c>
      <x:c r="N143" s="26" t="str">
        <x:v>Original project JSON not available</x:v>
      </x:c>
      <x:c r="O143" s="26"/>
      <x:c r="P143" s="26" t="str"/>
      <x:c r="Q143" s="26" t="str"/>
      <x:c r="R143" s="26"/>
      <x:c r="S143" s="36"/>
      <x:c r="T143" s="26"/>
      <x:c r="U143" s="26"/>
      <x:c r="V143" s="26"/>
      <x:c r="W143" s="26" t="n">
        <x:v>2</x:v>
      </x:c>
      <x:c r="X143" s="26" t="n">
        <x:v>0</x:v>
      </x:c>
      <x:c r="Y143" s="26" t="n">
        <x:f>SUMIF('Activity Detail'!$E$4:$E$706,F143,'Activity Detail'!$L$4:$L$706)</x:f>
        <x:v>2</x:v>
      </x:c>
      <x:c r="Z143" s="26" t="n">
        <x:f>SUMIF('Activity Detail'!$E$4:$E$706,F143,'Activity Detail'!$N$4:$N$706)</x:f>
        <x:v>0</x:v>
      </x:c>
      <x:c r="AA143" s="26" t="n">
        <x:f>MAX(Y143-Z143,0)</x:f>
        <x:v>2</x:v>
      </x:c>
      <x:c r="AB143" s="38" t="n">
        <x:f>IFERROR(Z143/Y143,0)</x:f>
        <x:v>0</x:v>
      </x:c>
      <x:c r="AC143" s="26" t="str">
        <x:v>Committed / Not Delivered</x:v>
      </x:c>
      <x:c r="AD143" s="26" t="str">
        <x:v>Approval not recorded in response</x:v>
      </x:c>
      <x:c r="AE143" s="27" t="b">
        <x:v>1</x:v>
      </x:c>
      <x:c r="AF143" s="34" t="n">
        <x:v>46218.51106481482</x:v>
      </x:c>
      <x:c r="AG143" s="34"/>
      <x:c r="AH143" s="26" t="str">
        <x:v>Contribution API fields only; original project JSON needed for line-item names/centres/category</x:v>
      </x:c>
      <x:c r="AI143" s="26" t="str"/>
      <x:c r="AJ143" s="26" t="str">
        <x:v>Not Started</x:v>
      </x:c>
      <x:c r="AK143" s="26" t="str"/>
      <x:c r="AL143" s="26" t="str"/>
    </x:row>
    <x:row r="144">
      <x:c r="A144" s="26" t="n">
        <x:v>141</x:v>
      </x:c>
      <x:c r="B144" s="26" t="n">
        <x:v>137</x:v>
      </x:c>
      <x:c r="C144" s="26" t="str">
        <x:v>Kumuram Bheem Asifabad</x:v>
      </x:c>
      <x:c r="D144" s="26" t="str">
        <x:v>Telangana</x:v>
      </x:c>
      <x:c r="E144" s="26" t="n">
        <x:v>874</x:v>
      </x:c>
      <x:c r="F144" s="26" t="str">
        <x:v>PRJ-2026-0000874</x:v>
      </x:c>
      <x:c r="G144" s="26" t="str">
        <x:v>Materials(Balls, Dining, Hand wash)</x:v>
      </x:c>
      <x:c r="H144" s="26" t="str">
        <x:v>Mission Saksham Anganwadi &amp; POSHAN 2.0</x:v>
      </x:c>
      <x:c r="I144" s="32" t="n">
        <x:v>46163</x:v>
      </x:c>
      <x:c r="J144" s="32" t="n">
        <x:v>46316</x:v>
      </x:c>
      <x:c r="K144" s="32"/>
      <x:c r="L144" s="26" t="str">
        <x:v>Active: On/After 01-Aug-2026</x:v>
      </x:c>
      <x:c r="M144" s="26" t="str">
        <x:v>Pending Mapping</x:v>
      </x:c>
      <x:c r="N144" s="26" t="str">
        <x:v>Original project JSON not available</x:v>
      </x:c>
      <x:c r="O144" s="26"/>
      <x:c r="P144" s="26" t="str"/>
      <x:c r="Q144" s="26" t="str"/>
      <x:c r="R144" s="26"/>
      <x:c r="S144" s="36"/>
      <x:c r="T144" s="26"/>
      <x:c r="U144" s="26"/>
      <x:c r="V144" s="26"/>
      <x:c r="W144" s="26" t="n">
        <x:v>3</x:v>
      </x:c>
      <x:c r="X144" s="26" t="n">
        <x:v>0</x:v>
      </x:c>
      <x:c r="Y144" s="26" t="n">
        <x:f>SUMIF('Activity Detail'!$E$4:$E$706,F144,'Activity Detail'!$L$4:$L$706)</x:f>
        <x:v>29</x:v>
      </x:c>
      <x:c r="Z144" s="26" t="n">
        <x:f>SUMIF('Activity Detail'!$E$4:$E$706,F144,'Activity Detail'!$N$4:$N$706)</x:f>
        <x:v>0</x:v>
      </x:c>
      <x:c r="AA144" s="26" t="n">
        <x:f>MAX(Y144-Z144,0)</x:f>
        <x:v>29</x:v>
      </x:c>
      <x:c r="AB144" s="38" t="n">
        <x:f>IFERROR(Z144/Y144,0)</x:f>
        <x:v>0</x:v>
      </x:c>
      <x:c r="AC144" s="26" t="str">
        <x:v>Committed / Not Delivered</x:v>
      </x:c>
      <x:c r="AD144" s="26" t="str">
        <x:v>Approval not recorded in response</x:v>
      </x:c>
      <x:c r="AE144" s="27" t="b">
        <x:v>1</x:v>
      </x:c>
      <x:c r="AF144" s="34" t="n">
        <x:v>46218.51106481482</x:v>
      </x:c>
      <x:c r="AG144" s="34"/>
      <x:c r="AH144" s="26" t="str">
        <x:v>Contribution API fields only; original project JSON needed for line-item names/centres/category</x:v>
      </x:c>
      <x:c r="AI144" s="26" t="str"/>
      <x:c r="AJ144" s="26" t="str">
        <x:v>Not Started</x:v>
      </x:c>
      <x:c r="AK144" s="26" t="str"/>
      <x:c r="AL144" s="26" t="str"/>
    </x:row>
    <x:row r="145">
      <x:c r="A145" s="26" t="n">
        <x:v>142</x:v>
      </x:c>
      <x:c r="B145" s="26" t="n">
        <x:v>138</x:v>
      </x:c>
      <x:c r="C145" s="26" t="str">
        <x:v>Kumuram Bheem Asifabad</x:v>
      </x:c>
      <x:c r="D145" s="26" t="str">
        <x:v>Telangana</x:v>
      </x:c>
      <x:c r="E145" s="26" t="n">
        <x:v>1014</x:v>
      </x:c>
      <x:c r="F145" s="26" t="str">
        <x:v>PRJ-2026-0001014</x:v>
      </x:c>
      <x:c r="G145" s="26" t="str">
        <x:v>Materials(Swing Sets, Gardening Equipment, Seeds)  </x:v>
      </x:c>
      <x:c r="H145" s="26" t="str">
        <x:v>Mission Saksham Anganwadi &amp; POSHAN 2.0</x:v>
      </x:c>
      <x:c r="I145" s="32" t="n">
        <x:v>46163</x:v>
      </x:c>
      <x:c r="J145" s="32" t="n">
        <x:v>46316</x:v>
      </x:c>
      <x:c r="K145" s="32"/>
      <x:c r="L145" s="26" t="str">
        <x:v>Active: On/After 01-Aug-2026</x:v>
      </x:c>
      <x:c r="M145" s="26" t="str">
        <x:v>Pending Mapping</x:v>
      </x:c>
      <x:c r="N145" s="26" t="str">
        <x:v>Original project JSON not available</x:v>
      </x:c>
      <x:c r="O145" s="26"/>
      <x:c r="P145" s="26" t="str"/>
      <x:c r="Q145" s="26" t="str"/>
      <x:c r="R145" s="26"/>
      <x:c r="S145" s="36"/>
      <x:c r="T145" s="26"/>
      <x:c r="U145" s="26"/>
      <x:c r="V145" s="26"/>
      <x:c r="W145" s="26" t="n">
        <x:v>3</x:v>
      </x:c>
      <x:c r="X145" s="26" t="n">
        <x:v>0</x:v>
      </x:c>
      <x:c r="Y145" s="26" t="n">
        <x:f>SUMIF('Activity Detail'!$E$4:$E$706,F145,'Activity Detail'!$L$4:$L$706)</x:f>
        <x:v>15</x:v>
      </x:c>
      <x:c r="Z145" s="26" t="n">
        <x:f>SUMIF('Activity Detail'!$E$4:$E$706,F145,'Activity Detail'!$N$4:$N$706)</x:f>
        <x:v>0</x:v>
      </x:c>
      <x:c r="AA145" s="26" t="n">
        <x:f>MAX(Y145-Z145,0)</x:f>
        <x:v>15</x:v>
      </x:c>
      <x:c r="AB145" s="38" t="n">
        <x:f>IFERROR(Z145/Y145,0)</x:f>
        <x:v>0</x:v>
      </x:c>
      <x:c r="AC145" s="26" t="str">
        <x:v>Committed / Not Delivered</x:v>
      </x:c>
      <x:c r="AD145" s="26" t="str">
        <x:v>Approval not recorded in response</x:v>
      </x:c>
      <x:c r="AE145" s="27" t="b">
        <x:v>1</x:v>
      </x:c>
      <x:c r="AF145" s="34" t="n">
        <x:v>46218.51105324074</x:v>
      </x:c>
      <x:c r="AG145" s="34"/>
      <x:c r="AH145" s="26" t="str">
        <x:v>Contribution API fields only; original project JSON needed for line-item names/centres/category</x:v>
      </x:c>
      <x:c r="AI145" s="26" t="str"/>
      <x:c r="AJ145" s="26" t="str">
        <x:v>Not Started</x:v>
      </x:c>
      <x:c r="AK145" s="26" t="str"/>
      <x:c r="AL145" s="26" t="str"/>
    </x:row>
    <x:row r="146">
      <x:c r="A146" s="26" t="n">
        <x:v>143</x:v>
      </x:c>
      <x:c r="B146" s="26" t="n">
        <x:v>139</x:v>
      </x:c>
      <x:c r="C146" s="26" t="str">
        <x:v>Kumuram Bheem Asifabad</x:v>
      </x:c>
      <x:c r="D146" s="26" t="str">
        <x:v>Telangana</x:v>
      </x:c>
      <x:c r="E146" s="26" t="n">
        <x:v>1105</x:v>
      </x:c>
      <x:c r="F146" s="26" t="str">
        <x:v>PRJ-2026-0001105</x:v>
      </x:c>
      <x:c r="G146" s="26" t="str">
        <x:v>Materials (Gardening Equipment, Seeds, Other Resources)  </x:v>
      </x:c>
      <x:c r="H146" s="26" t="str">
        <x:v>Mission Saksham Anganwadi &amp; POSHAN 2.0</x:v>
      </x:c>
      <x:c r="I146" s="32" t="n">
        <x:v>46163</x:v>
      </x:c>
      <x:c r="J146" s="32" t="n">
        <x:v>46316</x:v>
      </x:c>
      <x:c r="K146" s="32"/>
      <x:c r="L146" s="26" t="str">
        <x:v>Active: On/After 01-Aug-2026</x:v>
      </x:c>
      <x:c r="M146" s="26" t="str">
        <x:v>Pending Mapping</x:v>
      </x:c>
      <x:c r="N146" s="26" t="str">
        <x:v>Original project JSON not available</x:v>
      </x:c>
      <x:c r="O146" s="26"/>
      <x:c r="P146" s="26" t="str"/>
      <x:c r="Q146" s="26" t="str"/>
      <x:c r="R146" s="26"/>
      <x:c r="S146" s="36"/>
      <x:c r="T146" s="26"/>
      <x:c r="U146" s="26"/>
      <x:c r="V146" s="26"/>
      <x:c r="W146" s="26" t="n">
        <x:v>3</x:v>
      </x:c>
      <x:c r="X146" s="26" t="n">
        <x:v>0</x:v>
      </x:c>
      <x:c r="Y146" s="26" t="n">
        <x:f>SUMIF('Activity Detail'!$E$4:$E$706,F146,'Activity Detail'!$L$4:$L$706)</x:f>
        <x:v>21</x:v>
      </x:c>
      <x:c r="Z146" s="26" t="n">
        <x:f>SUMIF('Activity Detail'!$E$4:$E$706,F146,'Activity Detail'!$N$4:$N$706)</x:f>
        <x:v>0</x:v>
      </x:c>
      <x:c r="AA146" s="26" t="n">
        <x:f>MAX(Y146-Z146,0)</x:f>
        <x:v>21</x:v>
      </x:c>
      <x:c r="AB146" s="38" t="n">
        <x:f>IFERROR(Z146/Y146,0)</x:f>
        <x:v>0</x:v>
      </x:c>
      <x:c r="AC146" s="26" t="str">
        <x:v>Committed / Not Delivered</x:v>
      </x:c>
      <x:c r="AD146" s="26" t="str">
        <x:v>Approval not recorded in response</x:v>
      </x:c>
      <x:c r="AE146" s="27" t="b">
        <x:v>1</x:v>
      </x:c>
      <x:c r="AF146" s="34" t="n">
        <x:v>46218.511041666665</x:v>
      </x:c>
      <x:c r="AG146" s="34"/>
      <x:c r="AH146" s="26" t="str">
        <x:v>Contribution API fields only; original project JSON needed for line-item names/centres/category</x:v>
      </x:c>
      <x:c r="AI146" s="26" t="str"/>
      <x:c r="AJ146" s="26" t="str">
        <x:v>Not Started</x:v>
      </x:c>
      <x:c r="AK146" s="26" t="str"/>
      <x:c r="AL146" s="26" t="str"/>
    </x:row>
    <x:row r="147">
      <x:c r="A147" s="26" t="n">
        <x:v>144</x:v>
      </x:c>
      <x:c r="B147" s="26" t="n">
        <x:v>144</x:v>
      </x:c>
      <x:c r="C147" s="26" t="str">
        <x:v>Kumuram Bheem Asifabad</x:v>
      </x:c>
      <x:c r="D147" s="26" t="str">
        <x:v>Telangana</x:v>
      </x:c>
      <x:c r="E147" s="26" t="n">
        <x:v>2039</x:v>
      </x:c>
      <x:c r="F147" s="26" t="str">
        <x:v>PRJ-2026-0002039</x:v>
      </x:c>
      <x:c r="G147" s="26" t="str">
        <x:v>Upgradation of AWCs </x:v>
      </x:c>
      <x:c r="H147" s="26" t="str">
        <x:v>Mission Saksham Anganwadi &amp; POSHAN 2.0</x:v>
      </x:c>
      <x:c r="I147" s="32" t="n">
        <x:v>46163</x:v>
      </x:c>
      <x:c r="J147" s="32" t="n">
        <x:v>46316</x:v>
      </x:c>
      <x:c r="K147" s="32"/>
      <x:c r="L147" s="26" t="str">
        <x:v>Active: On/After 01-Aug-2026</x:v>
      </x:c>
      <x:c r="M147" s="26" t="str">
        <x:v>Pending Mapping</x:v>
      </x:c>
      <x:c r="N147" s="26" t="str">
        <x:v>Original project JSON not available</x:v>
      </x:c>
      <x:c r="O147" s="26"/>
      <x:c r="P147" s="26" t="str"/>
      <x:c r="Q147" s="26" t="str"/>
      <x:c r="R147" s="26"/>
      <x:c r="S147" s="36"/>
      <x:c r="T147" s="26"/>
      <x:c r="U147" s="26"/>
      <x:c r="V147" s="26"/>
      <x:c r="W147" s="26" t="n">
        <x:v>4</x:v>
      </x:c>
      <x:c r="X147" s="26" t="n">
        <x:v>0</x:v>
      </x:c>
      <x:c r="Y147" s="26" t="n">
        <x:f>SUMIF('Activity Detail'!$E$4:$E$706,F147,'Activity Detail'!$L$4:$L$706)</x:f>
        <x:v>4</x:v>
      </x:c>
      <x:c r="Z147" s="26" t="n">
        <x:f>SUMIF('Activity Detail'!$E$4:$E$706,F147,'Activity Detail'!$N$4:$N$706)</x:f>
        <x:v>0</x:v>
      </x:c>
      <x:c r="AA147" s="26" t="n">
        <x:f>MAX(Y147-Z147,0)</x:f>
        <x:v>4</x:v>
      </x:c>
      <x:c r="AB147" s="38" t="n">
        <x:f>IFERROR(Z147/Y147,0)</x:f>
        <x:v>0</x:v>
      </x:c>
      <x:c r="AC147" s="26" t="str">
        <x:v>Committed / Not Delivered</x:v>
      </x:c>
      <x:c r="AD147" s="26" t="str">
        <x:v>Approval not recorded in response</x:v>
      </x:c>
      <x:c r="AE147" s="27" t="b">
        <x:v>1</x:v>
      </x:c>
      <x:c r="AF147" s="34" t="n">
        <x:v>46218.51100694444</x:v>
      </x:c>
      <x:c r="AG147" s="34"/>
      <x:c r="AH147" s="26" t="str">
        <x:v>Contribution API fields only; original project JSON needed for line-item names/centres/category</x:v>
      </x:c>
      <x:c r="AI147" s="26" t="str"/>
      <x:c r="AJ147" s="26" t="str">
        <x:v>Not Started</x:v>
      </x:c>
      <x:c r="AK147" s="26" t="str"/>
      <x:c r="AL147" s="26" t="str"/>
    </x:row>
    <x:row r="148">
      <x:c r="A148" s="26" t="n">
        <x:v>145</x:v>
      </x:c>
      <x:c r="B148" s="26" t="n">
        <x:v>148</x:v>
      </x:c>
      <x:c r="C148" s="26" t="str">
        <x:v>Kumuram Bheem Asifabad</x:v>
      </x:c>
      <x:c r="D148" s="26" t="str">
        <x:v>Telangana</x:v>
      </x:c>
      <x:c r="E148" s="26" t="n">
        <x:v>2474</x:v>
      </x:c>
      <x:c r="F148" s="26" t="str">
        <x:v>PRJ-2026-0002474</x:v>
      </x:c>
      <x:c r="G148" s="26" t="str">
        <x:v>Materials (Toys, Balls, Swing Sets)  </x:v>
      </x:c>
      <x:c r="H148" s="26" t="str">
        <x:v>Mission Saksham Anganwadi &amp; POSHAN 2.0</x:v>
      </x:c>
      <x:c r="I148" s="32" t="n">
        <x:v>46163</x:v>
      </x:c>
      <x:c r="J148" s="32" t="n">
        <x:v>46316</x:v>
      </x:c>
      <x:c r="K148" s="32"/>
      <x:c r="L148" s="26" t="str">
        <x:v>Active: On/After 01-Aug-2026</x:v>
      </x:c>
      <x:c r="M148" s="26" t="str">
        <x:v>Pending Mapping</x:v>
      </x:c>
      <x:c r="N148" s="26" t="str">
        <x:v>Original project JSON not available</x:v>
      </x:c>
      <x:c r="O148" s="26"/>
      <x:c r="P148" s="26" t="str"/>
      <x:c r="Q148" s="26" t="str"/>
      <x:c r="R148" s="26"/>
      <x:c r="S148" s="36"/>
      <x:c r="T148" s="26"/>
      <x:c r="U148" s="26"/>
      <x:c r="V148" s="26"/>
      <x:c r="W148" s="26" t="n">
        <x:v>3</x:v>
      </x:c>
      <x:c r="X148" s="26" t="n">
        <x:v>0</x:v>
      </x:c>
      <x:c r="Y148" s="26" t="n">
        <x:f>SUMIF('Activity Detail'!$E$4:$E$706,F148,'Activity Detail'!$L$4:$L$706)</x:f>
        <x:v>34</x:v>
      </x:c>
      <x:c r="Z148" s="26" t="n">
        <x:f>SUMIF('Activity Detail'!$E$4:$E$706,F148,'Activity Detail'!$N$4:$N$706)</x:f>
        <x:v>0</x:v>
      </x:c>
      <x:c r="AA148" s="26" t="n">
        <x:f>MAX(Y148-Z148,0)</x:f>
        <x:v>34</x:v>
      </x:c>
      <x:c r="AB148" s="38" t="n">
        <x:f>IFERROR(Z148/Y148,0)</x:f>
        <x:v>0</x:v>
      </x:c>
      <x:c r="AC148" s="26" t="str">
        <x:v>Committed / Not Delivered</x:v>
      </x:c>
      <x:c r="AD148" s="26" t="str">
        <x:v>Approval not recorded in response</x:v>
      </x:c>
      <x:c r="AE148" s="27" t="b">
        <x:v>1</x:v>
      </x:c>
      <x:c r="AF148" s="34" t="n">
        <x:v>46218.51097222222</x:v>
      </x:c>
      <x:c r="AG148" s="34"/>
      <x:c r="AH148" s="26" t="str">
        <x:v>Contribution API fields only; original project JSON needed for line-item names/centres/category</x:v>
      </x:c>
      <x:c r="AI148" s="26" t="str"/>
      <x:c r="AJ148" s="26" t="str">
        <x:v>Not Started</x:v>
      </x:c>
      <x:c r="AK148" s="26" t="str"/>
      <x:c r="AL148" s="26" t="str"/>
    </x:row>
    <x:row r="149">
      <x:c r="A149" s="26" t="n">
        <x:v>146</x:v>
      </x:c>
      <x:c r="B149" s="26" t="n">
        <x:v>149</x:v>
      </x:c>
      <x:c r="C149" s="26" t="str">
        <x:v>Kumuram Bheem Asifabad</x:v>
      </x:c>
      <x:c r="D149" s="26" t="str">
        <x:v>Telangana</x:v>
      </x:c>
      <x:c r="E149" s="26" t="n">
        <x:v>2759</x:v>
      </x:c>
      <x:c r="F149" s="26" t="str">
        <x:v>PRJ-2026-0002759</x:v>
      </x:c>
      <x:c r="G149" s="26" t="str">
        <x:v>requirement of anganwadi facilities</x:v>
      </x:c>
      <x:c r="H149" s="26" t="str">
        <x:v>Mission Saksham Anganwadi &amp; POSHAN 2.0</x:v>
      </x:c>
      <x:c r="I149" s="32" t="n">
        <x:v>46163</x:v>
      </x:c>
      <x:c r="J149" s="32" t="n">
        <x:v>46316</x:v>
      </x:c>
      <x:c r="K149" s="32"/>
      <x:c r="L149" s="26" t="str">
        <x:v>Active: On/After 01-Aug-2026</x:v>
      </x:c>
      <x:c r="M149" s="26" t="str">
        <x:v>Pending Mapping</x:v>
      </x:c>
      <x:c r="N149" s="26" t="str">
        <x:v>Original project JSON not available</x:v>
      </x:c>
      <x:c r="O149" s="26"/>
      <x:c r="P149" s="26" t="str"/>
      <x:c r="Q149" s="26" t="str"/>
      <x:c r="R149" s="26"/>
      <x:c r="S149" s="36"/>
      <x:c r="T149" s="26"/>
      <x:c r="U149" s="26"/>
      <x:c r="V149" s="26"/>
      <x:c r="W149" s="26" t="n">
        <x:v>4</x:v>
      </x:c>
      <x:c r="X149" s="26" t="n">
        <x:v>0</x:v>
      </x:c>
      <x:c r="Y149" s="26" t="n">
        <x:f>SUMIF('Activity Detail'!$E$4:$E$706,F149,'Activity Detail'!$L$4:$L$706)</x:f>
        <x:v>4</x:v>
      </x:c>
      <x:c r="Z149" s="26" t="n">
        <x:f>SUMIF('Activity Detail'!$E$4:$E$706,F149,'Activity Detail'!$N$4:$N$706)</x:f>
        <x:v>0</x:v>
      </x:c>
      <x:c r="AA149" s="26" t="n">
        <x:f>MAX(Y149-Z149,0)</x:f>
        <x:v>4</x:v>
      </x:c>
      <x:c r="AB149" s="38" t="n">
        <x:f>IFERROR(Z149/Y149,0)</x:f>
        <x:v>0</x:v>
      </x:c>
      <x:c r="AC149" s="26" t="str">
        <x:v>Committed / Not Delivered</x:v>
      </x:c>
      <x:c r="AD149" s="26" t="str">
        <x:v>Approval not recorded in response</x:v>
      </x:c>
      <x:c r="AE149" s="27" t="b">
        <x:v>1</x:v>
      </x:c>
      <x:c r="AF149" s="34" t="n">
        <x:v>46218.51096064815</x:v>
      </x:c>
      <x:c r="AG149" s="34"/>
      <x:c r="AH149" s="26" t="str">
        <x:v>Contribution API fields only; original project JSON needed for line-item names/centres/category</x:v>
      </x:c>
      <x:c r="AI149" s="26" t="str"/>
      <x:c r="AJ149" s="26" t="str">
        <x:v>Not Started</x:v>
      </x:c>
      <x:c r="AK149" s="26" t="str"/>
      <x:c r="AL149" s="26" t="str"/>
    </x:row>
    <x:row r="150">
      <x:c r="A150" s="26" t="n">
        <x:v>147</x:v>
      </x:c>
      <x:c r="B150" s="26" t="n">
        <x:v>150</x:v>
      </x:c>
      <x:c r="C150" s="26" t="str">
        <x:v>Kumuram Bheem Asifabad</x:v>
      </x:c>
      <x:c r="D150" s="26" t="str">
        <x:v>Telangana</x:v>
      </x:c>
      <x:c r="E150" s="26" t="n">
        <x:v>2916</x:v>
      </x:c>
      <x:c r="F150" s="26" t="str">
        <x:v>PRJ-2026-0002916</x:v>
      </x:c>
      <x:c r="G150" s="26" t="str">
        <x:v>Upgradation of  2 Anganwadi centres</x:v>
      </x:c>
      <x:c r="H150" s="26" t="str">
        <x:v>Mission Saksham Anganwadi &amp; POSHAN 2.0</x:v>
      </x:c>
      <x:c r="I150" s="32" t="n">
        <x:v>46163</x:v>
      </x:c>
      <x:c r="J150" s="32" t="n">
        <x:v>46285</x:v>
      </x:c>
      <x:c r="K150" s="32"/>
      <x:c r="L150" s="26" t="str">
        <x:v>Active: On/After 01-Aug-2026</x:v>
      </x:c>
      <x:c r="M150" s="26" t="str">
        <x:v>Pending Mapping</x:v>
      </x:c>
      <x:c r="N150" s="26" t="str">
        <x:v>Original project JSON not available</x:v>
      </x:c>
      <x:c r="O150" s="26"/>
      <x:c r="P150" s="26" t="str"/>
      <x:c r="Q150" s="26" t="str"/>
      <x:c r="R150" s="26"/>
      <x:c r="S150" s="36"/>
      <x:c r="T150" s="26"/>
      <x:c r="U150" s="26"/>
      <x:c r="V150" s="26"/>
      <x:c r="W150" s="26" t="n">
        <x:v>5</x:v>
      </x:c>
      <x:c r="X150" s="26" t="n">
        <x:v>0</x:v>
      </x:c>
      <x:c r="Y150" s="26" t="n">
        <x:f>SUMIF('Activity Detail'!$E$4:$E$706,F150,'Activity Detail'!$L$4:$L$706)</x:f>
        <x:v>627</x:v>
      </x:c>
      <x:c r="Z150" s="26" t="n">
        <x:f>SUMIF('Activity Detail'!$E$4:$E$706,F150,'Activity Detail'!$N$4:$N$706)</x:f>
        <x:v>0</x:v>
      </x:c>
      <x:c r="AA150" s="26" t="n">
        <x:f>MAX(Y150-Z150,0)</x:f>
        <x:v>627</x:v>
      </x:c>
      <x:c r="AB150" s="38" t="n">
        <x:f>IFERROR(Z150/Y150,0)</x:f>
        <x:v>0</x:v>
      </x:c>
      <x:c r="AC150" s="26" t="str">
        <x:v>Committed / Not Delivered</x:v>
      </x:c>
      <x:c r="AD150" s="26" t="str">
        <x:v>Approval not recorded in response</x:v>
      </x:c>
      <x:c r="AE150" s="27" t="b">
        <x:v>1</x:v>
      </x:c>
      <x:c r="AF150" s="34" t="n">
        <x:v>46218.51096064815</x:v>
      </x:c>
      <x:c r="AG150" s="34"/>
      <x:c r="AH150" s="26" t="str">
        <x:v>Contribution API fields only; original project JSON needed for line-item names/centres/category</x:v>
      </x:c>
      <x:c r="AI150" s="26" t="str"/>
      <x:c r="AJ150" s="26" t="str">
        <x:v>Not Started</x:v>
      </x:c>
      <x:c r="AK150" s="26" t="str"/>
      <x:c r="AL150" s="26" t="str"/>
    </x:row>
    <x:row r="151">
      <x:c r="A151" s="26" t="n">
        <x:v>148</x:v>
      </x:c>
      <x:c r="B151" s="26" t="n">
        <x:v>151</x:v>
      </x:c>
      <x:c r="C151" s="26" t="str">
        <x:v>Kumuram Bheem Asifabad</x:v>
      </x:c>
      <x:c r="D151" s="26" t="str">
        <x:v>Telangana</x:v>
      </x:c>
      <x:c r="E151" s="26" t="n">
        <x:v>3184</x:v>
      </x:c>
      <x:c r="F151" s="26" t="str">
        <x:v>PRJ-2026-0003184</x:v>
      </x:c>
      <x:c r="G151" s="26" t="str">
        <x:v>Upgradation of AWCs </x:v>
      </x:c>
      <x:c r="H151" s="26" t="str">
        <x:v>Mission Saksham Anganwadi &amp; POSHAN 2.0</x:v>
      </x:c>
      <x:c r="I151" s="32" t="n">
        <x:v>46163</x:v>
      </x:c>
      <x:c r="J151" s="32" t="n">
        <x:v>46316</x:v>
      </x:c>
      <x:c r="K151" s="32"/>
      <x:c r="L151" s="26" t="str">
        <x:v>Active: On/After 01-Aug-2026</x:v>
      </x:c>
      <x:c r="M151" s="26" t="str">
        <x:v>Pending Mapping</x:v>
      </x:c>
      <x:c r="N151" s="26" t="str">
        <x:v>Original project JSON not available</x:v>
      </x:c>
      <x:c r="O151" s="26"/>
      <x:c r="P151" s="26" t="str"/>
      <x:c r="Q151" s="26" t="str"/>
      <x:c r="R151" s="26"/>
      <x:c r="S151" s="36"/>
      <x:c r="T151" s="26"/>
      <x:c r="U151" s="26"/>
      <x:c r="V151" s="26"/>
      <x:c r="W151" s="26" t="n">
        <x:v>3</x:v>
      </x:c>
      <x:c r="X151" s="26" t="n">
        <x:v>0</x:v>
      </x:c>
      <x:c r="Y151" s="26" t="n">
        <x:f>SUMIF('Activity Detail'!$E$4:$E$706,F151,'Activity Detail'!$L$4:$L$706)</x:f>
        <x:v>3</x:v>
      </x:c>
      <x:c r="Z151" s="26" t="n">
        <x:f>SUMIF('Activity Detail'!$E$4:$E$706,F151,'Activity Detail'!$N$4:$N$706)</x:f>
        <x:v>0</x:v>
      </x:c>
      <x:c r="AA151" s="26" t="n">
        <x:f>MAX(Y151-Z151,0)</x:f>
        <x:v>3</x:v>
      </x:c>
      <x:c r="AB151" s="38" t="n">
        <x:f>IFERROR(Z151/Y151,0)</x:f>
        <x:v>0</x:v>
      </x:c>
      <x:c r="AC151" s="26" t="str">
        <x:v>Committed / Not Delivered</x:v>
      </x:c>
      <x:c r="AD151" s="26" t="str">
        <x:v>Approval not recorded in response</x:v>
      </x:c>
      <x:c r="AE151" s="27" t="b">
        <x:v>1</x:v>
      </x:c>
      <x:c r="AF151" s="34" t="n">
        <x:v>46218.51094907407</x:v>
      </x:c>
      <x:c r="AG151" s="34"/>
      <x:c r="AH151" s="26" t="str">
        <x:v>Contribution API fields only; original project JSON needed for line-item names/centres/category</x:v>
      </x:c>
      <x:c r="AI151" s="26" t="str"/>
      <x:c r="AJ151" s="26" t="str">
        <x:v>Not Started</x:v>
      </x:c>
      <x:c r="AK151" s="26" t="str"/>
      <x:c r="AL151" s="26" t="str"/>
    </x:row>
    <x:row r="152">
      <x:c r="A152" s="26" t="n">
        <x:v>149</x:v>
      </x:c>
      <x:c r="B152" s="26" t="n">
        <x:v>154</x:v>
      </x:c>
      <x:c r="C152" s="26" t="str">
        <x:v>Kumuram Bheem Asifabad</x:v>
      </x:c>
      <x:c r="D152" s="26" t="str">
        <x:v>Telangana</x:v>
      </x:c>
      <x:c r="E152" s="26" t="n">
        <x:v>3497</x:v>
      </x:c>
      <x:c r="F152" s="26" t="str">
        <x:v>PRJ-2026-0003497</x:v>
      </x:c>
      <x:c r="G152" s="26" t="str">
        <x:v>Material(Gardening Equipment, Seeds, Other Sources)</x:v>
      </x:c>
      <x:c r="H152" s="26" t="str">
        <x:v>Mission Saksham Anganwadi &amp; POSHAN 2.0</x:v>
      </x:c>
      <x:c r="I152" s="32" t="n">
        <x:v>46163</x:v>
      </x:c>
      <x:c r="J152" s="32" t="n">
        <x:v>46316</x:v>
      </x:c>
      <x:c r="K152" s="32"/>
      <x:c r="L152" s="26" t="str">
        <x:v>Active: On/After 01-Aug-2026</x:v>
      </x:c>
      <x:c r="M152" s="26" t="str">
        <x:v>Pending Mapping</x:v>
      </x:c>
      <x:c r="N152" s="26" t="str">
        <x:v>Original project JSON not available</x:v>
      </x:c>
      <x:c r="O152" s="26"/>
      <x:c r="P152" s="26" t="str"/>
      <x:c r="Q152" s="26" t="str"/>
      <x:c r="R152" s="26"/>
      <x:c r="S152" s="36"/>
      <x:c r="T152" s="26"/>
      <x:c r="U152" s="26"/>
      <x:c r="V152" s="26"/>
      <x:c r="W152" s="26" t="n">
        <x:v>3</x:v>
      </x:c>
      <x:c r="X152" s="26" t="n">
        <x:v>0</x:v>
      </x:c>
      <x:c r="Y152" s="26" t="n">
        <x:f>SUMIF('Activity Detail'!$E$4:$E$706,F152,'Activity Detail'!$L$4:$L$706)</x:f>
        <x:v>21</x:v>
      </x:c>
      <x:c r="Z152" s="26" t="n">
        <x:f>SUMIF('Activity Detail'!$E$4:$E$706,F152,'Activity Detail'!$N$4:$N$706)</x:f>
        <x:v>0</x:v>
      </x:c>
      <x:c r="AA152" s="26" t="n">
        <x:f>MAX(Y152-Z152,0)</x:f>
        <x:v>21</x:v>
      </x:c>
      <x:c r="AB152" s="38" t="n">
        <x:f>IFERROR(Z152/Y152,0)</x:f>
        <x:v>0</x:v>
      </x:c>
      <x:c r="AC152" s="26" t="str">
        <x:v>Committed / Not Delivered</x:v>
      </x:c>
      <x:c r="AD152" s="26" t="str">
        <x:v>Approval not recorded in response</x:v>
      </x:c>
      <x:c r="AE152" s="27" t="b">
        <x:v>1</x:v>
      </x:c>
      <x:c r="AF152" s="34" t="n">
        <x:v>46218.510925925926</x:v>
      </x:c>
      <x:c r="AG152" s="34"/>
      <x:c r="AH152" s="26" t="str">
        <x:v>Contribution API fields only; original project JSON needed for line-item names/centres/category</x:v>
      </x:c>
      <x:c r="AI152" s="26" t="str"/>
      <x:c r="AJ152" s="26" t="str">
        <x:v>Not Started</x:v>
      </x:c>
      <x:c r="AK152" s="26" t="str"/>
      <x:c r="AL152" s="26" t="str"/>
    </x:row>
    <x:row r="153">
      <x:c r="A153" s="26" t="n">
        <x:v>150</x:v>
      </x:c>
      <x:c r="B153" s="26" t="n">
        <x:v>155</x:v>
      </x:c>
      <x:c r="C153" s="26" t="str">
        <x:v>Kumuram Bheem Asifabad</x:v>
      </x:c>
      <x:c r="D153" s="26" t="str">
        <x:v>Telangana</x:v>
      </x:c>
      <x:c r="E153" s="26" t="n">
        <x:v>3647</x:v>
      </x:c>
      <x:c r="F153" s="26" t="str">
        <x:v>PRJ-2026-0003647</x:v>
      </x:c>
      <x:c r="G153" s="26" t="str">
        <x:v>requirement of anganwadi facilities</x:v>
      </x:c>
      <x:c r="H153" s="26" t="str">
        <x:v>Mission Saksham Anganwadi &amp; POSHAN 2.0</x:v>
      </x:c>
      <x:c r="I153" s="32" t="n">
        <x:v>46163</x:v>
      </x:c>
      <x:c r="J153" s="32" t="n">
        <x:v>46316</x:v>
      </x:c>
      <x:c r="K153" s="32"/>
      <x:c r="L153" s="26" t="str">
        <x:v>Active: On/After 01-Aug-2026</x:v>
      </x:c>
      <x:c r="M153" s="26" t="str">
        <x:v>Pending Mapping</x:v>
      </x:c>
      <x:c r="N153" s="26" t="str">
        <x:v>Original project JSON not available</x:v>
      </x:c>
      <x:c r="O153" s="26"/>
      <x:c r="P153" s="26" t="str"/>
      <x:c r="Q153" s="26" t="str"/>
      <x:c r="R153" s="26"/>
      <x:c r="S153" s="36"/>
      <x:c r="T153" s="26"/>
      <x:c r="U153" s="26"/>
      <x:c r="V153" s="26"/>
      <x:c r="W153" s="26" t="n">
        <x:v>5</x:v>
      </x:c>
      <x:c r="X153" s="26" t="n">
        <x:v>0</x:v>
      </x:c>
      <x:c r="Y153" s="26" t="n">
        <x:f>SUMIF('Activity Detail'!$E$4:$E$706,F153,'Activity Detail'!$L$4:$L$706)</x:f>
        <x:v>17</x:v>
      </x:c>
      <x:c r="Z153" s="26" t="n">
        <x:f>SUMIF('Activity Detail'!$E$4:$E$706,F153,'Activity Detail'!$N$4:$N$706)</x:f>
        <x:v>0</x:v>
      </x:c>
      <x:c r="AA153" s="26" t="n">
        <x:f>MAX(Y153-Z153,0)</x:f>
        <x:v>17</x:v>
      </x:c>
      <x:c r="AB153" s="38" t="n">
        <x:f>IFERROR(Z153/Y153,0)</x:f>
        <x:v>0</x:v>
      </x:c>
      <x:c r="AC153" s="26" t="str">
        <x:v>Committed / Not Delivered</x:v>
      </x:c>
      <x:c r="AD153" s="26" t="str">
        <x:v>Approval not recorded in response</x:v>
      </x:c>
      <x:c r="AE153" s="27" t="b">
        <x:v>1</x:v>
      </x:c>
      <x:c r="AF153" s="34" t="n">
        <x:v>46218.51091435185</x:v>
      </x:c>
      <x:c r="AG153" s="34"/>
      <x:c r="AH153" s="26" t="str">
        <x:v>Contribution API fields only; original project JSON needed for line-item names/centres/category</x:v>
      </x:c>
      <x:c r="AI153" s="26" t="str"/>
      <x:c r="AJ153" s="26" t="str">
        <x:v>Not Started</x:v>
      </x:c>
      <x:c r="AK153" s="26" t="str"/>
      <x:c r="AL153" s="26" t="str"/>
    </x:row>
    <x:row r="154">
      <x:c r="A154" s="26" t="n">
        <x:v>151</x:v>
      </x:c>
      <x:c r="B154" s="26" t="n">
        <x:v>157</x:v>
      </x:c>
      <x:c r="C154" s="26" t="str">
        <x:v>Kumuram Bheem Asifabad</x:v>
      </x:c>
      <x:c r="D154" s="26" t="str">
        <x:v>Telangana</x:v>
      </x:c>
      <x:c r="E154" s="26" t="n">
        <x:v>4085</x:v>
      </x:c>
      <x:c r="F154" s="26" t="str">
        <x:v>PRJ-2026-0004085</x:v>
      </x:c>
      <x:c r="G154" s="26" t="str">
        <x:v>Upgradation of AWCs </x:v>
      </x:c>
      <x:c r="H154" s="26" t="str">
        <x:v>Mission Saksham Anganwadi &amp; POSHAN 2.0</x:v>
      </x:c>
      <x:c r="I154" s="32" t="n">
        <x:v>46163</x:v>
      </x:c>
      <x:c r="J154" s="32" t="n">
        <x:v>46316</x:v>
      </x:c>
      <x:c r="K154" s="32"/>
      <x:c r="L154" s="26" t="str">
        <x:v>Active: On/After 01-Aug-2026</x:v>
      </x:c>
      <x:c r="M154" s="26" t="str">
        <x:v>Pending Mapping</x:v>
      </x:c>
      <x:c r="N154" s="26" t="str">
        <x:v>Original project JSON not available</x:v>
      </x:c>
      <x:c r="O154" s="26"/>
      <x:c r="P154" s="26" t="str"/>
      <x:c r="Q154" s="26" t="str"/>
      <x:c r="R154" s="26"/>
      <x:c r="S154" s="36"/>
      <x:c r="T154" s="26"/>
      <x:c r="U154" s="26"/>
      <x:c r="V154" s="26"/>
      <x:c r="W154" s="26" t="n">
        <x:v>6</x:v>
      </x:c>
      <x:c r="X154" s="26" t="n">
        <x:v>0</x:v>
      </x:c>
      <x:c r="Y154" s="26" t="n">
        <x:f>SUMIF('Activity Detail'!$E$4:$E$706,F154,'Activity Detail'!$L$4:$L$706)</x:f>
        <x:v>6</x:v>
      </x:c>
      <x:c r="Z154" s="26" t="n">
        <x:f>SUMIF('Activity Detail'!$E$4:$E$706,F154,'Activity Detail'!$N$4:$N$706)</x:f>
        <x:v>0</x:v>
      </x:c>
      <x:c r="AA154" s="26" t="n">
        <x:f>MAX(Y154-Z154,0)</x:f>
        <x:v>6</x:v>
      </x:c>
      <x:c r="AB154" s="38" t="n">
        <x:f>IFERROR(Z154/Y154,0)</x:f>
        <x:v>0</x:v>
      </x:c>
      <x:c r="AC154" s="26" t="str">
        <x:v>Committed / Not Delivered</x:v>
      </x:c>
      <x:c r="AD154" s="26" t="str">
        <x:v>Approval not recorded in response</x:v>
      </x:c>
      <x:c r="AE154" s="27" t="b">
        <x:v>1</x:v>
      </x:c>
      <x:c r="AF154" s="34" t="n">
        <x:v>46218.51090277778</x:v>
      </x:c>
      <x:c r="AG154" s="34"/>
      <x:c r="AH154" s="26" t="str">
        <x:v>Contribution API fields only; original project JSON needed for line-item names/centres/category</x:v>
      </x:c>
      <x:c r="AI154" s="26" t="str"/>
      <x:c r="AJ154" s="26" t="str">
        <x:v>Not Started</x:v>
      </x:c>
      <x:c r="AK154" s="26" t="str"/>
      <x:c r="AL154" s="26" t="str"/>
    </x:row>
    <x:row r="155">
      <x:c r="A155" s="26" t="n">
        <x:v>152</x:v>
      </x:c>
      <x:c r="B155" s="26" t="n">
        <x:v>160</x:v>
      </x:c>
      <x:c r="C155" s="26" t="str">
        <x:v>Kumuram Bheem Asifabad</x:v>
      </x:c>
      <x:c r="D155" s="26" t="str">
        <x:v>Telangana</x:v>
      </x:c>
      <x:c r="E155" s="26" t="n">
        <x:v>4275</x:v>
      </x:c>
      <x:c r="F155" s="26" t="str">
        <x:v>PRJ-2026-0004275</x:v>
      </x:c>
      <x:c r="G155" s="26" t="str">
        <x:v>Upgradation of AWCs </x:v>
      </x:c>
      <x:c r="H155" s="26" t="str">
        <x:v>Mission Saksham Anganwadi &amp; POSHAN 2.0</x:v>
      </x:c>
      <x:c r="I155" s="32" t="n">
        <x:v>46163</x:v>
      </x:c>
      <x:c r="J155" s="32" t="n">
        <x:v>46316</x:v>
      </x:c>
      <x:c r="K155" s="32"/>
      <x:c r="L155" s="26" t="str">
        <x:v>Active: On/After 01-Aug-2026</x:v>
      </x:c>
      <x:c r="M155" s="26" t="str">
        <x:v>Pending Mapping</x:v>
      </x:c>
      <x:c r="N155" s="26" t="str">
        <x:v>Original project JSON not available</x:v>
      </x:c>
      <x:c r="O155" s="26"/>
      <x:c r="P155" s="26" t="str"/>
      <x:c r="Q155" s="26" t="str"/>
      <x:c r="R155" s="26"/>
      <x:c r="S155" s="36"/>
      <x:c r="T155" s="26"/>
      <x:c r="U155" s="26"/>
      <x:c r="V155" s="26"/>
      <x:c r="W155" s="26" t="n">
        <x:v>5</x:v>
      </x:c>
      <x:c r="X155" s="26" t="n">
        <x:v>0</x:v>
      </x:c>
      <x:c r="Y155" s="26" t="n">
        <x:f>SUMIF('Activity Detail'!$E$4:$E$706,F155,'Activity Detail'!$L$4:$L$706)</x:f>
        <x:v>5</x:v>
      </x:c>
      <x:c r="Z155" s="26" t="n">
        <x:f>SUMIF('Activity Detail'!$E$4:$E$706,F155,'Activity Detail'!$N$4:$N$706)</x:f>
        <x:v>0</x:v>
      </x:c>
      <x:c r="AA155" s="26" t="n">
        <x:f>MAX(Y155-Z155,0)</x:f>
        <x:v>5</x:v>
      </x:c>
      <x:c r="AB155" s="38" t="n">
        <x:f>IFERROR(Z155/Y155,0)</x:f>
        <x:v>0</x:v>
      </x:c>
      <x:c r="AC155" s="26" t="str">
        <x:v>Committed / Not Delivered</x:v>
      </x:c>
      <x:c r="AD155" s="26" t="str">
        <x:v>Approval not recorded in response</x:v>
      </x:c>
      <x:c r="AE155" s="27" t="b">
        <x:v>1</x:v>
      </x:c>
      <x:c r="AF155" s="34" t="n">
        <x:v>46218.51086805556</x:v>
      </x:c>
      <x:c r="AG155" s="34"/>
      <x:c r="AH155" s="26" t="str">
        <x:v>Contribution API fields only; original project JSON needed for line-item names/centres/category</x:v>
      </x:c>
      <x:c r="AI155" s="26" t="str"/>
      <x:c r="AJ155" s="26" t="str">
        <x:v>Not Started</x:v>
      </x:c>
      <x:c r="AK155" s="26" t="str"/>
      <x:c r="AL155" s="26" t="str"/>
    </x:row>
    <x:row r="156">
      <x:c r="A156" s="26" t="n">
        <x:v>153</x:v>
      </x:c>
      <x:c r="B156" s="26" t="n">
        <x:v>165</x:v>
      </x:c>
      <x:c r="C156" s="26" t="str">
        <x:v>Kumuram Bheem Asifabad</x:v>
      </x:c>
      <x:c r="D156" s="26" t="str">
        <x:v>Telangana</x:v>
      </x:c>
      <x:c r="E156" s="26" t="n">
        <x:v>4650</x:v>
      </x:c>
      <x:c r="F156" s="26" t="str">
        <x:v>PRJ-2026-0004650</x:v>
      </x:c>
      <x:c r="G156" s="26" t="str">
        <x:v>Upgradation of AWCs </x:v>
      </x:c>
      <x:c r="H156" s="26" t="str">
        <x:v>Mission Saksham Anganwadi &amp; POSHAN 2.0</x:v>
      </x:c>
      <x:c r="I156" s="32" t="n">
        <x:v>46163</x:v>
      </x:c>
      <x:c r="J156" s="32" t="n">
        <x:v>46316</x:v>
      </x:c>
      <x:c r="K156" s="32"/>
      <x:c r="L156" s="26" t="str">
        <x:v>Active: On/After 01-Aug-2026</x:v>
      </x:c>
      <x:c r="M156" s="26" t="str">
        <x:v>Pending Mapping</x:v>
      </x:c>
      <x:c r="N156" s="26" t="str">
        <x:v>Original project JSON not available</x:v>
      </x:c>
      <x:c r="O156" s="26"/>
      <x:c r="P156" s="26" t="str"/>
      <x:c r="Q156" s="26" t="str"/>
      <x:c r="R156" s="26"/>
      <x:c r="S156" s="36"/>
      <x:c r="T156" s="26"/>
      <x:c r="U156" s="26"/>
      <x:c r="V156" s="26"/>
      <x:c r="W156" s="26" t="n">
        <x:v>6</x:v>
      </x:c>
      <x:c r="X156" s="26" t="n">
        <x:v>0</x:v>
      </x:c>
      <x:c r="Y156" s="26" t="n">
        <x:f>SUMIF('Activity Detail'!$E$4:$E$706,F156,'Activity Detail'!$L$4:$L$706)</x:f>
        <x:v>6</x:v>
      </x:c>
      <x:c r="Z156" s="26" t="n">
        <x:f>SUMIF('Activity Detail'!$E$4:$E$706,F156,'Activity Detail'!$N$4:$N$706)</x:f>
        <x:v>0</x:v>
      </x:c>
      <x:c r="AA156" s="26" t="n">
        <x:f>MAX(Y156-Z156,0)</x:f>
        <x:v>6</x:v>
      </x:c>
      <x:c r="AB156" s="38" t="n">
        <x:f>IFERROR(Z156/Y156,0)</x:f>
        <x:v>0</x:v>
      </x:c>
      <x:c r="AC156" s="26" t="str">
        <x:v>Committed / Not Delivered</x:v>
      </x:c>
      <x:c r="AD156" s="26" t="str">
        <x:v>Approval not recorded in response</x:v>
      </x:c>
      <x:c r="AE156" s="27" t="b">
        <x:v>1</x:v>
      </x:c>
      <x:c r="AF156" s="34" t="n">
        <x:v>46218.51082175926</x:v>
      </x:c>
      <x:c r="AG156" s="34"/>
      <x:c r="AH156" s="26" t="str">
        <x:v>Contribution API fields only; original project JSON needed for line-item names/centres/category</x:v>
      </x:c>
      <x:c r="AI156" s="26" t="str"/>
      <x:c r="AJ156" s="26" t="str">
        <x:v>Not Started</x:v>
      </x:c>
      <x:c r="AK156" s="26" t="str"/>
      <x:c r="AL156" s="26" t="str"/>
    </x:row>
    <x:row r="157">
      <x:c r="A157" s="26" t="n">
        <x:v>154</x:v>
      </x:c>
      <x:c r="B157" s="26" t="n">
        <x:v>168</x:v>
      </x:c>
      <x:c r="C157" s="26" t="str">
        <x:v>Kumuram Bheem Asifabad</x:v>
      </x:c>
      <x:c r="D157" s="26" t="str">
        <x:v>Telangana</x:v>
      </x:c>
      <x:c r="E157" s="26" t="n">
        <x:v>5917</x:v>
      </x:c>
      <x:c r="F157" s="26" t="str">
        <x:v>PRJ-2026-0005917</x:v>
      </x:c>
      <x:c r="G157" s="26" t="str">
        <x:v>upgradation of anganwadi center</x:v>
      </x:c>
      <x:c r="H157" s="26" t="str">
        <x:v>Mission Saksham Anganwadi &amp; POSHAN 2.0</x:v>
      </x:c>
      <x:c r="I157" s="32" t="n">
        <x:v>46163</x:v>
      </x:c>
      <x:c r="J157" s="32" t="n">
        <x:v>46255</x:v>
      </x:c>
      <x:c r="K157" s="32"/>
      <x:c r="L157" s="26" t="str">
        <x:v>Active: On/After 01-Aug-2026</x:v>
      </x:c>
      <x:c r="M157" s="26" t="str">
        <x:v>Pending Mapping</x:v>
      </x:c>
      <x:c r="N157" s="26" t="str">
        <x:v>Original project JSON not available</x:v>
      </x:c>
      <x:c r="O157" s="26"/>
      <x:c r="P157" s="26" t="str"/>
      <x:c r="Q157" s="26" t="str"/>
      <x:c r="R157" s="26"/>
      <x:c r="S157" s="36"/>
      <x:c r="T157" s="26"/>
      <x:c r="U157" s="26"/>
      <x:c r="V157" s="26"/>
      <x:c r="W157" s="26" t="n">
        <x:v>4</x:v>
      </x:c>
      <x:c r="X157" s="26" t="n">
        <x:v>0</x:v>
      </x:c>
      <x:c r="Y157" s="26" t="n">
        <x:f>SUMIF('Activity Detail'!$E$4:$E$706,F157,'Activity Detail'!$L$4:$L$706)</x:f>
        <x:v>9</x:v>
      </x:c>
      <x:c r="Z157" s="26" t="n">
        <x:f>SUMIF('Activity Detail'!$E$4:$E$706,F157,'Activity Detail'!$N$4:$N$706)</x:f>
        <x:v>0</x:v>
      </x:c>
      <x:c r="AA157" s="26" t="n">
        <x:f>MAX(Y157-Z157,0)</x:f>
        <x:v>9</x:v>
      </x:c>
      <x:c r="AB157" s="38" t="n">
        <x:f>IFERROR(Z157/Y157,0)</x:f>
        <x:v>0</x:v>
      </x:c>
      <x:c r="AC157" s="26" t="str">
        <x:v>Committed / Not Delivered</x:v>
      </x:c>
      <x:c r="AD157" s="26" t="str">
        <x:v>Approval not recorded in response</x:v>
      </x:c>
      <x:c r="AE157" s="27" t="b">
        <x:v>1</x:v>
      </x:c>
      <x:c r="AF157" s="34" t="n">
        <x:v>46218.51079861111</x:v>
      </x:c>
      <x:c r="AG157" s="34"/>
      <x:c r="AH157" s="26" t="str">
        <x:v>Contribution API fields only; original project JSON needed for line-item names/centres/category</x:v>
      </x:c>
      <x:c r="AI157" s="26" t="str"/>
      <x:c r="AJ157" s="26" t="str">
        <x:v>Not Started</x:v>
      </x:c>
      <x:c r="AK157" s="26" t="str"/>
      <x:c r="AL157" s="26" t="str"/>
    </x:row>
    <x:row r="158">
      <x:c r="A158" s="26" t="n">
        <x:v>155</x:v>
      </x:c>
      <x:c r="B158" s="26" t="n">
        <x:v>169</x:v>
      </x:c>
      <x:c r="C158" s="26" t="str">
        <x:v>Kumuram Bheem Asifabad</x:v>
      </x:c>
      <x:c r="D158" s="26" t="str">
        <x:v>Telangana</x:v>
      </x:c>
      <x:c r="E158" s="26" t="n">
        <x:v>6699</x:v>
      </x:c>
      <x:c r="F158" s="26" t="str">
        <x:v>PRJ-2026-0006699</x:v>
      </x:c>
      <x:c r="G158" s="26" t="str">
        <x:v>Proposal for upgradation of AWC</x:v>
      </x:c>
      <x:c r="H158" s="26" t="str">
        <x:v>Mission Saksham Anganwadi &amp; POSHAN 2.0</x:v>
      </x:c>
      <x:c r="I158" s="32" t="n">
        <x:v>46163</x:v>
      </x:c>
      <x:c r="J158" s="32" t="n">
        <x:v>46295</x:v>
      </x:c>
      <x:c r="K158" s="32"/>
      <x:c r="L158" s="26" t="str">
        <x:v>Active: On/After 01-Aug-2026</x:v>
      </x:c>
      <x:c r="M158" s="26" t="str">
        <x:v>Pending Mapping</x:v>
      </x:c>
      <x:c r="N158" s="26" t="str">
        <x:v>Original project JSON not available</x:v>
      </x:c>
      <x:c r="O158" s="26"/>
      <x:c r="P158" s="26" t="str"/>
      <x:c r="Q158" s="26" t="str"/>
      <x:c r="R158" s="26"/>
      <x:c r="S158" s="36"/>
      <x:c r="T158" s="26"/>
      <x:c r="U158" s="26"/>
      <x:c r="V158" s="26"/>
      <x:c r="W158" s="26" t="n">
        <x:v>5</x:v>
      </x:c>
      <x:c r="X158" s="26" t="n">
        <x:v>0</x:v>
      </x:c>
      <x:c r="Y158" s="26" t="n">
        <x:f>SUMIF('Activity Detail'!$E$4:$E$706,F158,'Activity Detail'!$L$4:$L$706)</x:f>
        <x:v>23</x:v>
      </x:c>
      <x:c r="Z158" s="26" t="n">
        <x:f>SUMIF('Activity Detail'!$E$4:$E$706,F158,'Activity Detail'!$N$4:$N$706)</x:f>
        <x:v>0</x:v>
      </x:c>
      <x:c r="AA158" s="26" t="n">
        <x:f>MAX(Y158-Z158,0)</x:f>
        <x:v>23</x:v>
      </x:c>
      <x:c r="AB158" s="38" t="n">
        <x:f>IFERROR(Z158/Y158,0)</x:f>
        <x:v>0</x:v>
      </x:c>
      <x:c r="AC158" s="26" t="str">
        <x:v>Committed / Not Delivered</x:v>
      </x:c>
      <x:c r="AD158" s="26" t="str">
        <x:v>Approval not recorded in response</x:v>
      </x:c>
      <x:c r="AE158" s="27" t="b">
        <x:v>1</x:v>
      </x:c>
      <x:c r="AF158" s="34" t="n">
        <x:v>46218.510787037034</x:v>
      </x:c>
      <x:c r="AG158" s="34"/>
      <x:c r="AH158" s="26" t="str">
        <x:v>Contribution API fields only; original project JSON needed for line-item names/centres/category</x:v>
      </x:c>
      <x:c r="AI158" s="26" t="str"/>
      <x:c r="AJ158" s="26" t="str">
        <x:v>Not Started</x:v>
      </x:c>
      <x:c r="AK158" s="26" t="str"/>
      <x:c r="AL158" s="26" t="str"/>
    </x:row>
    <x:row r="159">
      <x:c r="A159" s="26" t="n">
        <x:v>156</x:v>
      </x:c>
      <x:c r="B159" s="26" t="n">
        <x:v>170</x:v>
      </x:c>
      <x:c r="C159" s="26" t="str">
        <x:v>Kumuram Bheem Asifabad</x:v>
      </x:c>
      <x:c r="D159" s="26" t="str">
        <x:v>Telangana</x:v>
      </x:c>
      <x:c r="E159" s="26" t="n">
        <x:v>6705</x:v>
      </x:c>
      <x:c r="F159" s="26" t="str">
        <x:v>PRJ-2026-0006705</x:v>
      </x:c>
      <x:c r="G159" s="26" t="str">
        <x:v>AWC Upgradation</x:v>
      </x:c>
      <x:c r="H159" s="26" t="str">
        <x:v>Mission Saksham Anganwadi &amp; POSHAN 2.0</x:v>
      </x:c>
      <x:c r="I159" s="32" t="n">
        <x:v>46164</x:v>
      </x:c>
      <x:c r="J159" s="32" t="n">
        <x:v>46255</x:v>
      </x:c>
      <x:c r="K159" s="32"/>
      <x:c r="L159" s="26" t="str">
        <x:v>Active: On/After 01-Aug-2026</x:v>
      </x:c>
      <x:c r="M159" s="26" t="str">
        <x:v>Pending Mapping</x:v>
      </x:c>
      <x:c r="N159" s="26" t="str">
        <x:v>Original project JSON not available</x:v>
      </x:c>
      <x:c r="O159" s="26"/>
      <x:c r="P159" s="26" t="str"/>
      <x:c r="Q159" s="26" t="str"/>
      <x:c r="R159" s="26"/>
      <x:c r="S159" s="36"/>
      <x:c r="T159" s="26"/>
      <x:c r="U159" s="26"/>
      <x:c r="V159" s="26"/>
      <x:c r="W159" s="26" t="n">
        <x:v>6</x:v>
      </x:c>
      <x:c r="X159" s="26" t="n">
        <x:v>0</x:v>
      </x:c>
      <x:c r="Y159" s="26" t="n">
        <x:f>SUMIF('Activity Detail'!$E$4:$E$706,F159,'Activity Detail'!$L$4:$L$706)</x:f>
        <x:v>38</x:v>
      </x:c>
      <x:c r="Z159" s="26" t="n">
        <x:f>SUMIF('Activity Detail'!$E$4:$E$706,F159,'Activity Detail'!$N$4:$N$706)</x:f>
        <x:v>0</x:v>
      </x:c>
      <x:c r="AA159" s="26" t="n">
        <x:f>MAX(Y159-Z159,0)</x:f>
        <x:v>38</x:v>
      </x:c>
      <x:c r="AB159" s="38" t="n">
        <x:f>IFERROR(Z159/Y159,0)</x:f>
        <x:v>0</x:v>
      </x:c>
      <x:c r="AC159" s="26" t="str">
        <x:v>Committed / Not Delivered</x:v>
      </x:c>
      <x:c r="AD159" s="26" t="str">
        <x:v>Approval not recorded in response</x:v>
      </x:c>
      <x:c r="AE159" s="27" t="b">
        <x:v>1</x:v>
      </x:c>
      <x:c r="AF159" s="34" t="n">
        <x:v>46218.510787037034</x:v>
      </x:c>
      <x:c r="AG159" s="34"/>
      <x:c r="AH159" s="26" t="str">
        <x:v>Contribution API fields only; original project JSON needed for line-item names/centres/category</x:v>
      </x:c>
      <x:c r="AI159" s="26" t="str"/>
      <x:c r="AJ159" s="26" t="str">
        <x:v>Not Started</x:v>
      </x:c>
      <x:c r="AK159" s="26" t="str"/>
      <x:c r="AL159" s="26" t="str"/>
    </x:row>
    <x:row r="160">
      <x:c r="A160" s="26" t="n">
        <x:v>157</x:v>
      </x:c>
      <x:c r="B160" s="26" t="n">
        <x:v>171</x:v>
      </x:c>
      <x:c r="C160" s="26" t="str">
        <x:v>Kumuram Bheem Asifabad</x:v>
      </x:c>
      <x:c r="D160" s="26" t="str">
        <x:v>Telangana</x:v>
      </x:c>
      <x:c r="E160" s="26" t="n">
        <x:v>6718</x:v>
      </x:c>
      <x:c r="F160" s="26" t="str">
        <x:v>PRJ-2026-0006718</x:v>
      </x:c>
      <x:c r="G160" s="26" t="str">
        <x:v>Proposal for upgradation of AWC</x:v>
      </x:c>
      <x:c r="H160" s="26" t="str">
        <x:v>Mission Saksham Anganwadi &amp; POSHAN 2.0</x:v>
      </x:c>
      <x:c r="I160" s="32" t="n">
        <x:v>46164</x:v>
      </x:c>
      <x:c r="J160" s="32" t="n">
        <x:v>46295</x:v>
      </x:c>
      <x:c r="K160" s="32"/>
      <x:c r="L160" s="26" t="str">
        <x:v>Active: On/After 01-Aug-2026</x:v>
      </x:c>
      <x:c r="M160" s="26" t="str">
        <x:v>Pending Mapping</x:v>
      </x:c>
      <x:c r="N160" s="26" t="str">
        <x:v>Original project JSON not available</x:v>
      </x:c>
      <x:c r="O160" s="26"/>
      <x:c r="P160" s="26" t="str"/>
      <x:c r="Q160" s="26" t="str"/>
      <x:c r="R160" s="26"/>
      <x:c r="S160" s="36"/>
      <x:c r="T160" s="26"/>
      <x:c r="U160" s="26"/>
      <x:c r="V160" s="26"/>
      <x:c r="W160" s="26" t="n">
        <x:v>5</x:v>
      </x:c>
      <x:c r="X160" s="26" t="n">
        <x:v>0</x:v>
      </x:c>
      <x:c r="Y160" s="26" t="n">
        <x:f>SUMIF('Activity Detail'!$E$4:$E$706,F160,'Activity Detail'!$L$4:$L$706)</x:f>
        <x:v>23</x:v>
      </x:c>
      <x:c r="Z160" s="26" t="n">
        <x:f>SUMIF('Activity Detail'!$E$4:$E$706,F160,'Activity Detail'!$N$4:$N$706)</x:f>
        <x:v>0</x:v>
      </x:c>
      <x:c r="AA160" s="26" t="n">
        <x:f>MAX(Y160-Z160,0)</x:f>
        <x:v>23</x:v>
      </x:c>
      <x:c r="AB160" s="38" t="n">
        <x:f>IFERROR(Z160/Y160,0)</x:f>
        <x:v>0</x:v>
      </x:c>
      <x:c r="AC160" s="26" t="str">
        <x:v>Committed / Not Delivered</x:v>
      </x:c>
      <x:c r="AD160" s="26" t="str">
        <x:v>Approval not recorded in response</x:v>
      </x:c>
      <x:c r="AE160" s="27" t="b">
        <x:v>1</x:v>
      </x:c>
      <x:c r="AF160" s="34" t="n">
        <x:v>46218.510775462964</x:v>
      </x:c>
      <x:c r="AG160" s="34"/>
      <x:c r="AH160" s="26" t="str">
        <x:v>Contribution API fields only; original project JSON needed for line-item names/centres/category</x:v>
      </x:c>
      <x:c r="AI160" s="26" t="str"/>
      <x:c r="AJ160" s="26" t="str">
        <x:v>Not Started</x:v>
      </x:c>
      <x:c r="AK160" s="26" t="str"/>
      <x:c r="AL160" s="26" t="str"/>
    </x:row>
    <x:row r="161">
      <x:c r="A161" s="26" t="n">
        <x:v>158</x:v>
      </x:c>
      <x:c r="B161" s="26" t="n">
        <x:v>172</x:v>
      </x:c>
      <x:c r="C161" s="26" t="str">
        <x:v>Kumuram Bheem Asifabad</x:v>
      </x:c>
      <x:c r="D161" s="26" t="str">
        <x:v>Telangana</x:v>
      </x:c>
      <x:c r="E161" s="26" t="n">
        <x:v>6727</x:v>
      </x:c>
      <x:c r="F161" s="26" t="str">
        <x:v>PRJ-2026-0006727</x:v>
      </x:c>
      <x:c r="G161" s="26" t="str">
        <x:v>AWC Upgradation</x:v>
      </x:c>
      <x:c r="H161" s="26" t="str">
        <x:v>Mission Saksham Anganwadi &amp; POSHAN 2.0</x:v>
      </x:c>
      <x:c r="I161" s="32" t="n">
        <x:v>46164</x:v>
      </x:c>
      <x:c r="J161" s="32" t="n">
        <x:v>46256</x:v>
      </x:c>
      <x:c r="K161" s="32"/>
      <x:c r="L161" s="26" t="str">
        <x:v>Active: On/After 01-Aug-2026</x:v>
      </x:c>
      <x:c r="M161" s="26" t="str">
        <x:v>Pending Mapping</x:v>
      </x:c>
      <x:c r="N161" s="26" t="str">
        <x:v>Original project JSON not available</x:v>
      </x:c>
      <x:c r="O161" s="26"/>
      <x:c r="P161" s="26" t="str"/>
      <x:c r="Q161" s="26" t="str"/>
      <x:c r="R161" s="26"/>
      <x:c r="S161" s="36"/>
      <x:c r="T161" s="26"/>
      <x:c r="U161" s="26"/>
      <x:c r="V161" s="26"/>
      <x:c r="W161" s="26" t="n">
        <x:v>4</x:v>
      </x:c>
      <x:c r="X161" s="26" t="n">
        <x:v>0</x:v>
      </x:c>
      <x:c r="Y161" s="26" t="n">
        <x:f>SUMIF('Activity Detail'!$E$4:$E$706,F161,'Activity Detail'!$L$4:$L$706)</x:f>
        <x:v>9</x:v>
      </x:c>
      <x:c r="Z161" s="26" t="n">
        <x:f>SUMIF('Activity Detail'!$E$4:$E$706,F161,'Activity Detail'!$N$4:$N$706)</x:f>
        <x:v>0</x:v>
      </x:c>
      <x:c r="AA161" s="26" t="n">
        <x:f>MAX(Y161-Z161,0)</x:f>
        <x:v>9</x:v>
      </x:c>
      <x:c r="AB161" s="38" t="n">
        <x:f>IFERROR(Z161/Y161,0)</x:f>
        <x:v>0</x:v>
      </x:c>
      <x:c r="AC161" s="26" t="str">
        <x:v>Committed / Not Delivered</x:v>
      </x:c>
      <x:c r="AD161" s="26" t="str">
        <x:v>Approval not recorded in response</x:v>
      </x:c>
      <x:c r="AE161" s="27" t="b">
        <x:v>1</x:v>
      </x:c>
      <x:c r="AF161" s="34" t="n">
        <x:v>46218.51076388889</x:v>
      </x:c>
      <x:c r="AG161" s="34"/>
      <x:c r="AH161" s="26" t="str">
        <x:v>Contribution API fields only; original project JSON needed for line-item names/centres/category</x:v>
      </x:c>
      <x:c r="AI161" s="26" t="str"/>
      <x:c r="AJ161" s="26" t="str">
        <x:v>Not Started</x:v>
      </x:c>
      <x:c r="AK161" s="26" t="str"/>
      <x:c r="AL161" s="26" t="str"/>
    </x:row>
    <x:row r="162">
      <x:c r="A162" s="26" t="n">
        <x:v>159</x:v>
      </x:c>
      <x:c r="B162" s="26" t="n">
        <x:v>174</x:v>
      </x:c>
      <x:c r="C162" s="26" t="str">
        <x:v>Kumuram Bheem Asifabad</x:v>
      </x:c>
      <x:c r="D162" s="26" t="str">
        <x:v>Telangana</x:v>
      </x:c>
      <x:c r="E162" s="26" t="n">
        <x:v>8217</x:v>
      </x:c>
      <x:c r="F162" s="26" t="str">
        <x:v>PRJ-2026-0008217</x:v>
      </x:c>
      <x:c r="G162" s="26" t="str">
        <x:v>Proposal for upgradation of anganwadi centre</x:v>
      </x:c>
      <x:c r="H162" s="26" t="str">
        <x:v>Mission Saksham Anganwadi &amp; POSHAN 2.0</x:v>
      </x:c>
      <x:c r="I162" s="32" t="n">
        <x:v>46164</x:v>
      </x:c>
      <x:c r="J162" s="32" t="n">
        <x:v>46265</x:v>
      </x:c>
      <x:c r="K162" s="32"/>
      <x:c r="L162" s="26" t="str">
        <x:v>Active: On/After 01-Aug-2026</x:v>
      </x:c>
      <x:c r="M162" s="26" t="str">
        <x:v>Pending Mapping</x:v>
      </x:c>
      <x:c r="N162" s="26" t="str">
        <x:v>Original project JSON not available</x:v>
      </x:c>
      <x:c r="O162" s="26"/>
      <x:c r="P162" s="26" t="str"/>
      <x:c r="Q162" s="26" t="str"/>
      <x:c r="R162" s="26"/>
      <x:c r="S162" s="36"/>
      <x:c r="T162" s="26"/>
      <x:c r="U162" s="26"/>
      <x:c r="V162" s="26"/>
      <x:c r="W162" s="26" t="n">
        <x:v>5</x:v>
      </x:c>
      <x:c r="X162" s="26" t="n">
        <x:v>0</x:v>
      </x:c>
      <x:c r="Y162" s="26" t="n">
        <x:f>SUMIF('Activity Detail'!$E$4:$E$706,F162,'Activity Detail'!$L$4:$L$706)</x:f>
        <x:v>23</x:v>
      </x:c>
      <x:c r="Z162" s="26" t="n">
        <x:f>SUMIF('Activity Detail'!$E$4:$E$706,F162,'Activity Detail'!$N$4:$N$706)</x:f>
        <x:v>0</x:v>
      </x:c>
      <x:c r="AA162" s="26" t="n">
        <x:f>MAX(Y162-Z162,0)</x:f>
        <x:v>23</x:v>
      </x:c>
      <x:c r="AB162" s="38" t="n">
        <x:f>IFERROR(Z162/Y162,0)</x:f>
        <x:v>0</x:v>
      </x:c>
      <x:c r="AC162" s="26" t="str">
        <x:v>Committed / Not Delivered</x:v>
      </x:c>
      <x:c r="AD162" s="26" t="str">
        <x:v>Approval not recorded in response</x:v>
      </x:c>
      <x:c r="AE162" s="27" t="b">
        <x:v>1</x:v>
      </x:c>
      <x:c r="AF162" s="34" t="n">
        <x:v>46218.51075231482</x:v>
      </x:c>
      <x:c r="AG162" s="34"/>
      <x:c r="AH162" s="26" t="str">
        <x:v>Contribution API fields only; original project JSON needed for line-item names/centres/category</x:v>
      </x:c>
      <x:c r="AI162" s="26" t="str"/>
      <x:c r="AJ162" s="26" t="str">
        <x:v>Not Started</x:v>
      </x:c>
      <x:c r="AK162" s="26" t="str"/>
      <x:c r="AL162" s="26" t="str"/>
    </x:row>
    <x:row r="163">
      <x:c r="A163" s="26" t="n">
        <x:v>160</x:v>
      </x:c>
      <x:c r="B163" s="26" t="n">
        <x:v>175</x:v>
      </x:c>
      <x:c r="C163" s="26" t="str">
        <x:v>Kumuram Bheem Asifabad</x:v>
      </x:c>
      <x:c r="D163" s="26" t="str">
        <x:v>Telangana</x:v>
      </x:c>
      <x:c r="E163" s="26" t="n">
        <x:v>8702</x:v>
      </x:c>
      <x:c r="F163" s="26" t="str">
        <x:v>PRJ-2026-0008702</x:v>
      </x:c>
      <x:c r="G163" s="26" t="str">
        <x:v>Proposal for Anganwadi centre upgradation</x:v>
      </x:c>
      <x:c r="H163" s="26" t="str">
        <x:v>Mission Saksham Anganwadi &amp; POSHAN 2.0</x:v>
      </x:c>
      <x:c r="I163" s="32" t="n">
        <x:v>46164</x:v>
      </x:c>
      <x:c r="J163" s="32" t="n">
        <x:v>46295</x:v>
      </x:c>
      <x:c r="K163" s="32"/>
      <x:c r="L163" s="26" t="str">
        <x:v>Active: On/After 01-Aug-2026</x:v>
      </x:c>
      <x:c r="M163" s="26" t="str">
        <x:v>Pending Mapping</x:v>
      </x:c>
      <x:c r="N163" s="26" t="str">
        <x:v>Original project JSON not available</x:v>
      </x:c>
      <x:c r="O163" s="26"/>
      <x:c r="P163" s="26" t="str"/>
      <x:c r="Q163" s="26" t="str"/>
      <x:c r="R163" s="26"/>
      <x:c r="S163" s="36"/>
      <x:c r="T163" s="26"/>
      <x:c r="U163" s="26"/>
      <x:c r="V163" s="26"/>
      <x:c r="W163" s="26" t="n">
        <x:v>5</x:v>
      </x:c>
      <x:c r="X163" s="26" t="n">
        <x:v>0</x:v>
      </x:c>
      <x:c r="Y163" s="26" t="n">
        <x:f>SUMIF('Activity Detail'!$E$4:$E$706,F163,'Activity Detail'!$L$4:$L$706)</x:f>
        <x:v>23</x:v>
      </x:c>
      <x:c r="Z163" s="26" t="n">
        <x:f>SUMIF('Activity Detail'!$E$4:$E$706,F163,'Activity Detail'!$N$4:$N$706)</x:f>
        <x:v>0</x:v>
      </x:c>
      <x:c r="AA163" s="26" t="n">
        <x:f>MAX(Y163-Z163,0)</x:f>
        <x:v>23</x:v>
      </x:c>
      <x:c r="AB163" s="38" t="n">
        <x:f>IFERROR(Z163/Y163,0)</x:f>
        <x:v>0</x:v>
      </x:c>
      <x:c r="AC163" s="26" t="str">
        <x:v>Committed / Not Delivered</x:v>
      </x:c>
      <x:c r="AD163" s="26" t="str">
        <x:v>Approval not recorded in response</x:v>
      </x:c>
      <x:c r="AE163" s="27" t="b">
        <x:v>1</x:v>
      </x:c>
      <x:c r="AF163" s="34" t="n">
        <x:v>46218.51074074074</x:v>
      </x:c>
      <x:c r="AG163" s="34"/>
      <x:c r="AH163" s="26" t="str">
        <x:v>Contribution API fields only; original project JSON needed for line-item names/centres/category</x:v>
      </x:c>
      <x:c r="AI163" s="26" t="str"/>
      <x:c r="AJ163" s="26" t="str">
        <x:v>Not Started</x:v>
      </x:c>
      <x:c r="AK163" s="26" t="str"/>
      <x:c r="AL163" s="26" t="str"/>
    </x:row>
    <x:row r="164">
      <x:c r="A164" s="26" t="n">
        <x:v>161</x:v>
      </x:c>
      <x:c r="B164" s="26" t="n">
        <x:v>176</x:v>
      </x:c>
      <x:c r="C164" s="26" t="str">
        <x:v>Kumuram Bheem Asifabad</x:v>
      </x:c>
      <x:c r="D164" s="26" t="str">
        <x:v>Telangana</x:v>
      </x:c>
      <x:c r="E164" s="26" t="n">
        <x:v>8770</x:v>
      </x:c>
      <x:c r="F164" s="26" t="str">
        <x:v>PRJ-2026-0008770</x:v>
      </x:c>
      <x:c r="G164" s="26" t="str">
        <x:v>Proposal for upgradation of Anganwadi centre</x:v>
      </x:c>
      <x:c r="H164" s="26" t="str">
        <x:v>Mission Saksham Anganwadi &amp; POSHAN 2.0</x:v>
      </x:c>
      <x:c r="I164" s="32" t="n">
        <x:v>46164</x:v>
      </x:c>
      <x:c r="J164" s="32" t="n">
        <x:v>46295</x:v>
      </x:c>
      <x:c r="K164" s="32"/>
      <x:c r="L164" s="26" t="str">
        <x:v>Active: On/After 01-Aug-2026</x:v>
      </x:c>
      <x:c r="M164" s="26" t="str">
        <x:v>Pending Mapping</x:v>
      </x:c>
      <x:c r="N164" s="26" t="str">
        <x:v>Original project JSON not available</x:v>
      </x:c>
      <x:c r="O164" s="26"/>
      <x:c r="P164" s="26" t="str"/>
      <x:c r="Q164" s="26" t="str"/>
      <x:c r="R164" s="26"/>
      <x:c r="S164" s="36"/>
      <x:c r="T164" s="26"/>
      <x:c r="U164" s="26"/>
      <x:c r="V164" s="26"/>
      <x:c r="W164" s="26" t="n">
        <x:v>5</x:v>
      </x:c>
      <x:c r="X164" s="26" t="n">
        <x:v>0</x:v>
      </x:c>
      <x:c r="Y164" s="26" t="n">
        <x:f>SUMIF('Activity Detail'!$E$4:$E$706,F164,'Activity Detail'!$L$4:$L$706)</x:f>
        <x:v>23</x:v>
      </x:c>
      <x:c r="Z164" s="26" t="n">
        <x:f>SUMIF('Activity Detail'!$E$4:$E$706,F164,'Activity Detail'!$N$4:$N$706)</x:f>
        <x:v>0</x:v>
      </x:c>
      <x:c r="AA164" s="26" t="n">
        <x:f>MAX(Y164-Z164,0)</x:f>
        <x:v>23</x:v>
      </x:c>
      <x:c r="AB164" s="38" t="n">
        <x:f>IFERROR(Z164/Y164,0)</x:f>
        <x:v>0</x:v>
      </x:c>
      <x:c r="AC164" s="26" t="str">
        <x:v>Committed / Not Delivered</x:v>
      </x:c>
      <x:c r="AD164" s="26" t="str">
        <x:v>Approval not recorded in response</x:v>
      </x:c>
      <x:c r="AE164" s="27" t="b">
        <x:v>1</x:v>
      </x:c>
      <x:c r="AF164" s="34" t="n">
        <x:v>46218.51074074074</x:v>
      </x:c>
      <x:c r="AG164" s="34"/>
      <x:c r="AH164" s="26" t="str">
        <x:v>Contribution API fields only; original project JSON needed for line-item names/centres/category</x:v>
      </x:c>
      <x:c r="AI164" s="26" t="str"/>
      <x:c r="AJ164" s="26" t="str">
        <x:v>Not Started</x:v>
      </x:c>
      <x:c r="AK164" s="26" t="str"/>
      <x:c r="AL164" s="26" t="str"/>
    </x:row>
    <x:row r="165">
      <x:c r="A165" s="26" t="n">
        <x:v>162</x:v>
      </x:c>
      <x:c r="B165" s="26" t="n">
        <x:v>177</x:v>
      </x:c>
      <x:c r="C165" s="26" t="str">
        <x:v>Kumuram Bheem Asifabad</x:v>
      </x:c>
      <x:c r="D165" s="26" t="str">
        <x:v>Telangana</x:v>
      </x:c>
      <x:c r="E165" s="26" t="n">
        <x:v>8926</x:v>
      </x:c>
      <x:c r="F165" s="26" t="str">
        <x:v>PRJ-2026-0008926</x:v>
      </x:c>
      <x:c r="G165" s="26" t="str">
        <x:v>Proposal for upgradation of Anganwadi centre</x:v>
      </x:c>
      <x:c r="H165" s="26" t="str">
        <x:v>Mission Saksham Anganwadi &amp; POSHAN 2.0</x:v>
      </x:c>
      <x:c r="I165" s="32" t="n">
        <x:v>46164</x:v>
      </x:c>
      <x:c r="J165" s="32" t="n">
        <x:v>46295</x:v>
      </x:c>
      <x:c r="K165" s="32"/>
      <x:c r="L165" s="26" t="str">
        <x:v>Active: On/After 01-Aug-2026</x:v>
      </x:c>
      <x:c r="M165" s="26" t="str">
        <x:v>Pending Mapping</x:v>
      </x:c>
      <x:c r="N165" s="26" t="str">
        <x:v>Original project JSON not available</x:v>
      </x:c>
      <x:c r="O165" s="26"/>
      <x:c r="P165" s="26" t="str"/>
      <x:c r="Q165" s="26" t="str"/>
      <x:c r="R165" s="26"/>
      <x:c r="S165" s="36"/>
      <x:c r="T165" s="26"/>
      <x:c r="U165" s="26"/>
      <x:c r="V165" s="26"/>
      <x:c r="W165" s="26" t="n">
        <x:v>5</x:v>
      </x:c>
      <x:c r="X165" s="26" t="n">
        <x:v>0</x:v>
      </x:c>
      <x:c r="Y165" s="26" t="n">
        <x:f>SUMIF('Activity Detail'!$E$4:$E$706,F165,'Activity Detail'!$L$4:$L$706)</x:f>
        <x:v>23</x:v>
      </x:c>
      <x:c r="Z165" s="26" t="n">
        <x:f>SUMIF('Activity Detail'!$E$4:$E$706,F165,'Activity Detail'!$N$4:$N$706)</x:f>
        <x:v>0</x:v>
      </x:c>
      <x:c r="AA165" s="26" t="n">
        <x:f>MAX(Y165-Z165,0)</x:f>
        <x:v>23</x:v>
      </x:c>
      <x:c r="AB165" s="38" t="n">
        <x:f>IFERROR(Z165/Y165,0)</x:f>
        <x:v>0</x:v>
      </x:c>
      <x:c r="AC165" s="26" t="str">
        <x:v>Committed / Not Delivered</x:v>
      </x:c>
      <x:c r="AD165" s="26" t="str">
        <x:v>Approval not recorded in response</x:v>
      </x:c>
      <x:c r="AE165" s="27" t="b">
        <x:v>1</x:v>
      </x:c>
      <x:c r="AF165" s="34" t="n">
        <x:v>46218.510729166665</x:v>
      </x:c>
      <x:c r="AG165" s="34"/>
      <x:c r="AH165" s="26" t="str">
        <x:v>Contribution API fields only; original project JSON needed for line-item names/centres/category</x:v>
      </x:c>
      <x:c r="AI165" s="26" t="str"/>
      <x:c r="AJ165" s="26" t="str">
        <x:v>Not Started</x:v>
      </x:c>
      <x:c r="AK165" s="26" t="str"/>
      <x:c r="AL165" s="26" t="str"/>
    </x:row>
    <x:row r="166">
      <x:c r="A166" s="26" t="n">
        <x:v>163</x:v>
      </x:c>
      <x:c r="B166" s="26" t="n">
        <x:v>178</x:v>
      </x:c>
      <x:c r="C166" s="26" t="str">
        <x:v>Kumuram Bheem Asifabad</x:v>
      </x:c>
      <x:c r="D166" s="26" t="str">
        <x:v>Telangana</x:v>
      </x:c>
      <x:c r="E166" s="26" t="n">
        <x:v>9007</x:v>
      </x:c>
      <x:c r="F166" s="26" t="str">
        <x:v>PRJ-2026-0009007</x:v>
      </x:c>
      <x:c r="G166" s="26" t="str">
        <x:v>Proposal for upgradation of Anganwadi centre</x:v>
      </x:c>
      <x:c r="H166" s="26" t="str">
        <x:v>Mission Saksham Anganwadi &amp; POSHAN 2.0</x:v>
      </x:c>
      <x:c r="I166" s="32" t="n">
        <x:v>46164</x:v>
      </x:c>
      <x:c r="J166" s="32" t="n">
        <x:v>46295</x:v>
      </x:c>
      <x:c r="K166" s="32"/>
      <x:c r="L166" s="26" t="str">
        <x:v>Active: On/After 01-Aug-2026</x:v>
      </x:c>
      <x:c r="M166" s="26" t="str">
        <x:v>Pending Mapping</x:v>
      </x:c>
      <x:c r="N166" s="26" t="str">
        <x:v>Original project JSON not available</x:v>
      </x:c>
      <x:c r="O166" s="26"/>
      <x:c r="P166" s="26" t="str"/>
      <x:c r="Q166" s="26" t="str"/>
      <x:c r="R166" s="26"/>
      <x:c r="S166" s="36"/>
      <x:c r="T166" s="26"/>
      <x:c r="U166" s="26"/>
      <x:c r="V166" s="26"/>
      <x:c r="W166" s="26" t="n">
        <x:v>5</x:v>
      </x:c>
      <x:c r="X166" s="26" t="n">
        <x:v>0</x:v>
      </x:c>
      <x:c r="Y166" s="26" t="n">
        <x:f>SUMIF('Activity Detail'!$E$4:$E$706,F166,'Activity Detail'!$L$4:$L$706)</x:f>
        <x:v>19</x:v>
      </x:c>
      <x:c r="Z166" s="26" t="n">
        <x:f>SUMIF('Activity Detail'!$E$4:$E$706,F166,'Activity Detail'!$N$4:$N$706)</x:f>
        <x:v>0</x:v>
      </x:c>
      <x:c r="AA166" s="26" t="n">
        <x:f>MAX(Y166-Z166,0)</x:f>
        <x:v>19</x:v>
      </x:c>
      <x:c r="AB166" s="38" t="n">
        <x:f>IFERROR(Z166/Y166,0)</x:f>
        <x:v>0</x:v>
      </x:c>
      <x:c r="AC166" s="26" t="str">
        <x:v>Committed / Not Delivered</x:v>
      </x:c>
      <x:c r="AD166" s="26" t="str">
        <x:v>Approval not recorded in response</x:v>
      </x:c>
      <x:c r="AE166" s="27" t="b">
        <x:v>1</x:v>
      </x:c>
      <x:c r="AF166" s="34" t="n">
        <x:v>46218.510717592595</x:v>
      </x:c>
      <x:c r="AG166" s="34"/>
      <x:c r="AH166" s="26" t="str">
        <x:v>Contribution API fields only; original project JSON needed for line-item names/centres/category</x:v>
      </x:c>
      <x:c r="AI166" s="26" t="str"/>
      <x:c r="AJ166" s="26" t="str">
        <x:v>Not Started</x:v>
      </x:c>
      <x:c r="AK166" s="26" t="str"/>
      <x:c r="AL166" s="26" t="str"/>
    </x:row>
    <x:row r="167">
      <x:c r="A167" s="26" t="n">
        <x:v>164</x:v>
      </x:c>
      <x:c r="B167" s="26" t="n">
        <x:v>179</x:v>
      </x:c>
      <x:c r="C167" s="26" t="str">
        <x:v>Kumuram Bheem Asifabad</x:v>
      </x:c>
      <x:c r="D167" s="26" t="str">
        <x:v>Telangana</x:v>
      </x:c>
      <x:c r="E167" s="26" t="n">
        <x:v>9085</x:v>
      </x:c>
      <x:c r="F167" s="26" t="str">
        <x:v>PRJ-2026-0009085</x:v>
      </x:c>
      <x:c r="G167" s="26" t="str">
        <x:v>Proposal for upgradation of Anganwadi centre</x:v>
      </x:c>
      <x:c r="H167" s="26" t="str">
        <x:v>Mission Saksham Anganwadi &amp; POSHAN 2.0</x:v>
      </x:c>
      <x:c r="I167" s="32" t="n">
        <x:v>46164</x:v>
      </x:c>
      <x:c r="J167" s="32" t="n">
        <x:v>46295</x:v>
      </x:c>
      <x:c r="K167" s="32"/>
      <x:c r="L167" s="26" t="str">
        <x:v>Active: On/After 01-Aug-2026</x:v>
      </x:c>
      <x:c r="M167" s="26" t="str">
        <x:v>Pending Mapping</x:v>
      </x:c>
      <x:c r="N167" s="26" t="str">
        <x:v>Original project JSON not available</x:v>
      </x:c>
      <x:c r="O167" s="26"/>
      <x:c r="P167" s="26" t="str"/>
      <x:c r="Q167" s="26" t="str"/>
      <x:c r="R167" s="26"/>
      <x:c r="S167" s="36"/>
      <x:c r="T167" s="26"/>
      <x:c r="U167" s="26"/>
      <x:c r="V167" s="26"/>
      <x:c r="W167" s="26" t="n">
        <x:v>4</x:v>
      </x:c>
      <x:c r="X167" s="26" t="n">
        <x:v>0</x:v>
      </x:c>
      <x:c r="Y167" s="26" t="n">
        <x:f>SUMIF('Activity Detail'!$E$4:$E$706,F167,'Activity Detail'!$L$4:$L$706)</x:f>
        <x:v>8</x:v>
      </x:c>
      <x:c r="Z167" s="26" t="n">
        <x:f>SUMIF('Activity Detail'!$E$4:$E$706,F167,'Activity Detail'!$N$4:$N$706)</x:f>
        <x:v>0</x:v>
      </x:c>
      <x:c r="AA167" s="26" t="n">
        <x:f>MAX(Y167-Z167,0)</x:f>
        <x:v>8</x:v>
      </x:c>
      <x:c r="AB167" s="38" t="n">
        <x:f>IFERROR(Z167/Y167,0)</x:f>
        <x:v>0</x:v>
      </x:c>
      <x:c r="AC167" s="26" t="str">
        <x:v>Committed / Not Delivered</x:v>
      </x:c>
      <x:c r="AD167" s="26" t="str">
        <x:v>Approval not recorded in response</x:v>
      </x:c>
      <x:c r="AE167" s="27" t="b">
        <x:v>1</x:v>
      </x:c>
      <x:c r="AF167" s="34" t="n">
        <x:v>46218.51070601852</x:v>
      </x:c>
      <x:c r="AG167" s="34"/>
      <x:c r="AH167" s="26" t="str">
        <x:v>Contribution API fields only; original project JSON needed for line-item names/centres/category</x:v>
      </x:c>
      <x:c r="AI167" s="26" t="str"/>
      <x:c r="AJ167" s="26" t="str">
        <x:v>Not Started</x:v>
      </x:c>
      <x:c r="AK167" s="26" t="str"/>
      <x:c r="AL167" s="26" t="str"/>
    </x:row>
    <x:row r="168">
      <x:c r="A168" s="26" t="n">
        <x:v>165</x:v>
      </x:c>
      <x:c r="B168" s="26" t="n">
        <x:v>127</x:v>
      </x:c>
      <x:c r="C168" s="26" t="str">
        <x:v>Kumuram Bheem Asifabad</x:v>
      </x:c>
      <x:c r="D168" s="26" t="str">
        <x:v>Telangana</x:v>
      </x:c>
      <x:c r="E168" s="26" t="n">
        <x:v>6307</x:v>
      </x:c>
      <x:c r="F168" s="26" t="str">
        <x:v>PRJ-2026-0006307</x:v>
      </x:c>
      <x:c r="G168" s="26" t="str">
        <x:v>Rain Water Harvesting System : Water Filter Kitchen Construction : Poshan Vatika  kitchen Shelves : Gas stove, regulator : Solar Panel : Civil Repair : Toilet</x:v>
      </x:c>
      <x:c r="H168" s="26" t="str">
        <x:v>Mission Saksham Anganwadi &amp; POSHAN 2.0</x:v>
      </x:c>
      <x:c r="I168" s="32" t="n">
        <x:v>46163</x:v>
      </x:c>
      <x:c r="J168" s="32" t="n">
        <x:v>46255</x:v>
      </x:c>
      <x:c r="K168" s="32"/>
      <x:c r="L168" s="26" t="str">
        <x:v>Active: On/After 01-Aug-2026</x:v>
      </x:c>
      <x:c r="M168" s="26" t="str">
        <x:v>Pending Mapping</x:v>
      </x:c>
      <x:c r="N168" s="26" t="str">
        <x:v>Original project JSON not available</x:v>
      </x:c>
      <x:c r="O168" s="26"/>
      <x:c r="P168" s="26" t="str"/>
      <x:c r="Q168" s="26" t="str"/>
      <x:c r="R168" s="26"/>
      <x:c r="S168" s="36"/>
      <x:c r="T168" s="26"/>
      <x:c r="U168" s="26"/>
      <x:c r="V168" s="26"/>
      <x:c r="W168" s="26" t="n">
        <x:v>4</x:v>
      </x:c>
      <x:c r="X168" s="26" t="n">
        <x:v>0</x:v>
      </x:c>
      <x:c r="Y168" s="26" t="n">
        <x:f>SUMIF('Activity Detail'!$E$4:$E$706,F168,'Activity Detail'!$L$4:$L$706)</x:f>
        <x:v>4</x:v>
      </x:c>
      <x:c r="Z168" s="26" t="n">
        <x:f>SUMIF('Activity Detail'!$E$4:$E$706,F168,'Activity Detail'!$N$4:$N$706)</x:f>
        <x:v>0</x:v>
      </x:c>
      <x:c r="AA168" s="26" t="n">
        <x:f>MAX(Y168-Z168,0)</x:f>
        <x:v>4</x:v>
      </x:c>
      <x:c r="AB168" s="38" t="n">
        <x:f>IFERROR(Z168/Y168,0)</x:f>
        <x:v>0</x:v>
      </x:c>
      <x:c r="AC168" s="26" t="str">
        <x:v>Committed / Not Delivered</x:v>
      </x:c>
      <x:c r="AD168" s="26" t="str">
        <x:v>Approval not recorded in response</x:v>
      </x:c>
      <x:c r="AE168" s="27" t="b">
        <x:v>1</x:v>
      </x:c>
      <x:c r="AF168" s="34" t="n">
        <x:v>46218.41637731482</x:v>
      </x:c>
      <x:c r="AG168" s="34"/>
      <x:c r="AH168" s="26" t="str">
        <x:v>Contribution API fields only; original project JSON needed for line-item names/centres/category</x:v>
      </x:c>
      <x:c r="AI168" s="26" t="str"/>
      <x:c r="AJ168" s="26" t="str">
        <x:v>Not Started</x:v>
      </x:c>
      <x:c r="AK168" s="26" t="str"/>
      <x:c r="AL168" s="26" t="str"/>
    </x:row>
    <x:row r="169">
      <x:c r="A169" s="26" t="n">
        <x:v>166</x:v>
      </x:c>
      <x:c r="B169" s="26" t="n">
        <x:v>126</x:v>
      </x:c>
      <x:c r="C169" s="26" t="str">
        <x:v>Kumuram Bheem Asifabad</x:v>
      </x:c>
      <x:c r="D169" s="26" t="str">
        <x:v>Telangana</x:v>
      </x:c>
      <x:c r="E169" s="26" t="n">
        <x:v>10339</x:v>
      </x:c>
      <x:c r="F169" s="26" t="str">
        <x:v>PRJ-2026-0010339</x:v>
      </x:c>
      <x:c r="G169" s="26" t="str">
        <x:v>Water filter, gas stove </x:v>
      </x:c>
      <x:c r="H169" s="26" t="str">
        <x:v>Mission Saksham Anganwadi &amp; POSHAN 2.0</x:v>
      </x:c>
      <x:c r="I169" s="32" t="n">
        <x:v>46164</x:v>
      </x:c>
      <x:c r="J169" s="32" t="n">
        <x:v>46265</x:v>
      </x:c>
      <x:c r="K169" s="32"/>
      <x:c r="L169" s="26" t="str">
        <x:v>Active: On/After 01-Aug-2026</x:v>
      </x:c>
      <x:c r="M169" s="26" t="str">
        <x:v>Pending Mapping</x:v>
      </x:c>
      <x:c r="N169" s="26" t="str">
        <x:v>Original project JSON not available</x:v>
      </x:c>
      <x:c r="O169" s="26"/>
      <x:c r="P169" s="26" t="str"/>
      <x:c r="Q169" s="26" t="str"/>
      <x:c r="R169" s="26"/>
      <x:c r="S169" s="36"/>
      <x:c r="T169" s="26"/>
      <x:c r="U169" s="26"/>
      <x:c r="V169" s="26"/>
      <x:c r="W169" s="26" t="n">
        <x:v>2</x:v>
      </x:c>
      <x:c r="X169" s="26" t="n">
        <x:v>0</x:v>
      </x:c>
      <x:c r="Y169" s="26" t="n">
        <x:f>SUMIF('Activity Detail'!$E$4:$E$706,F169,'Activity Detail'!$L$4:$L$706)</x:f>
        <x:v>2</x:v>
      </x:c>
      <x:c r="Z169" s="26" t="n">
        <x:f>SUMIF('Activity Detail'!$E$4:$E$706,F169,'Activity Detail'!$N$4:$N$706)</x:f>
        <x:v>0</x:v>
      </x:c>
      <x:c r="AA169" s="26" t="n">
        <x:f>MAX(Y169-Z169,0)</x:f>
        <x:v>2</x:v>
      </x:c>
      <x:c r="AB169" s="38" t="n">
        <x:f>IFERROR(Z169/Y169,0)</x:f>
        <x:v>0</x:v>
      </x:c>
      <x:c r="AC169" s="26" t="str">
        <x:v>Committed / Not Delivered</x:v>
      </x:c>
      <x:c r="AD169" s="26" t="str">
        <x:v>Approval not recorded in response</x:v>
      </x:c>
      <x:c r="AE169" s="27" t="b">
        <x:v>1</x:v>
      </x:c>
      <x:c r="AF169" s="34" t="n">
        <x:v>46218.411516203705</x:v>
      </x:c>
      <x:c r="AG169" s="34"/>
      <x:c r="AH169" s="26" t="str">
        <x:v>Contribution API fields only; original project JSON needed for line-item names/centres/category</x:v>
      </x:c>
      <x:c r="AI169" s="26" t="str"/>
      <x:c r="AJ169" s="26" t="str">
        <x:v>Not Started</x:v>
      </x:c>
      <x:c r="AK169" s="26" t="str"/>
      <x:c r="AL169" s="26" t="str"/>
    </x:row>
    <x:row r="170">
      <x:c r="A170" s="26" t="n">
        <x:v>167</x:v>
      </x:c>
      <x:c r="B170" s="26" t="n">
        <x:v>125</x:v>
      </x:c>
      <x:c r="C170" s="26" t="str">
        <x:v>Kumuram Bheem Asifabad</x:v>
      </x:c>
      <x:c r="D170" s="26" t="str">
        <x:v>Telangana</x:v>
      </x:c>
      <x:c r="E170" s="26" t="n">
        <x:v>10748</x:v>
      </x:c>
      <x:c r="F170" s="26" t="str">
        <x:v>PRJ-2026-0010748</x:v>
      </x:c>
      <x:c r="G170" s="26" t="str">
        <x:v>Water filter </x:v>
      </x:c>
      <x:c r="H170" s="26" t="str">
        <x:v>Mission Saksham Anganwadi &amp; POSHAN 2.0</x:v>
      </x:c>
      <x:c r="I170" s="32" t="n">
        <x:v>46164</x:v>
      </x:c>
      <x:c r="J170" s="32" t="n">
        <x:v>46265</x:v>
      </x:c>
      <x:c r="K170" s="32"/>
      <x:c r="L170" s="26" t="str">
        <x:v>Active: On/After 01-Aug-2026</x:v>
      </x:c>
      <x:c r="M170" s="26" t="str">
        <x:v>Pending Mapping</x:v>
      </x:c>
      <x:c r="N170" s="26" t="str">
        <x:v>Original project JSON not available</x:v>
      </x:c>
      <x:c r="O170" s="26"/>
      <x:c r="P170" s="26" t="str"/>
      <x:c r="Q170" s="26" t="str"/>
      <x:c r="R170" s="26"/>
      <x:c r="S170" s="36"/>
      <x:c r="T170" s="26"/>
      <x:c r="U170" s="26"/>
      <x:c r="V170" s="26"/>
      <x:c r="W170" s="26" t="n">
        <x:v>7</x:v>
      </x:c>
      <x:c r="X170" s="26" t="n">
        <x:v>0</x:v>
      </x:c>
      <x:c r="Y170" s="26" t="n">
        <x:f>SUMIF('Activity Detail'!$E$4:$E$706,F170,'Activity Detail'!$L$4:$L$706)</x:f>
        <x:v>8</x:v>
      </x:c>
      <x:c r="Z170" s="26" t="n">
        <x:f>SUMIF('Activity Detail'!$E$4:$E$706,F170,'Activity Detail'!$N$4:$N$706)</x:f>
        <x:v>0</x:v>
      </x:c>
      <x:c r="AA170" s="26" t="n">
        <x:f>MAX(Y170-Z170,0)</x:f>
        <x:v>8</x:v>
      </x:c>
      <x:c r="AB170" s="38" t="n">
        <x:f>IFERROR(Z170/Y170,0)</x:f>
        <x:v>0</x:v>
      </x:c>
      <x:c r="AC170" s="26" t="str">
        <x:v>Committed / Not Delivered</x:v>
      </x:c>
      <x:c r="AD170" s="26" t="str">
        <x:v>Approval not recorded in response</x:v>
      </x:c>
      <x:c r="AE170" s="27" t="b">
        <x:v>1</x:v>
      </x:c>
      <x:c r="AF170" s="34" t="n">
        <x:v>46218.40939814815</x:v>
      </x:c>
      <x:c r="AG170" s="34"/>
      <x:c r="AH170" s="26" t="str">
        <x:v>Contribution API fields only; original project JSON needed for line-item names/centres/category</x:v>
      </x:c>
      <x:c r="AI170" s="26" t="str"/>
      <x:c r="AJ170" s="26" t="str">
        <x:v>Not Started</x:v>
      </x:c>
      <x:c r="AK170" s="26" t="str"/>
      <x:c r="AL170" s="26" t="str"/>
    </x:row>
    <x:row r="171">
      <x:c r="A171" s="26" t="n">
        <x:v>168</x:v>
      </x:c>
      <x:c r="B171" s="26" t="n">
        <x:v>124</x:v>
      </x:c>
      <x:c r="C171" s="26" t="str">
        <x:v>Kumuram Bheem Asifabad</x:v>
      </x:c>
      <x:c r="D171" s="26" t="str">
        <x:v>Telangana</x:v>
      </x:c>
      <x:c r="E171" s="26" t="n">
        <x:v>10255</x:v>
      </x:c>
      <x:c r="F171" s="26" t="str">
        <x:v>PRJ-2026-0010255</x:v>
      </x:c>
      <x:c r="G171" s="26" t="str">
        <x:v>Rain Water Harvesting System : Water Filter Kitchen Construction : Poshan Vatika  kitchen Shelves : Gas stove, regulator : Solar Panel : Civil Repair : Toilet</x:v>
      </x:c>
      <x:c r="H171" s="26" t="str">
        <x:v>Mission Saksham Anganwadi &amp; POSHAN 2.0</x:v>
      </x:c>
      <x:c r="I171" s="32" t="n">
        <x:v>46164</x:v>
      </x:c>
      <x:c r="J171" s="32" t="n">
        <x:v>46255</x:v>
      </x:c>
      <x:c r="K171" s="32"/>
      <x:c r="L171" s="26" t="str">
        <x:v>Active: On/After 01-Aug-2026</x:v>
      </x:c>
      <x:c r="M171" s="26" t="str">
        <x:v>Pending Mapping</x:v>
      </x:c>
      <x:c r="N171" s="26" t="str">
        <x:v>Original project JSON not available</x:v>
      </x:c>
      <x:c r="O171" s="26"/>
      <x:c r="P171" s="26" t="str"/>
      <x:c r="Q171" s="26" t="str"/>
      <x:c r="R171" s="26"/>
      <x:c r="S171" s="36"/>
      <x:c r="T171" s="26"/>
      <x:c r="U171" s="26"/>
      <x:c r="V171" s="26"/>
      <x:c r="W171" s="26" t="n">
        <x:v>4</x:v>
      </x:c>
      <x:c r="X171" s="26" t="n">
        <x:v>0</x:v>
      </x:c>
      <x:c r="Y171" s="26" t="n">
        <x:f>SUMIF('Activity Detail'!$E$4:$E$706,F171,'Activity Detail'!$L$4:$L$706)</x:f>
        <x:v>4</x:v>
      </x:c>
      <x:c r="Z171" s="26" t="n">
        <x:f>SUMIF('Activity Detail'!$E$4:$E$706,F171,'Activity Detail'!$N$4:$N$706)</x:f>
        <x:v>0</x:v>
      </x:c>
      <x:c r="AA171" s="26" t="n">
        <x:f>MAX(Y171-Z171,0)</x:f>
        <x:v>4</x:v>
      </x:c>
      <x:c r="AB171" s="38" t="n">
        <x:f>IFERROR(Z171/Y171,0)</x:f>
        <x:v>0</x:v>
      </x:c>
      <x:c r="AC171" s="26" t="str">
        <x:v>Committed / Not Delivered</x:v>
      </x:c>
      <x:c r="AD171" s="26" t="str">
        <x:v>Approval not recorded in response</x:v>
      </x:c>
      <x:c r="AE171" s="27" t="b">
        <x:v>1</x:v>
      </x:c>
      <x:c r="AF171" s="34" t="n">
        <x:v>46218.40608796296</x:v>
      </x:c>
      <x:c r="AG171" s="34"/>
      <x:c r="AH171" s="26" t="str">
        <x:v>Contribution API fields only; original project JSON needed for line-item names/centres/category</x:v>
      </x:c>
      <x:c r="AI171" s="26" t="str"/>
      <x:c r="AJ171" s="26" t="str">
        <x:v>Not Started</x:v>
      </x:c>
      <x:c r="AK171" s="26" t="str"/>
      <x:c r="AL171" s="26" t="str"/>
    </x:row>
    <x:row r="172">
      <x:c r="A172" s="26" t="n">
        <x:v>169</x:v>
      </x:c>
      <x:c r="B172" s="26" t="n">
        <x:v>120</x:v>
      </x:c>
      <x:c r="C172" s="26" t="str">
        <x:v>Kumuram Bheem Asifabad</x:v>
      </x:c>
      <x:c r="D172" s="26" t="str">
        <x:v>Telangana</x:v>
      </x:c>
      <x:c r="E172" s="26" t="n">
        <x:v>10748</x:v>
      </x:c>
      <x:c r="F172" s="26" t="str">
        <x:v>PRJ-2026-0010748</x:v>
      </x:c>
      <x:c r="G172" s="26" t="str">
        <x:v>Water filter </x:v>
      </x:c>
      <x:c r="H172" s="26" t="str">
        <x:v>Mission Saksham Anganwadi &amp; POSHAN 2.0</x:v>
      </x:c>
      <x:c r="I172" s="32" t="n">
        <x:v>46164</x:v>
      </x:c>
      <x:c r="J172" s="32" t="n">
        <x:v>46265</x:v>
      </x:c>
      <x:c r="K172" s="32"/>
      <x:c r="L172" s="26" t="str">
        <x:v>Active: On/After 01-Aug-2026</x:v>
      </x:c>
      <x:c r="M172" s="26" t="str">
        <x:v>Pending Mapping</x:v>
      </x:c>
      <x:c r="N172" s="26" t="str">
        <x:v>Original project JSON not available</x:v>
      </x:c>
      <x:c r="O172" s="26"/>
      <x:c r="P172" s="26" t="str"/>
      <x:c r="Q172" s="26" t="str"/>
      <x:c r="R172" s="26"/>
      <x:c r="S172" s="36"/>
      <x:c r="T172" s="26"/>
      <x:c r="U172" s="26"/>
      <x:c r="V172" s="26"/>
      <x:c r="W172" s="26" t="n">
        <x:v>4</x:v>
      </x:c>
      <x:c r="X172" s="26" t="n">
        <x:v>0</x:v>
      </x:c>
      <x:c r="Y172" s="26" t="n">
        <x:f>SUMIF('Activity Detail'!$E$4:$E$706,F172,'Activity Detail'!$L$4:$L$706)</x:f>
        <x:v>8</x:v>
      </x:c>
      <x:c r="Z172" s="26" t="n">
        <x:f>SUMIF('Activity Detail'!$E$4:$E$706,F172,'Activity Detail'!$N$4:$N$706)</x:f>
        <x:v>0</x:v>
      </x:c>
      <x:c r="AA172" s="26" t="n">
        <x:f>MAX(Y172-Z172,0)</x:f>
        <x:v>8</x:v>
      </x:c>
      <x:c r="AB172" s="38" t="n">
        <x:f>IFERROR(Z172/Y172,0)</x:f>
        <x:v>0</x:v>
      </x:c>
      <x:c r="AC172" s="26" t="str">
        <x:v>Committed / Not Delivered</x:v>
      </x:c>
      <x:c r="AD172" s="26" t="str">
        <x:v>Approval not recorded in response</x:v>
      </x:c>
      <x:c r="AE172" s="27" t="b">
        <x:v>1</x:v>
      </x:c>
      <x:c r="AF172" s="34" t="n">
        <x:v>46215.35917824074</x:v>
      </x:c>
      <x:c r="AG172" s="34"/>
      <x:c r="AH172" s="26" t="str">
        <x:v>Contribution API fields only; original project JSON needed for line-item names/centres/category</x:v>
      </x:c>
      <x:c r="AI172" s="26" t="str"/>
      <x:c r="AJ172" s="26" t="str">
        <x:v>Not Started</x:v>
      </x:c>
      <x:c r="AK172" s="26" t="str"/>
      <x:c r="AL172" s="26" t="str"/>
    </x:row>
  </x:sheetData>
  <x:mergeCells>
    <x:mergeCell ref="A1:AL1"/>
  </x:mergeCells>
  <x:conditionalFormatting sqref="AB4:AB17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{66ACF806-89E5-7564-8EFF-1B192D59E516}</x14:id>
        </x:ext>
      </x:extLst>
    </x:cfRule>
  </x:conditionalFormatting>
  <x:conditionalFormatting sqref="M4:M172">
    <x:cfRule type="expression" dxfId="0" priority="2">
      <x:formula>M4="Complex"</x:formula>
    </x:cfRule>
    <x:cfRule type="expression" dxfId="1" priority="3">
      <x:formula>M4="Medium"</x:formula>
    </x:cfRule>
    <x:cfRule type="expression" dxfId="2" priority="4">
      <x:formula>M4="Minor"</x:formula>
    </x:cfRule>
    <x:cfRule type="expression" dxfId="3" priority="5">
      <x:formula>M4="Pending Mapping"</x:formula>
    </x:cfRule>
  </x:conditionalFormatting>
  <x:conditionalFormatting sqref="L4:L172">
    <x:cfRule type="expression" dxfId="4" priority="6">
      <x:formula>LEFT(L4,7)="Exclude"</x:formula>
    </x:cfRule>
  </x:conditionalFormatting>
  <x:dataValidations count="1">
    <x:dataValidation type="list" sqref="AJ4:AJ172">
      <x:formula1>"Not Started,Survey Planned,In Progress,Completed,On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465ce39494a0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ACF806-89E5-7564-8EFF-1B192D59E516}">
            <x14:dataBar gradient="1">
              <x14:cfvo type="min"/>
              <x14:cfvo type="max"/>
              <x14:fillColor rgb="FF5B9BD5"/>
            </x14:dataBar>
          </x14:cfRule>
          <xm:sqref>AB4:AB172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20.25" hidden="0" customWidth="1"/>
    <x:col min="4" max="4" width="10.5" hidden="0" customWidth="1"/>
    <x:col min="5" max="5" width="22" hidden="0" customWidth="1"/>
    <x:col min="6" max="6" width="27" hidden="0" customWidth="1"/>
    <x:col min="7" max="7" width="19.6299991607666" hidden="0" customWidth="1"/>
    <x:col min="8" max="8" width="10.880000114440918" hidden="0" customWidth="1"/>
    <x:col min="9" max="9" width="24" hidden="0" customWidth="1"/>
    <x:col min="10" max="10" width="6.630000114440918" hidden="0" customWidth="1"/>
    <x:col min="11" max="11" width="18" hidden="0" customWidth="1"/>
    <x:col min="12" max="12" width="15.880000114440918" hidden="0" customWidth="1"/>
    <x:col min="13" max="13" width="12" hidden="0" customWidth="1"/>
    <x:col min="14" max="14" width="13.5" hidden="0" customWidth="1"/>
    <x:col min="15" max="15" width="14.25" hidden="0" customWidth="1"/>
    <x:col min="16" max="16" width="11.130000114440918" hidden="0" customWidth="1"/>
    <x:col min="17" max="17" width="21" hidden="0" customWidth="1"/>
    <x:col min="18" max="18" width="24" hidden="0" customWidth="1"/>
    <x:col min="19" max="19" width="15" hidden="0" customWidth="1"/>
    <x:col min="20" max="20" width="19.75" hidden="0" customWidth="1"/>
    <x:col min="21" max="21" width="14.5" hidden="0" customWidth="1"/>
    <x:col min="22" max="22" width="15.630000114440918" hidden="0" customWidth="1"/>
    <x:col min="23" max="23" width="11.130000114440918" hidden="0" customWidth="1"/>
    <x:col min="24" max="24" width="7.75" hidden="0" customWidth="1"/>
    <x:col min="25" max="25" width="16.5" hidden="0" customWidth="1"/>
    <x:col min="26" max="26" width="10.25" hidden="0" customWidth="1"/>
    <x:col min="27" max="27" width="36" hidden="0" customWidth="1"/>
    <x:col min="28" max="28" width="36" hidden="0" customWidth="1"/>
  </x:cols>
  <x:sheetData>
    <x:row r="1" ht="18" customHeight="1">
      <x:c r="A1" s="5" t="str">
        <x:v>PANKHUDI — Contribution Activity Detail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Project ID</x:v>
      </x:c>
      <x:c r="E3" s="14" t="str">
        <x:v>Project UID</x:v>
      </x:c>
      <x:c r="F3" s="14" t="str">
        <x:v>Project Name</x:v>
      </x:c>
      <x:c r="G3" s="14" t="str">
        <x:v>Contribution Detail ID</x:v>
      </x:c>
      <x:c r="H3" s="14" t="str">
        <x:v>Activity ID</x:v>
      </x:c>
      <x:c r="I3" s="14" t="str">
        <x:v>Line Item Name</x:v>
      </x:c>
      <x:c r="J3" s="14" t="str">
        <x:v>Unit</x:v>
      </x:c>
      <x:c r="K3" s="14" t="str">
        <x:v>Original Project Qty</x:v>
      </x:c>
      <x:c r="L3" s="14" t="str">
        <x:v>Contribution Qty</x:v>
      </x:c>
      <x:c r="M3" s="14" t="str">
        <x:v>Current Qty</x:v>
      </x:c>
      <x:c r="N3" s="14" t="str">
        <x:v>Delivered Qty</x:v>
      </x:c>
      <x:c r="O3" s="14" t="str">
        <x:v>Remaining Qty</x:v>
      </x:c>
      <x:c r="P3" s="14" t="str">
        <x:v>Delivery %</x:v>
      </x:c>
      <x:c r="Q3" s="14" t="str">
        <x:v>Category Name</x:v>
      </x:c>
      <x:c r="R3" s="14" t="str">
        <x:v>Subcategory</x:v>
      </x:c>
      <x:c r="S3" s="14" t="str">
        <x:v>Complexity Tier</x:v>
      </x:c>
      <x:c r="T3" s="14" t="str">
        <x:v>Contribution Remarks</x:v>
      </x:c>
      <x:c r="U3" s="14" t="str">
        <x:v>Delivery Status</x:v>
      </x:c>
      <x:c r="V3" s="14" t="str">
        <x:v>Delivery Remark</x:v>
      </x:c>
      <x:c r="W3" s="14" t="str">
        <x:v>Deliver On</x:v>
      </x:c>
      <x:c r="X3" s="14" t="str">
        <x:v>Active</x:v>
      </x:c>
      <x:c r="Y3" s="14" t="str">
        <x:v>Detail Created On</x:v>
      </x:c>
      <x:c r="Z3" s="14" t="str">
        <x:v>Feedback</x:v>
      </x:c>
      <x:c r="AA3" s="14" t="str">
        <x:v>Centre Names</x:v>
      </x:c>
      <x:c r="AB3" s="14" t="str">
        <x:v>Enrichment Status</x:v>
      </x:c>
    </x:row>
    <x:row r="4">
      <x:c r="A4" s="26" t="n">
        <x:v>1</x:v>
      </x:c>
      <x:c r="B4" s="26" t="n">
        <x:v>290</x:v>
      </x:c>
      <x:c r="C4" s="26" t="str">
        <x:v>Mulugu</x:v>
      </x:c>
      <x:c r="D4" s="26" t="n">
        <x:v>7797</x:v>
      </x:c>
      <x:c r="E4" s="26" t="str">
        <x:v>PRJ-2026-0007797</x:v>
      </x:c>
      <x:c r="F4" s="26" t="str">
        <x:v>AWC Infrastructure</x:v>
      </x:c>
      <x:c r="G4" s="26" t="n">
        <x:v>915</x:v>
      </x:c>
      <x:c r="H4" s="26" t="n">
        <x:v>28526</x:v>
      </x:c>
      <x:c r="I4" s="26" t="str">
        <x:v>Toys</x:v>
      </x:c>
      <x:c r="J4" s="26" t="str">
        <x:v>Number</x:v>
      </x:c>
      <x:c r="K4" s="26" t="n">
        <x:v>10</x:v>
      </x:c>
      <x:c r="L4" s="26" t="n">
        <x:v>10</x:v>
      </x:c>
      <x:c r="M4" s="26" t="n">
        <x:v>10</x:v>
      </x:c>
      <x:c r="N4" s="26" t="n">
        <x:v>0</x:v>
      </x:c>
      <x:c r="O4" s="26" t="n">
        <x:f>MAX(M4-N4,0)</x:f>
        <x:v>10</x:v>
      </x:c>
      <x:c r="P4" s="38" t="n">
        <x:f>IFERROR(N4/M4,0)</x:f>
        <x:v>0</x:v>
      </x:c>
      <x:c r="Q4" s="26" t="str">
        <x:v>Material/Assets/Equipment</x:v>
      </x:c>
      <x:c r="R4" s="26" t="str">
        <x:v>ECCE Equipment</x:v>
      </x:c>
      <x:c r="S4" s="26" t="str">
        <x:v>Minor</x:v>
      </x:c>
      <x:c r="T4" s="26"/>
      <x:c r="U4" s="26"/>
      <x:c r="V4" s="26"/>
      <x:c r="W4" s="32"/>
      <x:c r="X4" s="27" t="b">
        <x:v>1</x:v>
      </x:c>
      <x:c r="Y4" s="34" t="n">
        <x:v>46220.017800925925</x:v>
      </x:c>
      <x:c r="Z4" s="26"/>
      <x:c r="AA4" s="26" t="str">
        <x:v>Puligundam (36701020209)</x:v>
      </x:c>
      <x:c r="AB4" s="26" t="str">
        <x:v>Enriched from Mulugu project JSON</x:v>
      </x:c>
    </x:row>
    <x:row r="5">
      <x:c r="A5" s="26" t="n">
        <x:v>2</x:v>
      </x:c>
      <x:c r="B5" s="26" t="n">
        <x:v>290</x:v>
      </x:c>
      <x:c r="C5" s="26" t="str">
        <x:v>Mulugu</x:v>
      </x:c>
      <x:c r="D5" s="26" t="n">
        <x:v>7797</x:v>
      </x:c>
      <x:c r="E5" s="26" t="str">
        <x:v>PRJ-2026-0007797</x:v>
      </x:c>
      <x:c r="F5" s="26" t="str">
        <x:v>AWC Infrastructure</x:v>
      </x:c>
      <x:c r="G5" s="26" t="n">
        <x:v>916</x:v>
      </x:c>
      <x:c r="H5" s="26" t="n">
        <x:v>28527</x:v>
      </x:c>
      <x:c r="I5" s="26" t="str">
        <x:v>Games</x:v>
      </x:c>
      <x:c r="J5" s="26" t="str">
        <x:v>Number</x:v>
      </x:c>
      <x:c r="K5" s="26" t="n">
        <x:v>10</x:v>
      </x:c>
      <x:c r="L5" s="26" t="n">
        <x:v>10</x:v>
      </x:c>
      <x:c r="M5" s="26" t="n">
        <x:v>10</x:v>
      </x:c>
      <x:c r="N5" s="26" t="n">
        <x:v>0</x:v>
      </x:c>
      <x:c r="O5" s="26" t="n">
        <x:f>MAX(M5-N5,0)</x:f>
        <x:v>10</x:v>
      </x:c>
      <x:c r="P5" s="38" t="n">
        <x:f>IFERROR(N5/M5,0)</x:f>
        <x:v>0</x:v>
      </x:c>
      <x:c r="Q5" s="26" t="str">
        <x:v>Material/Assets/Equipment</x:v>
      </x:c>
      <x:c r="R5" s="26" t="str">
        <x:v>ECCE Equipment</x:v>
      </x:c>
      <x:c r="S5" s="26" t="str">
        <x:v>Minor</x:v>
      </x:c>
      <x:c r="T5" s="26"/>
      <x:c r="U5" s="26"/>
      <x:c r="V5" s="26"/>
      <x:c r="W5" s="32"/>
      <x:c r="X5" s="27" t="b">
        <x:v>1</x:v>
      </x:c>
      <x:c r="Y5" s="34" t="n">
        <x:v>46220.017800925925</x:v>
      </x:c>
      <x:c r="Z5" s="26"/>
      <x:c r="AA5" s="26" t="str">
        <x:v>Puligundam (36701020209)</x:v>
      </x:c>
      <x:c r="AB5" s="26" t="str">
        <x:v>Enriched from Mulugu project JSON</x:v>
      </x:c>
    </x:row>
    <x:row r="6">
      <x:c r="A6" s="26" t="n">
        <x:v>3</x:v>
      </x:c>
      <x:c r="B6" s="26" t="n">
        <x:v>290</x:v>
      </x:c>
      <x:c r="C6" s="26" t="str">
        <x:v>Mulugu</x:v>
      </x:c>
      <x:c r="D6" s="26" t="n">
        <x:v>7797</x:v>
      </x:c>
      <x:c r="E6" s="26" t="str">
        <x:v>PRJ-2026-0007797</x:v>
      </x:c>
      <x:c r="F6" s="26" t="str">
        <x:v>AWC Infrastructure</x:v>
      </x:c>
      <x:c r="G6" s="26" t="n">
        <x:v>917</x:v>
      </x:c>
      <x:c r="H6" s="26" t="n">
        <x:v>28528</x:v>
      </x:c>
      <x:c r="I6" s="26" t="str">
        <x:v>Chairs/Benches</x:v>
      </x:c>
      <x:c r="J6" s="26" t="str">
        <x:v>Number</x:v>
      </x:c>
      <x:c r="K6" s="26" t="n">
        <x:v>10</x:v>
      </x:c>
      <x:c r="L6" s="26" t="n">
        <x:v>10</x:v>
      </x:c>
      <x:c r="M6" s="26" t="n">
        <x:v>10</x:v>
      </x:c>
      <x:c r="N6" s="26" t="n">
        <x:v>0</x:v>
      </x:c>
      <x:c r="O6" s="26" t="n">
        <x:f>MAX(M6-N6,0)</x:f>
        <x:v>10</x:v>
      </x:c>
      <x:c r="P6" s="38" t="n">
        <x:f>IFERROR(N6/M6,0)</x:f>
        <x:v>0</x:v>
      </x:c>
      <x:c r="Q6" s="26" t="str">
        <x:v>Material/Assets/Equipment</x:v>
      </x:c>
      <x:c r="R6" s="26" t="str">
        <x:v>Educational Needs</x:v>
      </x:c>
      <x:c r="S6" s="26" t="str">
        <x:v>Minor</x:v>
      </x:c>
      <x:c r="T6" s="26"/>
      <x:c r="U6" s="26"/>
      <x:c r="V6" s="26"/>
      <x:c r="W6" s="32"/>
      <x:c r="X6" s="27" t="b">
        <x:v>1</x:v>
      </x:c>
      <x:c r="Y6" s="34" t="n">
        <x:v>46220.017800925925</x:v>
      </x:c>
      <x:c r="Z6" s="26"/>
      <x:c r="AA6" s="26" t="str">
        <x:v>Puligundam (36701020209)</x:v>
      </x:c>
      <x:c r="AB6" s="26" t="str">
        <x:v>Enriched from Mulugu project JSON</x:v>
      </x:c>
    </x:row>
    <x:row r="7">
      <x:c r="A7" s="26" t="n">
        <x:v>4</x:v>
      </x:c>
      <x:c r="B7" s="26" t="n">
        <x:v>290</x:v>
      </x:c>
      <x:c r="C7" s="26" t="str">
        <x:v>Mulugu</x:v>
      </x:c>
      <x:c r="D7" s="26" t="n">
        <x:v>7797</x:v>
      </x:c>
      <x:c r="E7" s="26" t="str">
        <x:v>PRJ-2026-0007797</x:v>
      </x:c>
      <x:c r="F7" s="26" t="str">
        <x:v>AWC Infrastructure</x:v>
      </x:c>
      <x:c r="G7" s="26" t="n">
        <x:v>918</x:v>
      </x:c>
      <x:c r="H7" s="26" t="n">
        <x:v>28529</x:v>
      </x:c>
      <x:c r="I7" s="26" t="str">
        <x:v>Tube Lights</x:v>
      </x:c>
      <x:c r="J7" s="26" t="str">
        <x:v>Number</x:v>
      </x:c>
      <x:c r="K7" s="26" t="n">
        <x:v>2</x:v>
      </x:c>
      <x:c r="L7" s="26" t="n">
        <x:v>2</x:v>
      </x:c>
      <x:c r="M7" s="26" t="n">
        <x:v>2</x:v>
      </x:c>
      <x:c r="N7" s="26" t="n">
        <x:v>0</x:v>
      </x:c>
      <x:c r="O7" s="26" t="n">
        <x:f>MAX(M7-N7,0)</x:f>
        <x:v>2</x:v>
      </x:c>
      <x:c r="P7" s="38" t="n">
        <x:f>IFERROR(N7/M7,0)</x:f>
        <x:v>0</x:v>
      </x:c>
      <x:c r="Q7" s="26" t="str">
        <x:v>Material/Assets/Equipment</x:v>
      </x:c>
      <x:c r="R7" s="26" t="str">
        <x:v>Electrical Infrastructure</x:v>
      </x:c>
      <x:c r="S7" s="26" t="str">
        <x:v>Medium</x:v>
      </x:c>
      <x:c r="T7" s="26"/>
      <x:c r="U7" s="26"/>
      <x:c r="V7" s="26"/>
      <x:c r="W7" s="32"/>
      <x:c r="X7" s="27" t="b">
        <x:v>1</x:v>
      </x:c>
      <x:c r="Y7" s="34" t="n">
        <x:v>46220.017800925925</x:v>
      </x:c>
      <x:c r="Z7" s="26"/>
      <x:c r="AA7" s="26" t="str">
        <x:v>Puligundam (36701020209)</x:v>
      </x:c>
      <x:c r="AB7" s="26" t="str">
        <x:v>Enriched from Mulugu project JSON</x:v>
      </x:c>
    </x:row>
    <x:row r="8">
      <x:c r="A8" s="26" t="n">
        <x:v>5</x:v>
      </x:c>
      <x:c r="B8" s="26" t="n">
        <x:v>290</x:v>
      </x:c>
      <x:c r="C8" s="26" t="str">
        <x:v>Mulugu</x:v>
      </x:c>
      <x:c r="D8" s="26" t="n">
        <x:v>7797</x:v>
      </x:c>
      <x:c r="E8" s="26" t="str">
        <x:v>PRJ-2026-0007797</x:v>
      </x:c>
      <x:c r="F8" s="26" t="str">
        <x:v>AWC Infrastructure</x:v>
      </x:c>
      <x:c r="G8" s="26" t="n">
        <x:v>919</x:v>
      </x:c>
      <x:c r="H8" s="26" t="n">
        <x:v>28530</x:v>
      </x:c>
      <x:c r="I8" s="26" t="str">
        <x:v>Chairs</x:v>
      </x:c>
      <x:c r="J8" s="26" t="str">
        <x:v>Number</x:v>
      </x:c>
      <x:c r="K8" s="26" t="n">
        <x:v>3</x:v>
      </x:c>
      <x:c r="L8" s="26" t="n">
        <x:v>3</x:v>
      </x:c>
      <x:c r="M8" s="26" t="n">
        <x:v>3</x:v>
      </x:c>
      <x:c r="N8" s="26" t="n">
        <x:v>0</x:v>
      </x:c>
      <x:c r="O8" s="26" t="n">
        <x:f>MAX(M8-N8,0)</x:f>
        <x:v>3</x:v>
      </x:c>
      <x:c r="P8" s="38" t="n">
        <x:f>IFERROR(N8/M8,0)</x:f>
        <x:v>0</x:v>
      </x:c>
      <x:c r="Q8" s="26" t="str">
        <x:v>Material/Assets/Equipment</x:v>
      </x:c>
      <x:c r="R8" s="26" t="str">
        <x:v>Office Needs</x:v>
      </x:c>
      <x:c r="S8" s="26" t="str">
        <x:v>Minor</x:v>
      </x:c>
      <x:c r="T8" s="26"/>
      <x:c r="U8" s="26"/>
      <x:c r="V8" s="26"/>
      <x:c r="W8" s="32"/>
      <x:c r="X8" s="27" t="b">
        <x:v>1</x:v>
      </x:c>
      <x:c r="Y8" s="34" t="n">
        <x:v>46220.017800925925</x:v>
      </x:c>
      <x:c r="Z8" s="26"/>
      <x:c r="AA8" s="26" t="str">
        <x:v>Puligundam (36701020209)</x:v>
      </x:c>
      <x:c r="AB8" s="26" t="str">
        <x:v>Enriched from Mulugu project JSON</x:v>
      </x:c>
    </x:row>
    <x:row r="9">
      <x:c r="A9" s="26" t="n">
        <x:v>6</x:v>
      </x:c>
      <x:c r="B9" s="26" t="n">
        <x:v>291</x:v>
      </x:c>
      <x:c r="C9" s="26" t="str">
        <x:v>Mulugu</x:v>
      </x:c>
      <x:c r="D9" s="26" t="n">
        <x:v>7735</x:v>
      </x:c>
      <x:c r="E9" s="26" t="str">
        <x:v>PRJ-2026-0007735</x:v>
      </x:c>
      <x:c r="F9" s="26" t="str">
        <x:v>AWC Infrastructure</x:v>
      </x:c>
      <x:c r="G9" s="26" t="n">
        <x:v>920</x:v>
      </x:c>
      <x:c r="H9" s="26" t="n">
        <x:v>28284</x:v>
      </x:c>
      <x:c r="I9" s="26" t="str">
        <x:v>Smart devices</x:v>
      </x:c>
      <x:c r="J9" s="26" t="str">
        <x:v>Number</x:v>
      </x:c>
      <x:c r="K9" s="26" t="n">
        <x:v>1</x:v>
      </x:c>
      <x:c r="L9" s="26" t="n">
        <x:v>1</x:v>
      </x:c>
      <x:c r="M9" s="26" t="n">
        <x:v>1</x:v>
      </x:c>
      <x:c r="N9" s="26" t="n">
        <x:v>0</x:v>
      </x:c>
      <x:c r="O9" s="26" t="n">
        <x:f>MAX(M9-N9,0)</x:f>
        <x:v>1</x:v>
      </x:c>
      <x:c r="P9" s="38" t="n">
        <x:f>IFERROR(N9/M9,0)</x:f>
        <x:v>0</x:v>
      </x:c>
      <x:c r="Q9" s="26" t="str">
        <x:v>Material/Assets/Equipment</x:v>
      </x:c>
      <x:c r="R9" s="26" t="str">
        <x:v>Digital Infrastructure</x:v>
      </x:c>
      <x:c r="S9" s="26" t="str">
        <x:v>Medium</x:v>
      </x:c>
      <x:c r="T9" s="26"/>
      <x:c r="U9" s="26"/>
      <x:c r="V9" s="26"/>
      <x:c r="W9" s="32"/>
      <x:c r="X9" s="27" t="b">
        <x:v>1</x:v>
      </x:c>
      <x:c r="Y9" s="34" t="n">
        <x:v>46220.017800925925</x:v>
      </x:c>
      <x:c r="Z9" s="26"/>
      <x:c r="AA9" s="26" t="str">
        <x:v>Chandhruthanda (36701020219)</x:v>
      </x:c>
      <x:c r="AB9" s="26" t="str">
        <x:v>Enriched from Mulugu project JSON</x:v>
      </x:c>
    </x:row>
    <x:row r="10">
      <x:c r="A10" s="26" t="n">
        <x:v>7</x:v>
      </x:c>
      <x:c r="B10" s="26" t="n">
        <x:v>291</x:v>
      </x:c>
      <x:c r="C10" s="26" t="str">
        <x:v>Mulugu</x:v>
      </x:c>
      <x:c r="D10" s="26" t="n">
        <x:v>7735</x:v>
      </x:c>
      <x:c r="E10" s="26" t="str">
        <x:v>PRJ-2026-0007735</x:v>
      </x:c>
      <x:c r="F10" s="26" t="str">
        <x:v>AWC Infrastructure</x:v>
      </x:c>
      <x:c r="G10" s="26" t="n">
        <x:v>921</x:v>
      </x:c>
      <x:c r="H10" s="26" t="n">
        <x:v>28285</x:v>
      </x:c>
      <x:c r="I10" s="26" t="str">
        <x:v>Swing sets</x:v>
      </x:c>
      <x:c r="J10" s="26" t="str">
        <x:v>Number</x:v>
      </x:c>
      <x:c r="K10" s="26" t="n">
        <x:v>1</x:v>
      </x:c>
      <x:c r="L10" s="26" t="n">
        <x:v>1</x:v>
      </x:c>
      <x:c r="M10" s="26" t="n">
        <x:v>1</x:v>
      </x:c>
      <x:c r="N10" s="26" t="n">
        <x:v>0</x:v>
      </x:c>
      <x:c r="O10" s="26" t="n">
        <x:f>MAX(M10-N10,0)</x:f>
        <x:v>1</x:v>
      </x:c>
      <x:c r="P10" s="38" t="n">
        <x:f>IFERROR(N10/M10,0)</x:f>
        <x:v>0</x:v>
      </x:c>
      <x:c r="Q10" s="26" t="str">
        <x:v>Material/Assets/Equipment</x:v>
      </x:c>
      <x:c r="R10" s="26" t="str">
        <x:v>ECCE Equipment</x:v>
      </x:c>
      <x:c r="S10" s="26" t="str">
        <x:v>Minor</x:v>
      </x:c>
      <x:c r="T10" s="26"/>
      <x:c r="U10" s="26"/>
      <x:c r="V10" s="26"/>
      <x:c r="W10" s="32"/>
      <x:c r="X10" s="27" t="b">
        <x:v>1</x:v>
      </x:c>
      <x:c r="Y10" s="34" t="n">
        <x:v>46220.017800925925</x:v>
      </x:c>
      <x:c r="Z10" s="26"/>
      <x:c r="AA10" s="26" t="str">
        <x:v>Chandhruthanda (36701020219)</x:v>
      </x:c>
      <x:c r="AB10" s="26" t="str">
        <x:v>Enriched from Mulugu project JSON</x:v>
      </x:c>
    </x:row>
    <x:row r="11">
      <x:c r="A11" s="26" t="n">
        <x:v>8</x:v>
      </x:c>
      <x:c r="B11" s="26" t="n">
        <x:v>291</x:v>
      </x:c>
      <x:c r="C11" s="26" t="str">
        <x:v>Mulugu</x:v>
      </x:c>
      <x:c r="D11" s="26" t="n">
        <x:v>7735</x:v>
      </x:c>
      <x:c r="E11" s="26" t="str">
        <x:v>PRJ-2026-0007735</x:v>
      </x:c>
      <x:c r="F11" s="26" t="str">
        <x:v>AWC Infrastructure</x:v>
      </x:c>
      <x:c r="G11" s="26" t="n">
        <x:v>922</x:v>
      </x:c>
      <x:c r="H11" s="26" t="n">
        <x:v>28286</x:v>
      </x:c>
      <x:c r="I11" s="26" t="str">
        <x:v>Chairs/Benches</x:v>
      </x:c>
      <x:c r="J11" s="26" t="str">
        <x:v>Number</x:v>
      </x:c>
      <x:c r="K11" s="26" t="n">
        <x:v>10</x:v>
      </x:c>
      <x:c r="L11" s="26" t="n">
        <x:v>10</x:v>
      </x:c>
      <x:c r="M11" s="26" t="n">
        <x:v>10</x:v>
      </x:c>
      <x:c r="N11" s="26" t="n">
        <x:v>0</x:v>
      </x:c>
      <x:c r="O11" s="26" t="n">
        <x:f>MAX(M11-N11,0)</x:f>
        <x:v>10</x:v>
      </x:c>
      <x:c r="P11" s="38" t="n">
        <x:f>IFERROR(N11/M11,0)</x:f>
        <x:v>0</x:v>
      </x:c>
      <x:c r="Q11" s="26" t="str">
        <x:v>Material/Assets/Equipment</x:v>
      </x:c>
      <x:c r="R11" s="26" t="str">
        <x:v>Educational Needs</x:v>
      </x:c>
      <x:c r="S11" s="26" t="str">
        <x:v>Minor</x:v>
      </x:c>
      <x:c r="T11" s="26"/>
      <x:c r="U11" s="26"/>
      <x:c r="V11" s="26"/>
      <x:c r="W11" s="32"/>
      <x:c r="X11" s="27" t="b">
        <x:v>1</x:v>
      </x:c>
      <x:c r="Y11" s="34" t="n">
        <x:v>46220.017800925925</x:v>
      </x:c>
      <x:c r="Z11" s="26"/>
      <x:c r="AA11" s="26" t="str">
        <x:v>Chandhruthanda (36701020219)</x:v>
      </x:c>
      <x:c r="AB11" s="26" t="str">
        <x:v>Enriched from Mulugu project JSON</x:v>
      </x:c>
    </x:row>
    <x:row r="12">
      <x:c r="A12" s="26" t="n">
        <x:v>9</x:v>
      </x:c>
      <x:c r="B12" s="26" t="n">
        <x:v>291</x:v>
      </x:c>
      <x:c r="C12" s="26" t="str">
        <x:v>Mulugu</x:v>
      </x:c>
      <x:c r="D12" s="26" t="n">
        <x:v>7735</x:v>
      </x:c>
      <x:c r="E12" s="26" t="str">
        <x:v>PRJ-2026-0007735</x:v>
      </x:c>
      <x:c r="F12" s="26" t="str">
        <x:v>AWC Infrastructure</x:v>
      </x:c>
      <x:c r="G12" s="26" t="n">
        <x:v>923</x:v>
      </x:c>
      <x:c r="H12" s="26" t="n">
        <x:v>28287</x:v>
      </x:c>
      <x:c r="I12" s="26" t="str">
        <x:v>Cooking Equipments</x:v>
      </x:c>
      <x:c r="J12" s="26" t="str">
        <x:v>Number</x:v>
      </x:c>
      <x:c r="K12" s="26" t="n">
        <x:v>1</x:v>
      </x:c>
      <x:c r="L12" s="26" t="n">
        <x:v>1</x:v>
      </x:c>
      <x:c r="M12" s="26" t="n">
        <x:v>1</x:v>
      </x:c>
      <x:c r="N12" s="26" t="n">
        <x:v>0</x:v>
      </x:c>
      <x:c r="O12" s="26" t="n">
        <x:f>MAX(M12-N12,0)</x:f>
        <x:v>1</x:v>
      </x:c>
      <x:c r="P12" s="38" t="n">
        <x:f>IFERROR(N12/M12,0)</x:f>
        <x:v>0</x:v>
      </x:c>
      <x:c r="Q12" s="26" t="str">
        <x:v>Material/Assets/Equipment</x:v>
      </x:c>
      <x:c r="R12" s="26" t="str">
        <x:v>Electrical Infrastructure</x:v>
      </x:c>
      <x:c r="S12" s="26" t="str">
        <x:v>Medium</x:v>
      </x:c>
      <x:c r="T12" s="26"/>
      <x:c r="U12" s="26"/>
      <x:c r="V12" s="26"/>
      <x:c r="W12" s="32"/>
      <x:c r="X12" s="27" t="b">
        <x:v>1</x:v>
      </x:c>
      <x:c r="Y12" s="34" t="n">
        <x:v>46220.017800925925</x:v>
      </x:c>
      <x:c r="Z12" s="26"/>
      <x:c r="AA12" s="26" t="str">
        <x:v>Chandhruthanda (36701020219)</x:v>
      </x:c>
      <x:c r="AB12" s="26" t="str">
        <x:v>Enriched from Mulugu project JSON</x:v>
      </x:c>
    </x:row>
    <x:row r="13">
      <x:c r="A13" s="26" t="n">
        <x:v>10</x:v>
      </x:c>
      <x:c r="B13" s="26" t="n">
        <x:v>291</x:v>
      </x:c>
      <x:c r="C13" s="26" t="str">
        <x:v>Mulugu</x:v>
      </x:c>
      <x:c r="D13" s="26" t="n">
        <x:v>7735</x:v>
      </x:c>
      <x:c r="E13" s="26" t="str">
        <x:v>PRJ-2026-0007735</x:v>
      </x:c>
      <x:c r="F13" s="26" t="str">
        <x:v>AWC Infrastructure</x:v>
      </x:c>
      <x:c r="G13" s="26" t="n">
        <x:v>924</x:v>
      </x:c>
      <x:c r="H13" s="26" t="n">
        <x:v>28288</x:v>
      </x:c>
      <x:c r="I13" s="26" t="str">
        <x:v>Water Purifier</x:v>
      </x:c>
      <x:c r="J13" s="26" t="str">
        <x:v>Number</x:v>
      </x:c>
      <x:c r="K13" s="26" t="n">
        <x:v>1</x:v>
      </x:c>
      <x:c r="L13" s="26" t="n">
        <x:v>1</x:v>
      </x:c>
      <x:c r="M13" s="26" t="n">
        <x:v>1</x:v>
      </x:c>
      <x:c r="N13" s="26" t="n">
        <x:v>0</x:v>
      </x:c>
      <x:c r="O13" s="26" t="n">
        <x:f>MAX(M13-N13,0)</x:f>
        <x:v>1</x:v>
      </x:c>
      <x:c r="P13" s="38" t="n">
        <x:f>IFERROR(N13/M13,0)</x:f>
        <x:v>0</x:v>
      </x:c>
      <x:c r="Q13" s="26" t="str">
        <x:v>Material/Assets/Equipment</x:v>
      </x:c>
      <x:c r="R13" s="26" t="str">
        <x:v>Health and Safety aids</x:v>
      </x:c>
      <x:c r="S13" s="26" t="str">
        <x:v>Minor</x:v>
      </x:c>
      <x:c r="T13" s="26"/>
      <x:c r="U13" s="26"/>
      <x:c r="V13" s="26"/>
      <x:c r="W13" s="32"/>
      <x:c r="X13" s="27" t="b">
        <x:v>1</x:v>
      </x:c>
      <x:c r="Y13" s="34" t="n">
        <x:v>46220.017800925925</x:v>
      </x:c>
      <x:c r="Z13" s="26"/>
      <x:c r="AA13" s="26" t="str">
        <x:v>Chandhruthanda (36701020219)</x:v>
      </x:c>
      <x:c r="AB13" s="26" t="str">
        <x:v>Enriched from Mulugu project JSON</x:v>
      </x:c>
    </x:row>
    <x:row r="14">
      <x:c r="A14" s="26" t="n">
        <x:v>11</x:v>
      </x:c>
      <x:c r="B14" s="26" t="n">
        <x:v>291</x:v>
      </x:c>
      <x:c r="C14" s="26" t="str">
        <x:v>Mulugu</x:v>
      </x:c>
      <x:c r="D14" s="26" t="n">
        <x:v>7735</x:v>
      </x:c>
      <x:c r="E14" s="26" t="str">
        <x:v>PRJ-2026-0007735</x:v>
      </x:c>
      <x:c r="F14" s="26" t="str">
        <x:v>AWC Infrastructure</x:v>
      </x:c>
      <x:c r="G14" s="26" t="n">
        <x:v>925</x:v>
      </x:c>
      <x:c r="H14" s="26" t="n">
        <x:v>28289</x:v>
      </x:c>
      <x:c r="I14" s="26" t="str">
        <x:v>Chairs</x:v>
      </x:c>
      <x:c r="J14" s="26" t="str">
        <x:v>Number</x:v>
      </x:c>
      <x:c r="K14" s="26" t="n">
        <x:v>5</x:v>
      </x:c>
      <x:c r="L14" s="26" t="n">
        <x:v>5</x:v>
      </x:c>
      <x:c r="M14" s="26" t="n">
        <x:v>5</x:v>
      </x:c>
      <x:c r="N14" s="26" t="n">
        <x:v>0</x:v>
      </x:c>
      <x:c r="O14" s="26" t="n">
        <x:f>MAX(M14-N14,0)</x:f>
        <x:v>5</x:v>
      </x:c>
      <x:c r="P14" s="38" t="n">
        <x:f>IFERROR(N14/M14,0)</x:f>
        <x:v>0</x:v>
      </x:c>
      <x:c r="Q14" s="26" t="str">
        <x:v>Material/Assets/Equipment</x:v>
      </x:c>
      <x:c r="R14" s="26" t="str">
        <x:v>Office Needs</x:v>
      </x:c>
      <x:c r="S14" s="26" t="str">
        <x:v>Minor</x:v>
      </x:c>
      <x:c r="T14" s="26"/>
      <x:c r="U14" s="26"/>
      <x:c r="V14" s="26"/>
      <x:c r="W14" s="32"/>
      <x:c r="X14" s="27" t="b">
        <x:v>1</x:v>
      </x:c>
      <x:c r="Y14" s="34" t="n">
        <x:v>46220.017800925925</x:v>
      </x:c>
      <x:c r="Z14" s="26"/>
      <x:c r="AA14" s="26" t="str">
        <x:v>Chandhruthanda (36701020219)</x:v>
      </x:c>
      <x:c r="AB14" s="26" t="str">
        <x:v>Enriched from Mulugu project JSON</x:v>
      </x:c>
    </x:row>
    <x:row r="15">
      <x:c r="A15" s="26" t="n">
        <x:v>12</x:v>
      </x:c>
      <x:c r="B15" s="26" t="n">
        <x:v>291</x:v>
      </x:c>
      <x:c r="C15" s="26" t="str">
        <x:v>Mulugu</x:v>
      </x:c>
      <x:c r="D15" s="26" t="n">
        <x:v>7735</x:v>
      </x:c>
      <x:c r="E15" s="26" t="str">
        <x:v>PRJ-2026-0007735</x:v>
      </x:c>
      <x:c r="F15" s="26" t="str">
        <x:v>AWC Infrastructure</x:v>
      </x:c>
      <x:c r="G15" s="26" t="n">
        <x:v>926</x:v>
      </x:c>
      <x:c r="H15" s="26" t="n">
        <x:v>28290</x:v>
      </x:c>
      <x:c r="I15" s="26" t="str">
        <x:v>Solar Panel</x:v>
      </x:c>
      <x:c r="J15" s="26" t="str">
        <x:v>Number</x:v>
      </x:c>
      <x:c r="K15" s="26" t="n">
        <x:v>1</x:v>
      </x:c>
      <x:c r="L15" s="26" t="n">
        <x:v>1</x:v>
      </x:c>
      <x:c r="M15" s="26" t="n">
        <x:v>1</x:v>
      </x:c>
      <x:c r="N15" s="26" t="n">
        <x:v>0</x:v>
      </x:c>
      <x:c r="O15" s="26" t="n">
        <x:f>MAX(M15-N15,0)</x:f>
        <x:v>1</x:v>
      </x:c>
      <x:c r="P15" s="38" t="n">
        <x:f>IFERROR(N15/M15,0)</x:f>
        <x:v>0</x:v>
      </x:c>
      <x:c r="Q15" s="26" t="str">
        <x:v>Material/Assets/Equipment</x:v>
      </x:c>
      <x:c r="R15" s="26" t="str">
        <x:v>Electrical Infrastructure</x:v>
      </x:c>
      <x:c r="S15" s="26" t="str">
        <x:v>Medium</x:v>
      </x:c>
      <x:c r="T15" s="26"/>
      <x:c r="U15" s="26"/>
      <x:c r="V15" s="26"/>
      <x:c r="W15" s="32"/>
      <x:c r="X15" s="27" t="b">
        <x:v>1</x:v>
      </x:c>
      <x:c r="Y15" s="34" t="n">
        <x:v>46220.017800925925</x:v>
      </x:c>
      <x:c r="Z15" s="26"/>
      <x:c r="AA15" s="26" t="str">
        <x:v>Chandhruthanda (36701020219)</x:v>
      </x:c>
      <x:c r="AB15" s="26" t="str">
        <x:v>Enriched from Mulugu project JSON</x:v>
      </x:c>
    </x:row>
    <x:row r="16">
      <x:c r="A16" s="26" t="n">
        <x:v>13</x:v>
      </x:c>
      <x:c r="B16" s="26" t="n">
        <x:v>291</x:v>
      </x:c>
      <x:c r="C16" s="26" t="str">
        <x:v>Mulugu</x:v>
      </x:c>
      <x:c r="D16" s="26" t="n">
        <x:v>7735</x:v>
      </x:c>
      <x:c r="E16" s="26" t="str">
        <x:v>PRJ-2026-0007735</x:v>
      </x:c>
      <x:c r="F16" s="26" t="str">
        <x:v>AWC Infrastructure</x:v>
      </x:c>
      <x:c r="G16" s="26" t="n">
        <x:v>927</x:v>
      </x:c>
      <x:c r="H16" s="26" t="n">
        <x:v>28291</x:v>
      </x:c>
      <x:c r="I16" s="26" t="str">
        <x:v>Toys</x:v>
      </x:c>
      <x:c r="J16" s="26" t="str">
        <x:v>Number</x:v>
      </x:c>
      <x:c r="K16" s="26" t="n">
        <x:v>10</x:v>
      </x:c>
      <x:c r="L16" s="26" t="n">
        <x:v>10</x:v>
      </x:c>
      <x:c r="M16" s="26" t="n">
        <x:v>10</x:v>
      </x:c>
      <x:c r="N16" s="26" t="n">
        <x:v>0</x:v>
      </x:c>
      <x:c r="O16" s="26" t="n">
        <x:f>MAX(M16-N16,0)</x:f>
        <x:v>10</x:v>
      </x:c>
      <x:c r="P16" s="38" t="n">
        <x:f>IFERROR(N16/M16,0)</x:f>
        <x:v>0</x:v>
      </x:c>
      <x:c r="Q16" s="26" t="str">
        <x:v>Material/Assets/Equipment</x:v>
      </x:c>
      <x:c r="R16" s="26" t="str">
        <x:v>ECCE Equipment</x:v>
      </x:c>
      <x:c r="S16" s="26" t="str">
        <x:v>Minor</x:v>
      </x:c>
      <x:c r="T16" s="26"/>
      <x:c r="U16" s="26"/>
      <x:c r="V16" s="26"/>
      <x:c r="W16" s="32"/>
      <x:c r="X16" s="27" t="b">
        <x:v>1</x:v>
      </x:c>
      <x:c r="Y16" s="34" t="n">
        <x:v>46220.017800925925</x:v>
      </x:c>
      <x:c r="Z16" s="26"/>
      <x:c r="AA16" s="26" t="str">
        <x:v>Chandhruthanda (36701020219)</x:v>
      </x:c>
      <x:c r="AB16" s="26" t="str">
        <x:v>Enriched from Mulugu project JSON</x:v>
      </x:c>
    </x:row>
    <x:row r="17">
      <x:c r="A17" s="26" t="n">
        <x:v>14</x:v>
      </x:c>
      <x:c r="B17" s="26" t="n">
        <x:v>288</x:v>
      </x:c>
      <x:c r="C17" s="26" t="str">
        <x:v>Mulugu</x:v>
      </x:c>
      <x:c r="D17" s="26" t="n">
        <x:v>8392</x:v>
      </x:c>
      <x:c r="E17" s="26" t="str">
        <x:v>PRJ-2026-0008392</x:v>
      </x:c>
      <x:c r="F17" s="26" t="str">
        <x:v>AWC Sarangapalli</x:v>
      </x:c>
      <x:c r="G17" s="26" t="n">
        <x:v>900</x:v>
      </x:c>
      <x:c r="H17" s="26" t="n">
        <x:v>31021</x:v>
      </x:c>
      <x:c r="I17" s="26" t="str">
        <x:v>Water Purifier</x:v>
      </x:c>
      <x:c r="J17" s="26" t="str">
        <x:v>Number</x:v>
      </x:c>
      <x:c r="K17" s="26" t="n">
        <x:v>1</x:v>
      </x:c>
      <x:c r="L17" s="26" t="n">
        <x:v>1</x:v>
      </x:c>
      <x:c r="M17" s="26" t="n">
        <x:v>1</x:v>
      </x:c>
      <x:c r="N17" s="26" t="n">
        <x:v>0</x:v>
      </x:c>
      <x:c r="O17" s="26" t="n">
        <x:f>MAX(M17-N17,0)</x:f>
        <x:v>1</x:v>
      </x:c>
      <x:c r="P17" s="38" t="n">
        <x:f>IFERROR(N17/M17,0)</x:f>
        <x:v>0</x:v>
      </x:c>
      <x:c r="Q17" s="26" t="str">
        <x:v>Material/Assets/Equipment</x:v>
      </x:c>
      <x:c r="R17" s="26" t="str">
        <x:v>Health and Safety aids</x:v>
      </x:c>
      <x:c r="S17" s="26" t="str">
        <x:v>Minor</x:v>
      </x:c>
      <x:c r="T17" s="26"/>
      <x:c r="U17" s="26"/>
      <x:c r="V17" s="26"/>
      <x:c r="W17" s="32"/>
      <x:c r="X17" s="27" t="b">
        <x:v>1</x:v>
      </x:c>
      <x:c r="Y17" s="34" t="n">
        <x:v>46220.01778935185</x:v>
      </x:c>
      <x:c r="Z17" s="26"/>
      <x:c r="AA17" s="26" t="str">
        <x:v>Sarangapalli (36701020205)</x:v>
      </x:c>
      <x:c r="AB17" s="26" t="str">
        <x:v>Enriched from Mulugu project JSON</x:v>
      </x:c>
    </x:row>
    <x:row r="18">
      <x:c r="A18" s="26" t="n">
        <x:v>15</x:v>
      </x:c>
      <x:c r="B18" s="26" t="n">
        <x:v>288</x:v>
      </x:c>
      <x:c r="C18" s="26" t="str">
        <x:v>Mulugu</x:v>
      </x:c>
      <x:c r="D18" s="26" t="n">
        <x:v>8392</x:v>
      </x:c>
      <x:c r="E18" s="26" t="str">
        <x:v>PRJ-2026-0008392</x:v>
      </x:c>
      <x:c r="F18" s="26" t="str">
        <x:v>AWC Sarangapalli</x:v>
      </x:c>
      <x:c r="G18" s="26" t="n">
        <x:v>901</x:v>
      </x:c>
      <x:c r="H18" s="26" t="n">
        <x:v>31022</x:v>
      </x:c>
      <x:c r="I18" s="26" t="str">
        <x:v>Toys</x:v>
      </x:c>
      <x:c r="J18" s="26" t="str">
        <x:v>Number</x:v>
      </x:c>
      <x:c r="K18" s="26" t="n">
        <x:v>10</x:v>
      </x:c>
      <x:c r="L18" s="26" t="n">
        <x:v>10</x:v>
      </x:c>
      <x:c r="M18" s="26" t="n">
        <x:v>10</x:v>
      </x:c>
      <x:c r="N18" s="26" t="n">
        <x:v>0</x:v>
      </x:c>
      <x:c r="O18" s="26" t="n">
        <x:f>MAX(M18-N18,0)</x:f>
        <x:v>10</x:v>
      </x:c>
      <x:c r="P18" s="38" t="n">
        <x:f>IFERROR(N18/M18,0)</x:f>
        <x:v>0</x:v>
      </x:c>
      <x:c r="Q18" s="26" t="str">
        <x:v>Material/Assets/Equipment</x:v>
      </x:c>
      <x:c r="R18" s="26" t="str">
        <x:v>ECCE Equipment</x:v>
      </x:c>
      <x:c r="S18" s="26" t="str">
        <x:v>Minor</x:v>
      </x:c>
      <x:c r="T18" s="26"/>
      <x:c r="U18" s="26"/>
      <x:c r="V18" s="26"/>
      <x:c r="W18" s="32"/>
      <x:c r="X18" s="27" t="b">
        <x:v>1</x:v>
      </x:c>
      <x:c r="Y18" s="34" t="n">
        <x:v>46220.01778935185</x:v>
      </x:c>
      <x:c r="Z18" s="26"/>
      <x:c r="AA18" s="26" t="str">
        <x:v>Sarangapalli (36701020205)</x:v>
      </x:c>
      <x:c r="AB18" s="26" t="str">
        <x:v>Enriched from Mulugu project JSON</x:v>
      </x:c>
    </x:row>
    <x:row r="19">
      <x:c r="A19" s="26" t="n">
        <x:v>16</x:v>
      </x:c>
      <x:c r="B19" s="26" t="n">
        <x:v>288</x:v>
      </x:c>
      <x:c r="C19" s="26" t="str">
        <x:v>Mulugu</x:v>
      </x:c>
      <x:c r="D19" s="26" t="n">
        <x:v>8392</x:v>
      </x:c>
      <x:c r="E19" s="26" t="str">
        <x:v>PRJ-2026-0008392</x:v>
      </x:c>
      <x:c r="F19" s="26" t="str">
        <x:v>AWC Sarangapalli</x:v>
      </x:c>
      <x:c r="G19" s="26" t="n">
        <x:v>902</x:v>
      </x:c>
      <x:c r="H19" s="26" t="n">
        <x:v>31023</x:v>
      </x:c>
      <x:c r="I19" s="26" t="str">
        <x:v>Swing sets</x:v>
      </x:c>
      <x:c r="J19" s="26" t="str">
        <x:v>Number</x:v>
      </x:c>
      <x:c r="K19" s="26" t="n">
        <x:v>2</x:v>
      </x:c>
      <x:c r="L19" s="26" t="n">
        <x:v>2</x:v>
      </x:c>
      <x:c r="M19" s="26" t="n">
        <x:v>2</x:v>
      </x:c>
      <x:c r="N19" s="26" t="n">
        <x:v>0</x:v>
      </x:c>
      <x:c r="O19" s="26" t="n">
        <x:f>MAX(M19-N19,0)</x:f>
        <x:v>2</x:v>
      </x:c>
      <x:c r="P19" s="38" t="n">
        <x:f>IFERROR(N19/M19,0)</x:f>
        <x:v>0</x:v>
      </x:c>
      <x:c r="Q19" s="26" t="str">
        <x:v>Material/Assets/Equipment</x:v>
      </x:c>
      <x:c r="R19" s="26" t="str">
        <x:v>ECCE Equipment</x:v>
      </x:c>
      <x:c r="S19" s="26" t="str">
        <x:v>Minor</x:v>
      </x:c>
      <x:c r="T19" s="26"/>
      <x:c r="U19" s="26"/>
      <x:c r="V19" s="26"/>
      <x:c r="W19" s="32"/>
      <x:c r="X19" s="27" t="b">
        <x:v>1</x:v>
      </x:c>
      <x:c r="Y19" s="34" t="n">
        <x:v>46220.01778935185</x:v>
      </x:c>
      <x:c r="Z19" s="26"/>
      <x:c r="AA19" s="26" t="str">
        <x:v>Sarangapalli (36701020205)</x:v>
      </x:c>
      <x:c r="AB19" s="26" t="str">
        <x:v>Enriched from Mulugu project JSON</x:v>
      </x:c>
    </x:row>
    <x:row r="20">
      <x:c r="A20" s="26" t="n">
        <x:v>17</x:v>
      </x:c>
      <x:c r="B20" s="26" t="n">
        <x:v>288</x:v>
      </x:c>
      <x:c r="C20" s="26" t="str">
        <x:v>Mulugu</x:v>
      </x:c>
      <x:c r="D20" s="26" t="n">
        <x:v>8392</x:v>
      </x:c>
      <x:c r="E20" s="26" t="str">
        <x:v>PRJ-2026-0008392</x:v>
      </x:c>
      <x:c r="F20" s="26" t="str">
        <x:v>AWC Sarangapalli</x:v>
      </x:c>
      <x:c r="G20" s="26" t="n">
        <x:v>903</x:v>
      </x:c>
      <x:c r="H20" s="26" t="n">
        <x:v>31024</x:v>
      </x:c>
      <x:c r="I20" s="26" t="str">
        <x:v>Tube Lights</x:v>
      </x:c>
      <x:c r="J20" s="26" t="str">
        <x:v>Number</x:v>
      </x:c>
      <x:c r="K20" s="26" t="n">
        <x:v>2</x:v>
      </x:c>
      <x:c r="L20" s="26" t="n">
        <x:v>2</x:v>
      </x:c>
      <x:c r="M20" s="26" t="n">
        <x:v>2</x:v>
      </x:c>
      <x:c r="N20" s="26" t="n">
        <x:v>0</x:v>
      </x:c>
      <x:c r="O20" s="26" t="n">
        <x:f>MAX(M20-N20,0)</x:f>
        <x:v>2</x:v>
      </x:c>
      <x:c r="P20" s="38" t="n">
        <x:f>IFERROR(N20/M20,0)</x:f>
        <x:v>0</x:v>
      </x:c>
      <x:c r="Q20" s="26" t="str">
        <x:v>Material/Assets/Equipment</x:v>
      </x:c>
      <x:c r="R20" s="26" t="str">
        <x:v>Electrical Infrastructure</x:v>
      </x:c>
      <x:c r="S20" s="26" t="str">
        <x:v>Medium</x:v>
      </x:c>
      <x:c r="T20" s="26"/>
      <x:c r="U20" s="26"/>
      <x:c r="V20" s="26"/>
      <x:c r="W20" s="32"/>
      <x:c r="X20" s="27" t="b">
        <x:v>1</x:v>
      </x:c>
      <x:c r="Y20" s="34" t="n">
        <x:v>46220.01778935185</x:v>
      </x:c>
      <x:c r="Z20" s="26"/>
      <x:c r="AA20" s="26" t="str">
        <x:v>Sarangapalli (36701020205)</x:v>
      </x:c>
      <x:c r="AB20" s="26" t="str">
        <x:v>Enriched from Mulugu project JSON</x:v>
      </x:c>
    </x:row>
    <x:row r="21">
      <x:c r="A21" s="26" t="n">
        <x:v>18</x:v>
      </x:c>
      <x:c r="B21" s="26" t="n">
        <x:v>288</x:v>
      </x:c>
      <x:c r="C21" s="26" t="str">
        <x:v>Mulugu</x:v>
      </x:c>
      <x:c r="D21" s="26" t="n">
        <x:v>8392</x:v>
      </x:c>
      <x:c r="E21" s="26" t="str">
        <x:v>PRJ-2026-0008392</x:v>
      </x:c>
      <x:c r="F21" s="26" t="str">
        <x:v>AWC Sarangapalli</x:v>
      </x:c>
      <x:c r="G21" s="26" t="n">
        <x:v>904</x:v>
      </x:c>
      <x:c r="H21" s="26" t="n">
        <x:v>31025</x:v>
      </x:c>
      <x:c r="I21" s="26" t="str">
        <x:v>Cooking Equipments</x:v>
      </x:c>
      <x:c r="J21" s="26" t="str">
        <x:v>Number</x:v>
      </x:c>
      <x:c r="K21" s="26" t="n">
        <x:v>1</x:v>
      </x:c>
      <x:c r="L21" s="26" t="n">
        <x:v>1</x:v>
      </x:c>
      <x:c r="M21" s="26" t="n">
        <x:v>1</x:v>
      </x:c>
      <x:c r="N21" s="26" t="n">
        <x:v>0</x:v>
      </x:c>
      <x:c r="O21" s="26" t="n">
        <x:f>MAX(M21-N21,0)</x:f>
        <x:v>1</x:v>
      </x:c>
      <x:c r="P21" s="38" t="n">
        <x:f>IFERROR(N21/M21,0)</x:f>
        <x:v>0</x:v>
      </x:c>
      <x:c r="Q21" s="26" t="str">
        <x:v>Material/Assets/Equipment</x:v>
      </x:c>
      <x:c r="R21" s="26" t="str">
        <x:v>Electrical Infrastructure</x:v>
      </x:c>
      <x:c r="S21" s="26" t="str">
        <x:v>Medium</x:v>
      </x:c>
      <x:c r="T21" s="26"/>
      <x:c r="U21" s="26"/>
      <x:c r="V21" s="26"/>
      <x:c r="W21" s="32"/>
      <x:c r="X21" s="27" t="b">
        <x:v>1</x:v>
      </x:c>
      <x:c r="Y21" s="34" t="n">
        <x:v>46220.01778935185</x:v>
      </x:c>
      <x:c r="Z21" s="26"/>
      <x:c r="AA21" s="26" t="str">
        <x:v>Sarangapalli (36701020205)</x:v>
      </x:c>
      <x:c r="AB21" s="26" t="str">
        <x:v>Enriched from Mulugu project JSON</x:v>
      </x:c>
    </x:row>
    <x:row r="22">
      <x:c r="A22" s="26" t="n">
        <x:v>19</x:v>
      </x:c>
      <x:c r="B22" s="26" t="n">
        <x:v>288</x:v>
      </x:c>
      <x:c r="C22" s="26" t="str">
        <x:v>Mulugu</x:v>
      </x:c>
      <x:c r="D22" s="26" t="n">
        <x:v>8392</x:v>
      </x:c>
      <x:c r="E22" s="26" t="str">
        <x:v>PRJ-2026-0008392</x:v>
      </x:c>
      <x:c r="F22" s="26" t="str">
        <x:v>AWC Sarangapalli</x:v>
      </x:c>
      <x:c r="G22" s="26" t="n">
        <x:v>905</x:v>
      </x:c>
      <x:c r="H22" s="26" t="n">
        <x:v>31026</x:v>
      </x:c>
      <x:c r="I22" s="26" t="str">
        <x:v>Solar Panel</x:v>
      </x:c>
      <x:c r="J22" s="26" t="str">
        <x:v>Number</x:v>
      </x:c>
      <x:c r="K22" s="26" t="n">
        <x:v>1</x:v>
      </x:c>
      <x:c r="L22" s="26" t="n">
        <x:v>1</x:v>
      </x:c>
      <x:c r="M22" s="26" t="n">
        <x:v>1</x:v>
      </x:c>
      <x:c r="N22" s="26" t="n">
        <x:v>0</x:v>
      </x:c>
      <x:c r="O22" s="26" t="n">
        <x:f>MAX(M22-N22,0)</x:f>
        <x:v>1</x:v>
      </x:c>
      <x:c r="P22" s="38" t="n">
        <x:f>IFERROR(N22/M22,0)</x:f>
        <x:v>0</x:v>
      </x:c>
      <x:c r="Q22" s="26" t="str">
        <x:v>Material/Assets/Equipment</x:v>
      </x:c>
      <x:c r="R22" s="26" t="str">
        <x:v>Electrical Infrastructure</x:v>
      </x:c>
      <x:c r="S22" s="26" t="str">
        <x:v>Medium</x:v>
      </x:c>
      <x:c r="T22" s="26"/>
      <x:c r="U22" s="26"/>
      <x:c r="V22" s="26"/>
      <x:c r="W22" s="32"/>
      <x:c r="X22" s="27" t="b">
        <x:v>1</x:v>
      </x:c>
      <x:c r="Y22" s="34" t="n">
        <x:v>46220.01778935185</x:v>
      </x:c>
      <x:c r="Z22" s="26"/>
      <x:c r="AA22" s="26" t="str">
        <x:v>Sarangapalli (36701020205)</x:v>
      </x:c>
      <x:c r="AB22" s="26" t="str">
        <x:v>Enriched from Mulugu project JSON</x:v>
      </x:c>
    </x:row>
    <x:row r="23">
      <x:c r="A23" s="26" t="n">
        <x:v>20</x:v>
      </x:c>
      <x:c r="B23" s="26" t="n">
        <x:v>288</x:v>
      </x:c>
      <x:c r="C23" s="26" t="str">
        <x:v>Mulugu</x:v>
      </x:c>
      <x:c r="D23" s="26" t="n">
        <x:v>8392</x:v>
      </x:c>
      <x:c r="E23" s="26" t="str">
        <x:v>PRJ-2026-0008392</x:v>
      </x:c>
      <x:c r="F23" s="26" t="str">
        <x:v>AWC Sarangapalli</x:v>
      </x:c>
      <x:c r="G23" s="26" t="n">
        <x:v>906</x:v>
      </x:c>
      <x:c r="H23" s="26" t="n">
        <x:v>31027</x:v>
      </x:c>
      <x:c r="I23" s="26" t="str">
        <x:v>Chairs/Benches</x:v>
      </x:c>
      <x:c r="J23" s="26" t="str">
        <x:v>Number</x:v>
      </x:c>
      <x:c r="K23" s="26" t="n">
        <x:v>6</x:v>
      </x:c>
      <x:c r="L23" s="26" t="n">
        <x:v>6</x:v>
      </x:c>
      <x:c r="M23" s="26" t="n">
        <x:v>6</x:v>
      </x:c>
      <x:c r="N23" s="26" t="n">
        <x:v>0</x:v>
      </x:c>
      <x:c r="O23" s="26" t="n">
        <x:f>MAX(M23-N23,0)</x:f>
        <x:v>6</x:v>
      </x:c>
      <x:c r="P23" s="38" t="n">
        <x:f>IFERROR(N23/M23,0)</x:f>
        <x:v>0</x:v>
      </x:c>
      <x:c r="Q23" s="26" t="str">
        <x:v>Material/Assets/Equipment</x:v>
      </x:c>
      <x:c r="R23" s="26" t="str">
        <x:v>Educational Needs</x:v>
      </x:c>
      <x:c r="S23" s="26" t="str">
        <x:v>Minor</x:v>
      </x:c>
      <x:c r="T23" s="26"/>
      <x:c r="U23" s="26"/>
      <x:c r="V23" s="26"/>
      <x:c r="W23" s="32"/>
      <x:c r="X23" s="27" t="b">
        <x:v>1</x:v>
      </x:c>
      <x:c r="Y23" s="34" t="n">
        <x:v>46220.01778935185</x:v>
      </x:c>
      <x:c r="Z23" s="26"/>
      <x:c r="AA23" s="26" t="str">
        <x:v>Sarangapalli (36701020205)</x:v>
      </x:c>
      <x:c r="AB23" s="26" t="str">
        <x:v>Enriched from Mulugu project JSON</x:v>
      </x:c>
    </x:row>
    <x:row r="24">
      <x:c r="A24" s="26" t="n">
        <x:v>21</x:v>
      </x:c>
      <x:c r="B24" s="26" t="n">
        <x:v>288</x:v>
      </x:c>
      <x:c r="C24" s="26" t="str">
        <x:v>Mulugu</x:v>
      </x:c>
      <x:c r="D24" s="26" t="n">
        <x:v>8392</x:v>
      </x:c>
      <x:c r="E24" s="26" t="str">
        <x:v>PRJ-2026-0008392</x:v>
      </x:c>
      <x:c r="F24" s="26" t="str">
        <x:v>AWC Sarangapalli</x:v>
      </x:c>
      <x:c r="G24" s="26" t="n">
        <x:v>907</x:v>
      </x:c>
      <x:c r="H24" s="26" t="n">
        <x:v>31028</x:v>
      </x:c>
      <x:c r="I24" s="26" t="str">
        <x:v>Chairs</x:v>
      </x:c>
      <x:c r="J24" s="26" t="str">
        <x:v>Number</x:v>
      </x:c>
      <x:c r="K24" s="26" t="n">
        <x:v>2</x:v>
      </x:c>
      <x:c r="L24" s="26" t="n">
        <x:v>2</x:v>
      </x:c>
      <x:c r="M24" s="26" t="n">
        <x:v>2</x:v>
      </x:c>
      <x:c r="N24" s="26" t="n">
        <x:v>0</x:v>
      </x:c>
      <x:c r="O24" s="26" t="n">
        <x:f>MAX(M24-N24,0)</x:f>
        <x:v>2</x:v>
      </x:c>
      <x:c r="P24" s="38" t="n">
        <x:f>IFERROR(N24/M24,0)</x:f>
        <x:v>0</x:v>
      </x:c>
      <x:c r="Q24" s="26" t="str">
        <x:v>Material/Assets/Equipment</x:v>
      </x:c>
      <x:c r="R24" s="26" t="str">
        <x:v>Office Needs</x:v>
      </x:c>
      <x:c r="S24" s="26" t="str">
        <x:v>Minor</x:v>
      </x:c>
      <x:c r="T24" s="26"/>
      <x:c r="U24" s="26"/>
      <x:c r="V24" s="26"/>
      <x:c r="W24" s="32"/>
      <x:c r="X24" s="27" t="b">
        <x:v>1</x:v>
      </x:c>
      <x:c r="Y24" s="34" t="n">
        <x:v>46220.01778935185</x:v>
      </x:c>
      <x:c r="Z24" s="26"/>
      <x:c r="AA24" s="26" t="str">
        <x:v>Sarangapalli (36701020205)</x:v>
      </x:c>
      <x:c r="AB24" s="26" t="str">
        <x:v>Enriched from Mulugu project JSON</x:v>
      </x:c>
    </x:row>
    <x:row r="25">
      <x:c r="A25" s="26" t="n">
        <x:v>22</x:v>
      </x:c>
      <x:c r="B25" s="26" t="n">
        <x:v>289</x:v>
      </x:c>
      <x:c r="C25" s="26" t="str">
        <x:v>Mulugu</x:v>
      </x:c>
      <x:c r="D25" s="26" t="n">
        <x:v>8135</x:v>
      </x:c>
      <x:c r="E25" s="26" t="str">
        <x:v>PRJ-2026-0008135</x:v>
      </x:c>
      <x:c r="F25" s="26" t="str">
        <x:v>AWC VENKATESHWARLAPALLI</x:v>
      </x:c>
      <x:c r="G25" s="26" t="n">
        <x:v>908</x:v>
      </x:c>
      <x:c r="H25" s="26" t="n">
        <x:v>29944</x:v>
      </x:c>
      <x:c r="I25" s="26" t="str">
        <x:v>Toys</x:v>
      </x:c>
      <x:c r="J25" s="26" t="str">
        <x:v>Number</x:v>
      </x:c>
      <x:c r="K25" s="26" t="n">
        <x:v>10</x:v>
      </x:c>
      <x:c r="L25" s="26" t="n">
        <x:v>10</x:v>
      </x:c>
      <x:c r="M25" s="26" t="n">
        <x:v>10</x:v>
      </x:c>
      <x:c r="N25" s="26" t="n">
        <x:v>0</x:v>
      </x:c>
      <x:c r="O25" s="26" t="n">
        <x:f>MAX(M25-N25,0)</x:f>
        <x:v>10</x:v>
      </x:c>
      <x:c r="P25" s="38" t="n">
        <x:f>IFERROR(N25/M25,0)</x:f>
        <x:v>0</x:v>
      </x:c>
      <x:c r="Q25" s="26" t="str">
        <x:v>Material/Assets/Equipment</x:v>
      </x:c>
      <x:c r="R25" s="26" t="str">
        <x:v>ECCE Equipment</x:v>
      </x:c>
      <x:c r="S25" s="26" t="str">
        <x:v>Minor</x:v>
      </x:c>
      <x:c r="T25" s="26"/>
      <x:c r="U25" s="26"/>
      <x:c r="V25" s="26"/>
      <x:c r="W25" s="32"/>
      <x:c r="X25" s="27" t="b">
        <x:v>1</x:v>
      </x:c>
      <x:c r="Y25" s="34" t="n">
        <x:v>46220.01778935185</x:v>
      </x:c>
      <x:c r="Z25" s="26"/>
      <x:c r="AA25" s="26" t="str">
        <x:v>VENKATESHWARLAPALLI (Mini) (36701020201)</x:v>
      </x:c>
      <x:c r="AB25" s="26" t="str">
        <x:v>Enriched from Mulugu project JSON</x:v>
      </x:c>
    </x:row>
    <x:row r="26">
      <x:c r="A26" s="26" t="n">
        <x:v>23</x:v>
      </x:c>
      <x:c r="B26" s="26" t="n">
        <x:v>289</x:v>
      </x:c>
      <x:c r="C26" s="26" t="str">
        <x:v>Mulugu</x:v>
      </x:c>
      <x:c r="D26" s="26" t="n">
        <x:v>8135</x:v>
      </x:c>
      <x:c r="E26" s="26" t="str">
        <x:v>PRJ-2026-0008135</x:v>
      </x:c>
      <x:c r="F26" s="26" t="str">
        <x:v>AWC VENKATESHWARLAPALLI</x:v>
      </x:c>
      <x:c r="G26" s="26" t="n">
        <x:v>909</x:v>
      </x:c>
      <x:c r="H26" s="26" t="n">
        <x:v>29945</x:v>
      </x:c>
      <x:c r="I26" s="26" t="str">
        <x:v>Swing sets</x:v>
      </x:c>
      <x:c r="J26" s="26" t="str">
        <x:v>Number</x:v>
      </x:c>
      <x:c r="K26" s="26" t="n">
        <x:v>2</x:v>
      </x:c>
      <x:c r="L26" s="26" t="n">
        <x:v>2</x:v>
      </x:c>
      <x:c r="M26" s="26" t="n">
        <x:v>2</x:v>
      </x:c>
      <x:c r="N26" s="26" t="n">
        <x:v>0</x:v>
      </x:c>
      <x:c r="O26" s="26" t="n">
        <x:f>MAX(M26-N26,0)</x:f>
        <x:v>2</x:v>
      </x:c>
      <x:c r="P26" s="38" t="n">
        <x:f>IFERROR(N26/M26,0)</x:f>
        <x:v>0</x:v>
      </x:c>
      <x:c r="Q26" s="26" t="str">
        <x:v>Material/Assets/Equipment</x:v>
      </x:c>
      <x:c r="R26" s="26" t="str">
        <x:v>ECCE Equipment</x:v>
      </x:c>
      <x:c r="S26" s="26" t="str">
        <x:v>Minor</x:v>
      </x:c>
      <x:c r="T26" s="26"/>
      <x:c r="U26" s="26"/>
      <x:c r="V26" s="26"/>
      <x:c r="W26" s="32"/>
      <x:c r="X26" s="27" t="b">
        <x:v>1</x:v>
      </x:c>
      <x:c r="Y26" s="34" t="n">
        <x:v>46220.01778935185</x:v>
      </x:c>
      <x:c r="Z26" s="26"/>
      <x:c r="AA26" s="26" t="str">
        <x:v>VENKATESHWARLAPALLI (Mini) (36701020201)</x:v>
      </x:c>
      <x:c r="AB26" s="26" t="str">
        <x:v>Enriched from Mulugu project JSON</x:v>
      </x:c>
    </x:row>
    <x:row r="27">
      <x:c r="A27" s="26" t="n">
        <x:v>24</x:v>
      </x:c>
      <x:c r="B27" s="26" t="n">
        <x:v>289</x:v>
      </x:c>
      <x:c r="C27" s="26" t="str">
        <x:v>Mulugu</x:v>
      </x:c>
      <x:c r="D27" s="26" t="n">
        <x:v>8135</x:v>
      </x:c>
      <x:c r="E27" s="26" t="str">
        <x:v>PRJ-2026-0008135</x:v>
      </x:c>
      <x:c r="F27" s="26" t="str">
        <x:v>AWC VENKATESHWARLAPALLI</x:v>
      </x:c>
      <x:c r="G27" s="26" t="n">
        <x:v>910</x:v>
      </x:c>
      <x:c r="H27" s="26" t="n">
        <x:v>29946</x:v>
      </x:c>
      <x:c r="I27" s="26" t="str">
        <x:v>Balls</x:v>
      </x:c>
      <x:c r="J27" s="26" t="str">
        <x:v>Number</x:v>
      </x:c>
      <x:c r="K27" s="26" t="n">
        <x:v>10</x:v>
      </x:c>
      <x:c r="L27" s="26" t="n">
        <x:v>10</x:v>
      </x:c>
      <x:c r="M27" s="26" t="n">
        <x:v>10</x:v>
      </x:c>
      <x:c r="N27" s="26" t="n">
        <x:v>0</x:v>
      </x:c>
      <x:c r="O27" s="26" t="n">
        <x:f>MAX(M27-N27,0)</x:f>
        <x:v>10</x:v>
      </x:c>
      <x:c r="P27" s="38" t="n">
        <x:f>IFERROR(N27/M27,0)</x:f>
        <x:v>0</x:v>
      </x:c>
      <x:c r="Q27" s="26" t="str">
        <x:v>Material/Assets/Equipment</x:v>
      </x:c>
      <x:c r="R27" s="26" t="str">
        <x:v>ECCE Equipment</x:v>
      </x:c>
      <x:c r="S27" s="26" t="str">
        <x:v>Minor</x:v>
      </x:c>
      <x:c r="T27" s="26"/>
      <x:c r="U27" s="26"/>
      <x:c r="V27" s="26"/>
      <x:c r="W27" s="32"/>
      <x:c r="X27" s="27" t="b">
        <x:v>1</x:v>
      </x:c>
      <x:c r="Y27" s="34" t="n">
        <x:v>46220.01778935185</x:v>
      </x:c>
      <x:c r="Z27" s="26"/>
      <x:c r="AA27" s="26" t="str">
        <x:v>VENKATESHWARLAPALLI (Mini) (36701020201)</x:v>
      </x:c>
      <x:c r="AB27" s="26" t="str">
        <x:v>Enriched from Mulugu project JSON</x:v>
      </x:c>
    </x:row>
    <x:row r="28">
      <x:c r="A28" s="26" t="n">
        <x:v>25</x:v>
      </x:c>
      <x:c r="B28" s="26" t="n">
        <x:v>289</x:v>
      </x:c>
      <x:c r="C28" s="26" t="str">
        <x:v>Mulugu</x:v>
      </x:c>
      <x:c r="D28" s="26" t="n">
        <x:v>8135</x:v>
      </x:c>
      <x:c r="E28" s="26" t="str">
        <x:v>PRJ-2026-0008135</x:v>
      </x:c>
      <x:c r="F28" s="26" t="str">
        <x:v>AWC VENKATESHWARLAPALLI</x:v>
      </x:c>
      <x:c r="G28" s="26" t="n">
        <x:v>911</x:v>
      </x:c>
      <x:c r="H28" s="26" t="n">
        <x:v>29947</x:v>
      </x:c>
      <x:c r="I28" s="26" t="str">
        <x:v>Games</x:v>
      </x:c>
      <x:c r="J28" s="26" t="str">
        <x:v>Number</x:v>
      </x:c>
      <x:c r="K28" s="26" t="n">
        <x:v>10</x:v>
      </x:c>
      <x:c r="L28" s="26" t="n">
        <x:v>10</x:v>
      </x:c>
      <x:c r="M28" s="26" t="n">
        <x:v>10</x:v>
      </x:c>
      <x:c r="N28" s="26" t="n">
        <x:v>0</x:v>
      </x:c>
      <x:c r="O28" s="26" t="n">
        <x:f>MAX(M28-N28,0)</x:f>
        <x:v>10</x:v>
      </x:c>
      <x:c r="P28" s="38" t="n">
        <x:f>IFERROR(N28/M28,0)</x:f>
        <x:v>0</x:v>
      </x:c>
      <x:c r="Q28" s="26" t="str">
        <x:v>Material/Assets/Equipment</x:v>
      </x:c>
      <x:c r="R28" s="26" t="str">
        <x:v>ECCE Equipment</x:v>
      </x:c>
      <x:c r="S28" s="26" t="str">
        <x:v>Minor</x:v>
      </x:c>
      <x:c r="T28" s="26"/>
      <x:c r="U28" s="26"/>
      <x:c r="V28" s="26"/>
      <x:c r="W28" s="32"/>
      <x:c r="X28" s="27" t="b">
        <x:v>1</x:v>
      </x:c>
      <x:c r="Y28" s="34" t="n">
        <x:v>46220.01778935185</x:v>
      </x:c>
      <x:c r="Z28" s="26"/>
      <x:c r="AA28" s="26" t="str">
        <x:v>VENKATESHWARLAPALLI (Mini) (36701020201)</x:v>
      </x:c>
      <x:c r="AB28" s="26" t="str">
        <x:v>Enriched from Mulugu project JSON</x:v>
      </x:c>
    </x:row>
    <x:row r="29">
      <x:c r="A29" s="26" t="n">
        <x:v>26</x:v>
      </x:c>
      <x:c r="B29" s="26" t="n">
        <x:v>289</x:v>
      </x:c>
      <x:c r="C29" s="26" t="str">
        <x:v>Mulugu</x:v>
      </x:c>
      <x:c r="D29" s="26" t="n">
        <x:v>8135</x:v>
      </x:c>
      <x:c r="E29" s="26" t="str">
        <x:v>PRJ-2026-0008135</x:v>
      </x:c>
      <x:c r="F29" s="26" t="str">
        <x:v>AWC VENKATESHWARLAPALLI</x:v>
      </x:c>
      <x:c r="G29" s="26" t="n">
        <x:v>912</x:v>
      </x:c>
      <x:c r="H29" s="26" t="n">
        <x:v>29948</x:v>
      </x:c>
      <x:c r="I29" s="26" t="str">
        <x:v>Chairs/Benches</x:v>
      </x:c>
      <x:c r="J29" s="26" t="str">
        <x:v>Number</x:v>
      </x:c>
      <x:c r="K29" s="26" t="n">
        <x:v>6</x:v>
      </x:c>
      <x:c r="L29" s="26" t="n">
        <x:v>6</x:v>
      </x:c>
      <x:c r="M29" s="26" t="n">
        <x:v>6</x:v>
      </x:c>
      <x:c r="N29" s="26" t="n">
        <x:v>0</x:v>
      </x:c>
      <x:c r="O29" s="26" t="n">
        <x:f>MAX(M29-N29,0)</x:f>
        <x:v>6</x:v>
      </x:c>
      <x:c r="P29" s="38" t="n">
        <x:f>IFERROR(N29/M29,0)</x:f>
        <x:v>0</x:v>
      </x:c>
      <x:c r="Q29" s="26" t="str">
        <x:v>Material/Assets/Equipment</x:v>
      </x:c>
      <x:c r="R29" s="26" t="str">
        <x:v>Educational Needs</x:v>
      </x:c>
      <x:c r="S29" s="26" t="str">
        <x:v>Minor</x:v>
      </x:c>
      <x:c r="T29" s="26"/>
      <x:c r="U29" s="26"/>
      <x:c r="V29" s="26"/>
      <x:c r="W29" s="32"/>
      <x:c r="X29" s="27" t="b">
        <x:v>1</x:v>
      </x:c>
      <x:c r="Y29" s="34" t="n">
        <x:v>46220.01778935185</x:v>
      </x:c>
      <x:c r="Z29" s="26"/>
      <x:c r="AA29" s="26" t="str">
        <x:v>VENKATESHWARLAPALLI (Mini) (36701020201)</x:v>
      </x:c>
      <x:c r="AB29" s="26" t="str">
        <x:v>Enriched from Mulugu project JSON</x:v>
      </x:c>
    </x:row>
    <x:row r="30">
      <x:c r="A30" s="26" t="n">
        <x:v>27</x:v>
      </x:c>
      <x:c r="B30" s="26" t="n">
        <x:v>289</x:v>
      </x:c>
      <x:c r="C30" s="26" t="str">
        <x:v>Mulugu</x:v>
      </x:c>
      <x:c r="D30" s="26" t="n">
        <x:v>8135</x:v>
      </x:c>
      <x:c r="E30" s="26" t="str">
        <x:v>PRJ-2026-0008135</x:v>
      </x:c>
      <x:c r="F30" s="26" t="str">
        <x:v>AWC VENKATESHWARLAPALLI</x:v>
      </x:c>
      <x:c r="G30" s="26" t="n">
        <x:v>913</x:v>
      </x:c>
      <x:c r="H30" s="26" t="n">
        <x:v>29949</x:v>
      </x:c>
      <x:c r="I30" s="26" t="str">
        <x:v>Chairs</x:v>
      </x:c>
      <x:c r="J30" s="26" t="str">
        <x:v>Number</x:v>
      </x:c>
      <x:c r="K30" s="26" t="n">
        <x:v>2</x:v>
      </x:c>
      <x:c r="L30" s="26" t="n">
        <x:v>2</x:v>
      </x:c>
      <x:c r="M30" s="26" t="n">
        <x:v>2</x:v>
      </x:c>
      <x:c r="N30" s="26" t="n">
        <x:v>0</x:v>
      </x:c>
      <x:c r="O30" s="26" t="n">
        <x:f>MAX(M30-N30,0)</x:f>
        <x:v>2</x:v>
      </x:c>
      <x:c r="P30" s="38" t="n">
        <x:f>IFERROR(N30/M30,0)</x:f>
        <x:v>0</x:v>
      </x:c>
      <x:c r="Q30" s="26" t="str">
        <x:v>Material/Assets/Equipment</x:v>
      </x:c>
      <x:c r="R30" s="26" t="str">
        <x:v>Office Needs</x:v>
      </x:c>
      <x:c r="S30" s="26" t="str">
        <x:v>Minor</x:v>
      </x:c>
      <x:c r="T30" s="26"/>
      <x:c r="U30" s="26"/>
      <x:c r="V30" s="26"/>
      <x:c r="W30" s="32"/>
      <x:c r="X30" s="27" t="b">
        <x:v>1</x:v>
      </x:c>
      <x:c r="Y30" s="34" t="n">
        <x:v>46220.01778935185</x:v>
      </x:c>
      <x:c r="Z30" s="26"/>
      <x:c r="AA30" s="26" t="str">
        <x:v>VENKATESHWARLAPALLI (Mini) (36701020201)</x:v>
      </x:c>
      <x:c r="AB30" s="26" t="str">
        <x:v>Enriched from Mulugu project JSON</x:v>
      </x:c>
    </x:row>
    <x:row r="31">
      <x:c r="A31" s="26" t="n">
        <x:v>28</x:v>
      </x:c>
      <x:c r="B31" s="26" t="n">
        <x:v>289</x:v>
      </x:c>
      <x:c r="C31" s="26" t="str">
        <x:v>Mulugu</x:v>
      </x:c>
      <x:c r="D31" s="26" t="n">
        <x:v>8135</x:v>
      </x:c>
      <x:c r="E31" s="26" t="str">
        <x:v>PRJ-2026-0008135</x:v>
      </x:c>
      <x:c r="F31" s="26" t="str">
        <x:v>AWC VENKATESHWARLAPALLI</x:v>
      </x:c>
      <x:c r="G31" s="26" t="n">
        <x:v>914</x:v>
      </x:c>
      <x:c r="H31" s="26" t="n">
        <x:v>29950</x:v>
      </x:c>
      <x:c r="I31" s="26" t="str">
        <x:v>Tube Lights</x:v>
      </x:c>
      <x:c r="J31" s="26" t="str">
        <x:v>Number</x:v>
      </x:c>
      <x:c r="K31" s="26" t="n">
        <x:v>2</x:v>
      </x:c>
      <x:c r="L31" s="26" t="n">
        <x:v>2</x:v>
      </x:c>
      <x:c r="M31" s="26" t="n">
        <x:v>2</x:v>
      </x:c>
      <x:c r="N31" s="26" t="n">
        <x:v>0</x:v>
      </x:c>
      <x:c r="O31" s="26" t="n">
        <x:f>MAX(M31-N31,0)</x:f>
        <x:v>2</x:v>
      </x:c>
      <x:c r="P31" s="38" t="n">
        <x:f>IFERROR(N31/M31,0)</x:f>
        <x:v>0</x:v>
      </x:c>
      <x:c r="Q31" s="26" t="str">
        <x:v>Material/Assets/Equipment</x:v>
      </x:c>
      <x:c r="R31" s="26" t="str">
        <x:v>Electrical Infrastructure</x:v>
      </x:c>
      <x:c r="S31" s="26" t="str">
        <x:v>Medium</x:v>
      </x:c>
      <x:c r="T31" s="26"/>
      <x:c r="U31" s="26"/>
      <x:c r="V31" s="26"/>
      <x:c r="W31" s="32"/>
      <x:c r="X31" s="27" t="b">
        <x:v>1</x:v>
      </x:c>
      <x:c r="Y31" s="34" t="n">
        <x:v>46220.01778935185</x:v>
      </x:c>
      <x:c r="Z31" s="26"/>
      <x:c r="AA31" s="26" t="str">
        <x:v>VENKATESHWARLAPALLI (Mini) (36701020201)</x:v>
      </x:c>
      <x:c r="AB31" s="26" t="str">
        <x:v>Enriched from Mulugu project JSON</x:v>
      </x:c>
    </x:row>
    <x:row r="32">
      <x:c r="A32" s="26" t="n">
        <x:v>29</x:v>
      </x:c>
      <x:c r="B32" s="26" t="n">
        <x:v>286</x:v>
      </x:c>
      <x:c r="C32" s="26" t="str">
        <x:v>Mulugu</x:v>
      </x:c>
      <x:c r="D32" s="26" t="n">
        <x:v>8796</x:v>
      </x:c>
      <x:c r="E32" s="26" t="str">
        <x:v>PRJ-2026-0008796</x:v>
      </x:c>
      <x:c r="F32" s="26" t="str">
        <x:v>AWC Kodeshalakunta</x:v>
      </x:c>
      <x:c r="G32" s="26" t="n">
        <x:v>884</x:v>
      </x:c>
      <x:c r="H32" s="26" t="n">
        <x:v>32812</x:v>
      </x:c>
      <x:c r="I32" s="26" t="str">
        <x:v>Toys</x:v>
      </x:c>
      <x:c r="J32" s="26" t="str">
        <x:v>Number</x:v>
      </x:c>
      <x:c r="K32" s="26" t="n">
        <x:v>10</x:v>
      </x:c>
      <x:c r="L32" s="26" t="n">
        <x:v>10</x:v>
      </x:c>
      <x:c r="M32" s="26" t="n">
        <x:v>10</x:v>
      </x:c>
      <x:c r="N32" s="26" t="n">
        <x:v>0</x:v>
      </x:c>
      <x:c r="O32" s="26" t="n">
        <x:f>MAX(M32-N32,0)</x:f>
        <x:v>10</x:v>
      </x:c>
      <x:c r="P32" s="38" t="n">
        <x:f>IFERROR(N32/M32,0)</x:f>
        <x:v>0</x:v>
      </x:c>
      <x:c r="Q32" s="26" t="str">
        <x:v>Material/Assets/Equipment</x:v>
      </x:c>
      <x:c r="R32" s="26" t="str">
        <x:v>ECCE Equipment</x:v>
      </x:c>
      <x:c r="S32" s="26" t="str">
        <x:v>Minor</x:v>
      </x:c>
      <x:c r="T32" s="26"/>
      <x:c r="U32" s="26"/>
      <x:c r="V32" s="26"/>
      <x:c r="W32" s="32"/>
      <x:c r="X32" s="27" t="b">
        <x:v>1</x:v>
      </x:c>
      <x:c r="Y32" s="34" t="n">
        <x:v>46220.01777777778</x:v>
      </x:c>
      <x:c r="Z32" s="26"/>
      <x:c r="AA32" s="26" t="str">
        <x:v>Kodeshalakunta (36701020214)</x:v>
      </x:c>
      <x:c r="AB32" s="26" t="str">
        <x:v>Enriched from Mulugu project JSON</x:v>
      </x:c>
    </x:row>
    <x:row r="33">
      <x:c r="A33" s="26" t="n">
        <x:v>30</x:v>
      </x:c>
      <x:c r="B33" s="26" t="n">
        <x:v>286</x:v>
      </x:c>
      <x:c r="C33" s="26" t="str">
        <x:v>Mulugu</x:v>
      </x:c>
      <x:c r="D33" s="26" t="n">
        <x:v>8796</x:v>
      </x:c>
      <x:c r="E33" s="26" t="str">
        <x:v>PRJ-2026-0008796</x:v>
      </x:c>
      <x:c r="F33" s="26" t="str">
        <x:v>AWC Kodeshalakunta</x:v>
      </x:c>
      <x:c r="G33" s="26" t="n">
        <x:v>885</x:v>
      </x:c>
      <x:c r="H33" s="26" t="n">
        <x:v>32813</x:v>
      </x:c>
      <x:c r="I33" s="26" t="str">
        <x:v>Swing sets</x:v>
      </x:c>
      <x:c r="J33" s="26" t="str">
        <x:v>Number</x:v>
      </x:c>
      <x:c r="K33" s="26" t="n">
        <x:v>2</x:v>
      </x:c>
      <x:c r="L33" s="26" t="n">
        <x:v>2</x:v>
      </x:c>
      <x:c r="M33" s="26" t="n">
        <x:v>2</x:v>
      </x:c>
      <x:c r="N33" s="26" t="n">
        <x:v>0</x:v>
      </x:c>
      <x:c r="O33" s="26" t="n">
        <x:f>MAX(M33-N33,0)</x:f>
        <x:v>2</x:v>
      </x:c>
      <x:c r="P33" s="38" t="n">
        <x:f>IFERROR(N33/M33,0)</x:f>
        <x:v>0</x:v>
      </x:c>
      <x:c r="Q33" s="26" t="str">
        <x:v>Material/Assets/Equipment</x:v>
      </x:c>
      <x:c r="R33" s="26" t="str">
        <x:v>ECCE Equipment</x:v>
      </x:c>
      <x:c r="S33" s="26" t="str">
        <x:v>Minor</x:v>
      </x:c>
      <x:c r="T33" s="26"/>
      <x:c r="U33" s="26"/>
      <x:c r="V33" s="26"/>
      <x:c r="W33" s="32"/>
      <x:c r="X33" s="27" t="b">
        <x:v>1</x:v>
      </x:c>
      <x:c r="Y33" s="34" t="n">
        <x:v>46220.01777777778</x:v>
      </x:c>
      <x:c r="Z33" s="26"/>
      <x:c r="AA33" s="26" t="str">
        <x:v>Kodeshalakunta (36701020214)</x:v>
      </x:c>
      <x:c r="AB33" s="26" t="str">
        <x:v>Enriched from Mulugu project JSON</x:v>
      </x:c>
    </x:row>
    <x:row r="34">
      <x:c r="A34" s="26" t="n">
        <x:v>31</x:v>
      </x:c>
      <x:c r="B34" s="26" t="n">
        <x:v>286</x:v>
      </x:c>
      <x:c r="C34" s="26" t="str">
        <x:v>Mulugu</x:v>
      </x:c>
      <x:c r="D34" s="26" t="n">
        <x:v>8796</x:v>
      </x:c>
      <x:c r="E34" s="26" t="str">
        <x:v>PRJ-2026-0008796</x:v>
      </x:c>
      <x:c r="F34" s="26" t="str">
        <x:v>AWC Kodeshalakunta</x:v>
      </x:c>
      <x:c r="G34" s="26" t="n">
        <x:v>886</x:v>
      </x:c>
      <x:c r="H34" s="26" t="n">
        <x:v>32814</x:v>
      </x:c>
      <x:c r="I34" s="26" t="str">
        <x:v>Games</x:v>
      </x:c>
      <x:c r="J34" s="26" t="str">
        <x:v>Number</x:v>
      </x:c>
      <x:c r="K34" s="26" t="n">
        <x:v>10</x:v>
      </x:c>
      <x:c r="L34" s="26" t="n">
        <x:v>10</x:v>
      </x:c>
      <x:c r="M34" s="26" t="n">
        <x:v>10</x:v>
      </x:c>
      <x:c r="N34" s="26" t="n">
        <x:v>0</x:v>
      </x:c>
      <x:c r="O34" s="26" t="n">
        <x:f>MAX(M34-N34,0)</x:f>
        <x:v>10</x:v>
      </x:c>
      <x:c r="P34" s="38" t="n">
        <x:f>IFERROR(N34/M34,0)</x:f>
        <x:v>0</x:v>
      </x:c>
      <x:c r="Q34" s="26" t="str">
        <x:v>Material/Assets/Equipment</x:v>
      </x:c>
      <x:c r="R34" s="26" t="str">
        <x:v>ECCE Equipment</x:v>
      </x:c>
      <x:c r="S34" s="26" t="str">
        <x:v>Minor</x:v>
      </x:c>
      <x:c r="T34" s="26"/>
      <x:c r="U34" s="26"/>
      <x:c r="V34" s="26"/>
      <x:c r="W34" s="32"/>
      <x:c r="X34" s="27" t="b">
        <x:v>1</x:v>
      </x:c>
      <x:c r="Y34" s="34" t="n">
        <x:v>46220.01777777778</x:v>
      </x:c>
      <x:c r="Z34" s="26"/>
      <x:c r="AA34" s="26" t="str">
        <x:v>Kodeshalakunta (36701020214)</x:v>
      </x:c>
      <x:c r="AB34" s="26" t="str">
        <x:v>Enriched from Mulugu project JSON</x:v>
      </x:c>
    </x:row>
    <x:row r="35">
      <x:c r="A35" s="26" t="n">
        <x:v>32</x:v>
      </x:c>
      <x:c r="B35" s="26" t="n">
        <x:v>286</x:v>
      </x:c>
      <x:c r="C35" s="26" t="str">
        <x:v>Mulugu</x:v>
      </x:c>
      <x:c r="D35" s="26" t="n">
        <x:v>8796</x:v>
      </x:c>
      <x:c r="E35" s="26" t="str">
        <x:v>PRJ-2026-0008796</x:v>
      </x:c>
      <x:c r="F35" s="26" t="str">
        <x:v>AWC Kodeshalakunta</x:v>
      </x:c>
      <x:c r="G35" s="26" t="n">
        <x:v>887</x:v>
      </x:c>
      <x:c r="H35" s="26" t="n">
        <x:v>32815</x:v>
      </x:c>
      <x:c r="I35" s="26" t="str">
        <x:v>Chairs/Benches</x:v>
      </x:c>
      <x:c r="J35" s="26" t="str">
        <x:v>Number</x:v>
      </x:c>
      <x:c r="K35" s="26" t="n">
        <x:v>8</x:v>
      </x:c>
      <x:c r="L35" s="26" t="n">
        <x:v>8</x:v>
      </x:c>
      <x:c r="M35" s="26" t="n">
        <x:v>8</x:v>
      </x:c>
      <x:c r="N35" s="26" t="n">
        <x:v>0</x:v>
      </x:c>
      <x:c r="O35" s="26" t="n">
        <x:f>MAX(M35-N35,0)</x:f>
        <x:v>8</x:v>
      </x:c>
      <x:c r="P35" s="38" t="n">
        <x:f>IFERROR(N35/M35,0)</x:f>
        <x:v>0</x:v>
      </x:c>
      <x:c r="Q35" s="26" t="str">
        <x:v>Material/Assets/Equipment</x:v>
      </x:c>
      <x:c r="R35" s="26" t="str">
        <x:v>Educational Needs</x:v>
      </x:c>
      <x:c r="S35" s="26" t="str">
        <x:v>Minor</x:v>
      </x:c>
      <x:c r="T35" s="26"/>
      <x:c r="U35" s="26"/>
      <x:c r="V35" s="26"/>
      <x:c r="W35" s="32"/>
      <x:c r="X35" s="27" t="b">
        <x:v>1</x:v>
      </x:c>
      <x:c r="Y35" s="34" t="n">
        <x:v>46220.01777777778</x:v>
      </x:c>
      <x:c r="Z35" s="26"/>
      <x:c r="AA35" s="26" t="str">
        <x:v>Kodeshalakunta (36701020214)</x:v>
      </x:c>
      <x:c r="AB35" s="26" t="str">
        <x:v>Enriched from Mulugu project JSON</x:v>
      </x:c>
    </x:row>
    <x:row r="36">
      <x:c r="A36" s="26" t="n">
        <x:v>33</x:v>
      </x:c>
      <x:c r="B36" s="26" t="n">
        <x:v>286</x:v>
      </x:c>
      <x:c r="C36" s="26" t="str">
        <x:v>Mulugu</x:v>
      </x:c>
      <x:c r="D36" s="26" t="n">
        <x:v>8796</x:v>
      </x:c>
      <x:c r="E36" s="26" t="str">
        <x:v>PRJ-2026-0008796</x:v>
      </x:c>
      <x:c r="F36" s="26" t="str">
        <x:v>AWC Kodeshalakunta</x:v>
      </x:c>
      <x:c r="G36" s="26" t="n">
        <x:v>888</x:v>
      </x:c>
      <x:c r="H36" s="26" t="n">
        <x:v>32816</x:v>
      </x:c>
      <x:c r="I36" s="26" t="str">
        <x:v>Tube Lights</x:v>
      </x:c>
      <x:c r="J36" s="26" t="str">
        <x:v>Number</x:v>
      </x:c>
      <x:c r="K36" s="26" t="n">
        <x:v>2</x:v>
      </x:c>
      <x:c r="L36" s="26" t="n">
        <x:v>2</x:v>
      </x:c>
      <x:c r="M36" s="26" t="n">
        <x:v>2</x:v>
      </x:c>
      <x:c r="N36" s="26" t="n">
        <x:v>0</x:v>
      </x:c>
      <x:c r="O36" s="26" t="n">
        <x:f>MAX(M36-N36,0)</x:f>
        <x:v>2</x:v>
      </x:c>
      <x:c r="P36" s="38" t="n">
        <x:f>IFERROR(N36/M36,0)</x:f>
        <x:v>0</x:v>
      </x:c>
      <x:c r="Q36" s="26" t="str">
        <x:v>Material/Assets/Equipment</x:v>
      </x:c>
      <x:c r="R36" s="26" t="str">
        <x:v>Electrical Infrastructure</x:v>
      </x:c>
      <x:c r="S36" s="26" t="str">
        <x:v>Medium</x:v>
      </x:c>
      <x:c r="T36" s="26"/>
      <x:c r="U36" s="26"/>
      <x:c r="V36" s="26"/>
      <x:c r="W36" s="32"/>
      <x:c r="X36" s="27" t="b">
        <x:v>1</x:v>
      </x:c>
      <x:c r="Y36" s="34" t="n">
        <x:v>46220.01777777778</x:v>
      </x:c>
      <x:c r="Z36" s="26"/>
      <x:c r="AA36" s="26" t="str">
        <x:v>Kodeshalakunta (36701020214)</x:v>
      </x:c>
      <x:c r="AB36" s="26" t="str">
        <x:v>Enriched from Mulugu project JSON</x:v>
      </x:c>
    </x:row>
    <x:row r="37">
      <x:c r="A37" s="26" t="n">
        <x:v>34</x:v>
      </x:c>
      <x:c r="B37" s="26" t="n">
        <x:v>286</x:v>
      </x:c>
      <x:c r="C37" s="26" t="str">
        <x:v>Mulugu</x:v>
      </x:c>
      <x:c r="D37" s="26" t="n">
        <x:v>8796</x:v>
      </x:c>
      <x:c r="E37" s="26" t="str">
        <x:v>PRJ-2026-0008796</x:v>
      </x:c>
      <x:c r="F37" s="26" t="str">
        <x:v>AWC Kodeshalakunta</x:v>
      </x:c>
      <x:c r="G37" s="26" t="n">
        <x:v>889</x:v>
      </x:c>
      <x:c r="H37" s="26" t="n">
        <x:v>32817</x:v>
      </x:c>
      <x:c r="I37" s="26" t="str">
        <x:v>Cooking Equipments</x:v>
      </x:c>
      <x:c r="J37" s="26" t="str">
        <x:v>Number</x:v>
      </x:c>
      <x:c r="K37" s="26" t="n">
        <x:v>1</x:v>
      </x:c>
      <x:c r="L37" s="26" t="n">
        <x:v>1</x:v>
      </x:c>
      <x:c r="M37" s="26" t="n">
        <x:v>1</x:v>
      </x:c>
      <x:c r="N37" s="26" t="n">
        <x:v>0</x:v>
      </x:c>
      <x:c r="O37" s="26" t="n">
        <x:f>MAX(M37-N37,0)</x:f>
        <x:v>1</x:v>
      </x:c>
      <x:c r="P37" s="38" t="n">
        <x:f>IFERROR(N37/M37,0)</x:f>
        <x:v>0</x:v>
      </x:c>
      <x:c r="Q37" s="26" t="str">
        <x:v>Material/Assets/Equipment</x:v>
      </x:c>
      <x:c r="R37" s="26" t="str">
        <x:v>Electrical Infrastructure</x:v>
      </x:c>
      <x:c r="S37" s="26" t="str">
        <x:v>Medium</x:v>
      </x:c>
      <x:c r="T37" s="26"/>
      <x:c r="U37" s="26"/>
      <x:c r="V37" s="26"/>
      <x:c r="W37" s="32"/>
      <x:c r="X37" s="27" t="b">
        <x:v>1</x:v>
      </x:c>
      <x:c r="Y37" s="34" t="n">
        <x:v>46220.01777777778</x:v>
      </x:c>
      <x:c r="Z37" s="26"/>
      <x:c r="AA37" s="26" t="str">
        <x:v>Kodeshalakunta (36701020214)</x:v>
      </x:c>
      <x:c r="AB37" s="26" t="str">
        <x:v>Enriched from Mulugu project JSON</x:v>
      </x:c>
    </x:row>
    <x:row r="38">
      <x:c r="A38" s="26" t="n">
        <x:v>35</x:v>
      </x:c>
      <x:c r="B38" s="26" t="n">
        <x:v>286</x:v>
      </x:c>
      <x:c r="C38" s="26" t="str">
        <x:v>Mulugu</x:v>
      </x:c>
      <x:c r="D38" s="26" t="n">
        <x:v>8796</x:v>
      </x:c>
      <x:c r="E38" s="26" t="str">
        <x:v>PRJ-2026-0008796</x:v>
      </x:c>
      <x:c r="F38" s="26" t="str">
        <x:v>AWC Kodeshalakunta</x:v>
      </x:c>
      <x:c r="G38" s="26" t="n">
        <x:v>890</x:v>
      </x:c>
      <x:c r="H38" s="26" t="n">
        <x:v>32818</x:v>
      </x:c>
      <x:c r="I38" s="26" t="str">
        <x:v>Water Purifier</x:v>
      </x:c>
      <x:c r="J38" s="26" t="str">
        <x:v>Number</x:v>
      </x:c>
      <x:c r="K38" s="26" t="n">
        <x:v>1</x:v>
      </x:c>
      <x:c r="L38" s="26" t="n">
        <x:v>1</x:v>
      </x:c>
      <x:c r="M38" s="26" t="n">
        <x:v>1</x:v>
      </x:c>
      <x:c r="N38" s="26" t="n">
        <x:v>0</x:v>
      </x:c>
      <x:c r="O38" s="26" t="n">
        <x:f>MAX(M38-N38,0)</x:f>
        <x:v>1</x:v>
      </x:c>
      <x:c r="P38" s="38" t="n">
        <x:f>IFERROR(N38/M38,0)</x:f>
        <x:v>0</x:v>
      </x:c>
      <x:c r="Q38" s="26" t="str">
        <x:v>Material/Assets/Equipment</x:v>
      </x:c>
      <x:c r="R38" s="26" t="str">
        <x:v>Health and Safety aids</x:v>
      </x:c>
      <x:c r="S38" s="26" t="str">
        <x:v>Minor</x:v>
      </x:c>
      <x:c r="T38" s="26"/>
      <x:c r="U38" s="26"/>
      <x:c r="V38" s="26"/>
      <x:c r="W38" s="32"/>
      <x:c r="X38" s="27" t="b">
        <x:v>1</x:v>
      </x:c>
      <x:c r="Y38" s="34" t="n">
        <x:v>46220.01777777778</x:v>
      </x:c>
      <x:c r="Z38" s="26"/>
      <x:c r="AA38" s="26" t="str">
        <x:v>Kodeshalakunta (36701020214)</x:v>
      </x:c>
      <x:c r="AB38" s="26" t="str">
        <x:v>Enriched from Mulugu project JSON</x:v>
      </x:c>
    </x:row>
    <x:row r="39">
      <x:c r="A39" s="26" t="n">
        <x:v>36</x:v>
      </x:c>
      <x:c r="B39" s="26" t="n">
        <x:v>286</x:v>
      </x:c>
      <x:c r="C39" s="26" t="str">
        <x:v>Mulugu</x:v>
      </x:c>
      <x:c r="D39" s="26" t="n">
        <x:v>8796</x:v>
      </x:c>
      <x:c r="E39" s="26" t="str">
        <x:v>PRJ-2026-0008796</x:v>
      </x:c>
      <x:c r="F39" s="26" t="str">
        <x:v>AWC Kodeshalakunta</x:v>
      </x:c>
      <x:c r="G39" s="26" t="n">
        <x:v>891</x:v>
      </x:c>
      <x:c r="H39" s="26" t="n">
        <x:v>32819</x:v>
      </x:c>
      <x:c r="I39" s="26" t="str">
        <x:v>Chairs</x:v>
      </x:c>
      <x:c r="J39" s="26" t="str">
        <x:v>Number</x:v>
      </x:c>
      <x:c r="K39" s="26" t="n">
        <x:v>2</x:v>
      </x:c>
      <x:c r="L39" s="26" t="n">
        <x:v>2</x:v>
      </x:c>
      <x:c r="M39" s="26" t="n">
        <x:v>2</x:v>
      </x:c>
      <x:c r="N39" s="26" t="n">
        <x:v>0</x:v>
      </x:c>
      <x:c r="O39" s="26" t="n">
        <x:f>MAX(M39-N39,0)</x:f>
        <x:v>2</x:v>
      </x:c>
      <x:c r="P39" s="38" t="n">
        <x:f>IFERROR(N39/M39,0)</x:f>
        <x:v>0</x:v>
      </x:c>
      <x:c r="Q39" s="26" t="str">
        <x:v>Material/Assets/Equipment</x:v>
      </x:c>
      <x:c r="R39" s="26" t="str">
        <x:v>Office Needs</x:v>
      </x:c>
      <x:c r="S39" s="26" t="str">
        <x:v>Minor</x:v>
      </x:c>
      <x:c r="T39" s="26"/>
      <x:c r="U39" s="26"/>
      <x:c r="V39" s="26"/>
      <x:c r="W39" s="32"/>
      <x:c r="X39" s="27" t="b">
        <x:v>1</x:v>
      </x:c>
      <x:c r="Y39" s="34" t="n">
        <x:v>46220.01777777778</x:v>
      </x:c>
      <x:c r="Z39" s="26"/>
      <x:c r="AA39" s="26" t="str">
        <x:v>Kodeshalakunta (36701020214)</x:v>
      </x:c>
      <x:c r="AB39" s="26" t="str">
        <x:v>Enriched from Mulugu project JSON</x:v>
      </x:c>
    </x:row>
    <x:row r="40">
      <x:c r="A40" s="26" t="n">
        <x:v>37</x:v>
      </x:c>
      <x:c r="B40" s="26" t="n">
        <x:v>287</x:v>
      </x:c>
      <x:c r="C40" s="26" t="str">
        <x:v>Mulugu</x:v>
      </x:c>
      <x:c r="D40" s="26" t="n">
        <x:v>8670</x:v>
      </x:c>
      <x:c r="E40" s="26" t="str">
        <x:v>PRJ-2026-0008670</x:v>
      </x:c>
      <x:c r="F40" s="26" t="str">
        <x:v>AWC Mansingh thanda</x:v>
      </x:c>
      <x:c r="G40" s="26" t="n">
        <x:v>892</x:v>
      </x:c>
      <x:c r="H40" s="26" t="n">
        <x:v>32246</x:v>
      </x:c>
      <x:c r="I40" s="26" t="str">
        <x:v>Toys</x:v>
      </x:c>
      <x:c r="J40" s="26" t="str">
        <x:v>Number</x:v>
      </x:c>
      <x:c r="K40" s="26" t="n">
        <x:v>10</x:v>
      </x:c>
      <x:c r="L40" s="26" t="n">
        <x:v>10</x:v>
      </x:c>
      <x:c r="M40" s="26" t="n">
        <x:v>10</x:v>
      </x:c>
      <x:c r="N40" s="26" t="n">
        <x:v>0</x:v>
      </x:c>
      <x:c r="O40" s="26" t="n">
        <x:f>MAX(M40-N40,0)</x:f>
        <x:v>10</x:v>
      </x:c>
      <x:c r="P40" s="38" t="n">
        <x:f>IFERROR(N40/M40,0)</x:f>
        <x:v>0</x:v>
      </x:c>
      <x:c r="Q40" s="26" t="str">
        <x:v>Material/Assets/Equipment</x:v>
      </x:c>
      <x:c r="R40" s="26" t="str">
        <x:v>ECCE Equipment</x:v>
      </x:c>
      <x:c r="S40" s="26" t="str">
        <x:v>Minor</x:v>
      </x:c>
      <x:c r="T40" s="26"/>
      <x:c r="U40" s="26"/>
      <x:c r="V40" s="26"/>
      <x:c r="W40" s="32"/>
      <x:c r="X40" s="27" t="b">
        <x:v>1</x:v>
      </x:c>
      <x:c r="Y40" s="34" t="n">
        <x:v>46220.01777777778</x:v>
      </x:c>
      <x:c r="Z40" s="26"/>
      <x:c r="AA40" s="26" t="str">
        <x:v>Mansingh thanda (36701020213)</x:v>
      </x:c>
      <x:c r="AB40" s="26" t="str">
        <x:v>Enriched from Mulugu project JSON</x:v>
      </x:c>
    </x:row>
    <x:row r="41">
      <x:c r="A41" s="26" t="n">
        <x:v>38</x:v>
      </x:c>
      <x:c r="B41" s="26" t="n">
        <x:v>287</x:v>
      </x:c>
      <x:c r="C41" s="26" t="str">
        <x:v>Mulugu</x:v>
      </x:c>
      <x:c r="D41" s="26" t="n">
        <x:v>8670</x:v>
      </x:c>
      <x:c r="E41" s="26" t="str">
        <x:v>PRJ-2026-0008670</x:v>
      </x:c>
      <x:c r="F41" s="26" t="str">
        <x:v>AWC Mansingh thanda</x:v>
      </x:c>
      <x:c r="G41" s="26" t="n">
        <x:v>893</x:v>
      </x:c>
      <x:c r="H41" s="26" t="n">
        <x:v>32247</x:v>
      </x:c>
      <x:c r="I41" s="26" t="str">
        <x:v>Games</x:v>
      </x:c>
      <x:c r="J41" s="26" t="str">
        <x:v>Number</x:v>
      </x:c>
      <x:c r="K41" s="26" t="n">
        <x:v>5</x:v>
      </x:c>
      <x:c r="L41" s="26" t="n">
        <x:v>5</x:v>
      </x:c>
      <x:c r="M41" s="26" t="n">
        <x:v>5</x:v>
      </x:c>
      <x:c r="N41" s="26" t="n">
        <x:v>0</x:v>
      </x:c>
      <x:c r="O41" s="26" t="n">
        <x:f>MAX(M41-N41,0)</x:f>
        <x:v>5</x:v>
      </x:c>
      <x:c r="P41" s="38" t="n">
        <x:f>IFERROR(N41/M41,0)</x:f>
        <x:v>0</x:v>
      </x:c>
      <x:c r="Q41" s="26" t="str">
        <x:v>Material/Assets/Equipment</x:v>
      </x:c>
      <x:c r="R41" s="26" t="str">
        <x:v>ECCE Equipment</x:v>
      </x:c>
      <x:c r="S41" s="26" t="str">
        <x:v>Minor</x:v>
      </x:c>
      <x:c r="T41" s="26"/>
      <x:c r="U41" s="26"/>
      <x:c r="V41" s="26"/>
      <x:c r="W41" s="32"/>
      <x:c r="X41" s="27" t="b">
        <x:v>1</x:v>
      </x:c>
      <x:c r="Y41" s="34" t="n">
        <x:v>46220.01777777778</x:v>
      </x:c>
      <x:c r="Z41" s="26"/>
      <x:c r="AA41" s="26" t="str">
        <x:v>Mansingh thanda (36701020213)</x:v>
      </x:c>
      <x:c r="AB41" s="26" t="str">
        <x:v>Enriched from Mulugu project JSON</x:v>
      </x:c>
    </x:row>
    <x:row r="42">
      <x:c r="A42" s="26" t="n">
        <x:v>39</x:v>
      </x:c>
      <x:c r="B42" s="26" t="n">
        <x:v>287</x:v>
      </x:c>
      <x:c r="C42" s="26" t="str">
        <x:v>Mulugu</x:v>
      </x:c>
      <x:c r="D42" s="26" t="n">
        <x:v>8670</x:v>
      </x:c>
      <x:c r="E42" s="26" t="str">
        <x:v>PRJ-2026-0008670</x:v>
      </x:c>
      <x:c r="F42" s="26" t="str">
        <x:v>AWC Mansingh thanda</x:v>
      </x:c>
      <x:c r="G42" s="26" t="n">
        <x:v>894</x:v>
      </x:c>
      <x:c r="H42" s="26" t="n">
        <x:v>32248</x:v>
      </x:c>
      <x:c r="I42" s="26" t="str">
        <x:v>Swing sets</x:v>
      </x:c>
      <x:c r="J42" s="26" t="str">
        <x:v>Number</x:v>
      </x:c>
      <x:c r="K42" s="26" t="n">
        <x:v>2</x:v>
      </x:c>
      <x:c r="L42" s="26" t="n">
        <x:v>2</x:v>
      </x:c>
      <x:c r="M42" s="26" t="n">
        <x:v>2</x:v>
      </x:c>
      <x:c r="N42" s="26" t="n">
        <x:v>0</x:v>
      </x:c>
      <x:c r="O42" s="26" t="n">
        <x:f>MAX(M42-N42,0)</x:f>
        <x:v>2</x:v>
      </x:c>
      <x:c r="P42" s="38" t="n">
        <x:f>IFERROR(N42/M42,0)</x:f>
        <x:v>0</x:v>
      </x:c>
      <x:c r="Q42" s="26" t="str">
        <x:v>Material/Assets/Equipment</x:v>
      </x:c>
      <x:c r="R42" s="26" t="str">
        <x:v>ECCE Equipment</x:v>
      </x:c>
      <x:c r="S42" s="26" t="str">
        <x:v>Minor</x:v>
      </x:c>
      <x:c r="T42" s="26"/>
      <x:c r="U42" s="26"/>
      <x:c r="V42" s="26"/>
      <x:c r="W42" s="32"/>
      <x:c r="X42" s="27" t="b">
        <x:v>1</x:v>
      </x:c>
      <x:c r="Y42" s="34" t="n">
        <x:v>46220.01777777778</x:v>
      </x:c>
      <x:c r="Z42" s="26"/>
      <x:c r="AA42" s="26" t="str">
        <x:v>Mansingh thanda (36701020213)</x:v>
      </x:c>
      <x:c r="AB42" s="26" t="str">
        <x:v>Enriched from Mulugu project JSON</x:v>
      </x:c>
    </x:row>
    <x:row r="43">
      <x:c r="A43" s="26" t="n">
        <x:v>40</x:v>
      </x:c>
      <x:c r="B43" s="26" t="n">
        <x:v>287</x:v>
      </x:c>
      <x:c r="C43" s="26" t="str">
        <x:v>Mulugu</x:v>
      </x:c>
      <x:c r="D43" s="26" t="n">
        <x:v>8670</x:v>
      </x:c>
      <x:c r="E43" s="26" t="str">
        <x:v>PRJ-2026-0008670</x:v>
      </x:c>
      <x:c r="F43" s="26" t="str">
        <x:v>AWC Mansingh thanda</x:v>
      </x:c>
      <x:c r="G43" s="26" t="n">
        <x:v>895</x:v>
      </x:c>
      <x:c r="H43" s="26" t="n">
        <x:v>32249</x:v>
      </x:c>
      <x:c r="I43" s="26" t="str">
        <x:v>Chairs/Benches</x:v>
      </x:c>
      <x:c r="J43" s="26" t="str">
        <x:v>Number</x:v>
      </x:c>
      <x:c r="K43" s="26" t="n">
        <x:v>15</x:v>
      </x:c>
      <x:c r="L43" s="26" t="n">
        <x:v>15</x:v>
      </x:c>
      <x:c r="M43" s="26" t="n">
        <x:v>15</x:v>
      </x:c>
      <x:c r="N43" s="26" t="n">
        <x:v>0</x:v>
      </x:c>
      <x:c r="O43" s="26" t="n">
        <x:f>MAX(M43-N43,0)</x:f>
        <x:v>15</x:v>
      </x:c>
      <x:c r="P43" s="38" t="n">
        <x:f>IFERROR(N43/M43,0)</x:f>
        <x:v>0</x:v>
      </x:c>
      <x:c r="Q43" s="26" t="str">
        <x:v>Material/Assets/Equipment</x:v>
      </x:c>
      <x:c r="R43" s="26" t="str">
        <x:v>Educational Needs</x:v>
      </x:c>
      <x:c r="S43" s="26" t="str">
        <x:v>Minor</x:v>
      </x:c>
      <x:c r="T43" s="26"/>
      <x:c r="U43" s="26"/>
      <x:c r="V43" s="26"/>
      <x:c r="W43" s="32"/>
      <x:c r="X43" s="27" t="b">
        <x:v>1</x:v>
      </x:c>
      <x:c r="Y43" s="34" t="n">
        <x:v>46220.01777777778</x:v>
      </x:c>
      <x:c r="Z43" s="26"/>
      <x:c r="AA43" s="26" t="str">
        <x:v>Mansingh thanda (36701020213)</x:v>
      </x:c>
      <x:c r="AB43" s="26" t="str">
        <x:v>Enriched from Mulugu project JSON</x:v>
      </x:c>
    </x:row>
    <x:row r="44">
      <x:c r="A44" s="26" t="n">
        <x:v>41</x:v>
      </x:c>
      <x:c r="B44" s="26" t="n">
        <x:v>287</x:v>
      </x:c>
      <x:c r="C44" s="26" t="str">
        <x:v>Mulugu</x:v>
      </x:c>
      <x:c r="D44" s="26" t="n">
        <x:v>8670</x:v>
      </x:c>
      <x:c r="E44" s="26" t="str">
        <x:v>PRJ-2026-0008670</x:v>
      </x:c>
      <x:c r="F44" s="26" t="str">
        <x:v>AWC Mansingh thanda</x:v>
      </x:c>
      <x:c r="G44" s="26" t="n">
        <x:v>896</x:v>
      </x:c>
      <x:c r="H44" s="26" t="n">
        <x:v>32250</x:v>
      </x:c>
      <x:c r="I44" s="26" t="str">
        <x:v>Tube Lights</x:v>
      </x:c>
      <x:c r="J44" s="26" t="str">
        <x:v>Number</x:v>
      </x:c>
      <x:c r="K44" s="26" t="n">
        <x:v>2</x:v>
      </x:c>
      <x:c r="L44" s="26" t="n">
        <x:v>2</x:v>
      </x:c>
      <x:c r="M44" s="26" t="n">
        <x:v>2</x:v>
      </x:c>
      <x:c r="N44" s="26" t="n">
        <x:v>0</x:v>
      </x:c>
      <x:c r="O44" s="26" t="n">
        <x:f>MAX(M44-N44,0)</x:f>
        <x:v>2</x:v>
      </x:c>
      <x:c r="P44" s="38" t="n">
        <x:f>IFERROR(N44/M44,0)</x:f>
        <x:v>0</x:v>
      </x:c>
      <x:c r="Q44" s="26" t="str">
        <x:v>Material/Assets/Equipment</x:v>
      </x:c>
      <x:c r="R44" s="26" t="str">
        <x:v>Electrical Infrastructure</x:v>
      </x:c>
      <x:c r="S44" s="26" t="str">
        <x:v>Medium</x:v>
      </x:c>
      <x:c r="T44" s="26"/>
      <x:c r="U44" s="26"/>
      <x:c r="V44" s="26"/>
      <x:c r="W44" s="32"/>
      <x:c r="X44" s="27" t="b">
        <x:v>1</x:v>
      </x:c>
      <x:c r="Y44" s="34" t="n">
        <x:v>46220.01777777778</x:v>
      </x:c>
      <x:c r="Z44" s="26"/>
      <x:c r="AA44" s="26" t="str">
        <x:v>Mansingh thanda (36701020213)</x:v>
      </x:c>
      <x:c r="AB44" s="26" t="str">
        <x:v>Enriched from Mulugu project JSON</x:v>
      </x:c>
    </x:row>
    <x:row r="45">
      <x:c r="A45" s="26" t="n">
        <x:v>42</x:v>
      </x:c>
      <x:c r="B45" s="26" t="n">
        <x:v>287</x:v>
      </x:c>
      <x:c r="C45" s="26" t="str">
        <x:v>Mulugu</x:v>
      </x:c>
      <x:c r="D45" s="26" t="n">
        <x:v>8670</x:v>
      </x:c>
      <x:c r="E45" s="26" t="str">
        <x:v>PRJ-2026-0008670</x:v>
      </x:c>
      <x:c r="F45" s="26" t="str">
        <x:v>AWC Mansingh thanda</x:v>
      </x:c>
      <x:c r="G45" s="26" t="n">
        <x:v>897</x:v>
      </x:c>
      <x:c r="H45" s="26" t="n">
        <x:v>32251</x:v>
      </x:c>
      <x:c r="I45" s="26" t="str">
        <x:v>Water Purifier</x:v>
      </x:c>
      <x:c r="J45" s="26" t="str">
        <x:v>Number</x:v>
      </x:c>
      <x:c r="K45" s="26" t="n">
        <x:v>1</x:v>
      </x:c>
      <x:c r="L45" s="26" t="n">
        <x:v>1</x:v>
      </x:c>
      <x:c r="M45" s="26" t="n">
        <x:v>1</x:v>
      </x:c>
      <x:c r="N45" s="26" t="n">
        <x:v>0</x:v>
      </x:c>
      <x:c r="O45" s="26" t="n">
        <x:f>MAX(M45-N45,0)</x:f>
        <x:v>1</x:v>
      </x:c>
      <x:c r="P45" s="38" t="n">
        <x:f>IFERROR(N45/M45,0)</x:f>
        <x:v>0</x:v>
      </x:c>
      <x:c r="Q45" s="26" t="str">
        <x:v>Material/Assets/Equipment</x:v>
      </x:c>
      <x:c r="R45" s="26" t="str">
        <x:v>Health and Safety aids</x:v>
      </x:c>
      <x:c r="S45" s="26" t="str">
        <x:v>Minor</x:v>
      </x:c>
      <x:c r="T45" s="26"/>
      <x:c r="U45" s="26"/>
      <x:c r="V45" s="26"/>
      <x:c r="W45" s="32"/>
      <x:c r="X45" s="27" t="b">
        <x:v>1</x:v>
      </x:c>
      <x:c r="Y45" s="34" t="n">
        <x:v>46220.01777777778</x:v>
      </x:c>
      <x:c r="Z45" s="26"/>
      <x:c r="AA45" s="26" t="str">
        <x:v>Mansingh thanda (36701020213)</x:v>
      </x:c>
      <x:c r="AB45" s="26" t="str">
        <x:v>Enriched from Mulugu project JSON</x:v>
      </x:c>
    </x:row>
    <x:row r="46">
      <x:c r="A46" s="26" t="n">
        <x:v>43</x:v>
      </x:c>
      <x:c r="B46" s="26" t="n">
        <x:v>287</x:v>
      </x:c>
      <x:c r="C46" s="26" t="str">
        <x:v>Mulugu</x:v>
      </x:c>
      <x:c r="D46" s="26" t="n">
        <x:v>8670</x:v>
      </x:c>
      <x:c r="E46" s="26" t="str">
        <x:v>PRJ-2026-0008670</x:v>
      </x:c>
      <x:c r="F46" s="26" t="str">
        <x:v>AWC Mansingh thanda</x:v>
      </x:c>
      <x:c r="G46" s="26" t="n">
        <x:v>898</x:v>
      </x:c>
      <x:c r="H46" s="26" t="n">
        <x:v>32252</x:v>
      </x:c>
      <x:c r="I46" s="26" t="str">
        <x:v>Cooking Equipments</x:v>
      </x:c>
      <x:c r="J46" s="26" t="str">
        <x:v>Number</x:v>
      </x:c>
      <x:c r="K46" s="26" t="n">
        <x:v>1</x:v>
      </x:c>
      <x:c r="L46" s="26" t="n">
        <x:v>1</x:v>
      </x:c>
      <x:c r="M46" s="26" t="n">
        <x:v>1</x:v>
      </x:c>
      <x:c r="N46" s="26" t="n">
        <x:v>0</x:v>
      </x:c>
      <x:c r="O46" s="26" t="n">
        <x:f>MAX(M46-N46,0)</x:f>
        <x:v>1</x:v>
      </x:c>
      <x:c r="P46" s="38" t="n">
        <x:f>IFERROR(N46/M46,0)</x:f>
        <x:v>0</x:v>
      </x:c>
      <x:c r="Q46" s="26" t="str">
        <x:v>Material/Assets/Equipment</x:v>
      </x:c>
      <x:c r="R46" s="26" t="str">
        <x:v>Electrical Infrastructure</x:v>
      </x:c>
      <x:c r="S46" s="26" t="str">
        <x:v>Medium</x:v>
      </x:c>
      <x:c r="T46" s="26"/>
      <x:c r="U46" s="26"/>
      <x:c r="V46" s="26"/>
      <x:c r="W46" s="32"/>
      <x:c r="X46" s="27" t="b">
        <x:v>1</x:v>
      </x:c>
      <x:c r="Y46" s="34" t="n">
        <x:v>46220.01777777778</x:v>
      </x:c>
      <x:c r="Z46" s="26"/>
      <x:c r="AA46" s="26" t="str">
        <x:v>Mansingh thanda (36701020213)</x:v>
      </x:c>
      <x:c r="AB46" s="26" t="str">
        <x:v>Enriched from Mulugu project JSON</x:v>
      </x:c>
    </x:row>
    <x:row r="47">
      <x:c r="A47" s="26" t="n">
        <x:v>44</x:v>
      </x:c>
      <x:c r="B47" s="26" t="n">
        <x:v>287</x:v>
      </x:c>
      <x:c r="C47" s="26" t="str">
        <x:v>Mulugu</x:v>
      </x:c>
      <x:c r="D47" s="26" t="n">
        <x:v>8670</x:v>
      </x:c>
      <x:c r="E47" s="26" t="str">
        <x:v>PRJ-2026-0008670</x:v>
      </x:c>
      <x:c r="F47" s="26" t="str">
        <x:v>AWC Mansingh thanda</x:v>
      </x:c>
      <x:c r="G47" s="26" t="n">
        <x:v>899</x:v>
      </x:c>
      <x:c r="H47" s="26" t="n">
        <x:v>32253</x:v>
      </x:c>
      <x:c r="I47" s="26" t="str">
        <x:v>Chairs</x:v>
      </x:c>
      <x:c r="J47" s="26" t="str">
        <x:v>Number</x:v>
      </x:c>
      <x:c r="K47" s="26" t="n">
        <x:v>2</x:v>
      </x:c>
      <x:c r="L47" s="26" t="n">
        <x:v>2</x:v>
      </x:c>
      <x:c r="M47" s="26" t="n">
        <x:v>2</x:v>
      </x:c>
      <x:c r="N47" s="26" t="n">
        <x:v>0</x:v>
      </x:c>
      <x:c r="O47" s="26" t="n">
        <x:f>MAX(M47-N47,0)</x:f>
        <x:v>2</x:v>
      </x:c>
      <x:c r="P47" s="38" t="n">
        <x:f>IFERROR(N47/M47,0)</x:f>
        <x:v>0</x:v>
      </x:c>
      <x:c r="Q47" s="26" t="str">
        <x:v>Material/Assets/Equipment</x:v>
      </x:c>
      <x:c r="R47" s="26" t="str">
        <x:v>Office Needs</x:v>
      </x:c>
      <x:c r="S47" s="26" t="str">
        <x:v>Minor</x:v>
      </x:c>
      <x:c r="T47" s="26"/>
      <x:c r="U47" s="26"/>
      <x:c r="V47" s="26"/>
      <x:c r="W47" s="32"/>
      <x:c r="X47" s="27" t="b">
        <x:v>1</x:v>
      </x:c>
      <x:c r="Y47" s="34" t="n">
        <x:v>46220.01777777778</x:v>
      </x:c>
      <x:c r="Z47" s="26"/>
      <x:c r="AA47" s="26" t="str">
        <x:v>Mansingh thanda (36701020213)</x:v>
      </x:c>
      <x:c r="AB47" s="26" t="str">
        <x:v>Enriched from Mulugu project JSON</x:v>
      </x:c>
    </x:row>
    <x:row r="48">
      <x:c r="A48" s="26" t="n">
        <x:v>45</x:v>
      </x:c>
      <x:c r="B48" s="26" t="n">
        <x:v>284</x:v>
      </x:c>
      <x:c r="C48" s="26" t="str">
        <x:v>Mulugu</x:v>
      </x:c>
      <x:c r="D48" s="26" t="n">
        <x:v>10211</x:v>
      </x:c>
      <x:c r="E48" s="26" t="str">
        <x:v>PRJ-2026-0010211</x:v>
      </x:c>
      <x:c r="F48" s="26" t="str">
        <x:v>AWC Chinnagunturpalli -1 </x:v>
      </x:c>
      <x:c r="G48" s="26" t="n">
        <x:v>866</x:v>
      </x:c>
      <x:c r="H48" s="26" t="n">
        <x:v>38905</x:v>
      </x:c>
      <x:c r="I48" s="26" t="str">
        <x:v>Toys</x:v>
      </x:c>
      <x:c r="J48" s="26" t="str">
        <x:v>Number</x:v>
      </x:c>
      <x:c r="K48" s="26" t="n">
        <x:v>10</x:v>
      </x:c>
      <x:c r="L48" s="26" t="n">
        <x:v>10</x:v>
      </x:c>
      <x:c r="M48" s="26" t="n">
        <x:v>10</x:v>
      </x:c>
      <x:c r="N48" s="26" t="n">
        <x:v>0</x:v>
      </x:c>
      <x:c r="O48" s="26" t="n">
        <x:f>MAX(M48-N48,0)</x:f>
        <x:v>10</x:v>
      </x:c>
      <x:c r="P48" s="38" t="n">
        <x:f>IFERROR(N48/M48,0)</x:f>
        <x:v>0</x:v>
      </x:c>
      <x:c r="Q48" s="26" t="str">
        <x:v>Material/Assets/Equipment</x:v>
      </x:c>
      <x:c r="R48" s="26" t="str">
        <x:v>ECCE Equipment</x:v>
      </x:c>
      <x:c r="S48" s="26" t="str">
        <x:v>Minor</x:v>
      </x:c>
      <x:c r="T48" s="26"/>
      <x:c r="U48" s="26"/>
      <x:c r="V48" s="26"/>
      <x:c r="W48" s="32"/>
      <x:c r="X48" s="27" t="b">
        <x:v>1</x:v>
      </x:c>
      <x:c r="Y48" s="34" t="n">
        <x:v>46220.0177662037</x:v>
      </x:c>
      <x:c r="Z48" s="26"/>
      <x:c r="AA48" s="26" t="str">
        <x:v>Chinnagunturpalli -1 (36701020218)</x:v>
      </x:c>
      <x:c r="AB48" s="26" t="str">
        <x:v>Enriched from Mulugu project JSON</x:v>
      </x:c>
    </x:row>
    <x:row r="49">
      <x:c r="A49" s="26" t="n">
        <x:v>46</x:v>
      </x:c>
      <x:c r="B49" s="26" t="n">
        <x:v>284</x:v>
      </x:c>
      <x:c r="C49" s="26" t="str">
        <x:v>Mulugu</x:v>
      </x:c>
      <x:c r="D49" s="26" t="n">
        <x:v>10211</x:v>
      </x:c>
      <x:c r="E49" s="26" t="str">
        <x:v>PRJ-2026-0010211</x:v>
      </x:c>
      <x:c r="F49" s="26" t="str">
        <x:v>AWC Chinnagunturpalli -1 </x:v>
      </x:c>
      <x:c r="G49" s="26" t="n">
        <x:v>867</x:v>
      </x:c>
      <x:c r="H49" s="26" t="n">
        <x:v>38906</x:v>
      </x:c>
      <x:c r="I49" s="26" t="str">
        <x:v>Games</x:v>
      </x:c>
      <x:c r="J49" s="26" t="str">
        <x:v>Number</x:v>
      </x:c>
      <x:c r="K49" s="26" t="n">
        <x:v>10</x:v>
      </x:c>
      <x:c r="L49" s="26" t="n">
        <x:v>10</x:v>
      </x:c>
      <x:c r="M49" s="26" t="n">
        <x:v>10</x:v>
      </x:c>
      <x:c r="N49" s="26" t="n">
        <x:v>0</x:v>
      </x:c>
      <x:c r="O49" s="26" t="n">
        <x:f>MAX(M49-N49,0)</x:f>
        <x:v>10</x:v>
      </x:c>
      <x:c r="P49" s="38" t="n">
        <x:f>IFERROR(N49/M49,0)</x:f>
        <x:v>0</x:v>
      </x:c>
      <x:c r="Q49" s="26" t="str">
        <x:v>Material/Assets/Equipment</x:v>
      </x:c>
      <x:c r="R49" s="26" t="str">
        <x:v>ECCE Equipment</x:v>
      </x:c>
      <x:c r="S49" s="26" t="str">
        <x:v>Minor</x:v>
      </x:c>
      <x:c r="T49" s="26"/>
      <x:c r="U49" s="26"/>
      <x:c r="V49" s="26"/>
      <x:c r="W49" s="32"/>
      <x:c r="X49" s="27" t="b">
        <x:v>1</x:v>
      </x:c>
      <x:c r="Y49" s="34" t="n">
        <x:v>46220.0177662037</x:v>
      </x:c>
      <x:c r="Z49" s="26"/>
      <x:c r="AA49" s="26" t="str">
        <x:v>Chinnagunturpalli -1 (36701020218)</x:v>
      </x:c>
      <x:c r="AB49" s="26" t="str">
        <x:v>Enriched from Mulugu project JSON</x:v>
      </x:c>
    </x:row>
    <x:row r="50">
      <x:c r="A50" s="26" t="n">
        <x:v>47</x:v>
      </x:c>
      <x:c r="B50" s="26" t="n">
        <x:v>284</x:v>
      </x:c>
      <x:c r="C50" s="26" t="str">
        <x:v>Mulugu</x:v>
      </x:c>
      <x:c r="D50" s="26" t="n">
        <x:v>10211</x:v>
      </x:c>
      <x:c r="E50" s="26" t="str">
        <x:v>PRJ-2026-0010211</x:v>
      </x:c>
      <x:c r="F50" s="26" t="str">
        <x:v>AWC Chinnagunturpalli -1 </x:v>
      </x:c>
      <x:c r="G50" s="26" t="n">
        <x:v>868</x:v>
      </x:c>
      <x:c r="H50" s="26" t="n">
        <x:v>38907</x:v>
      </x:c>
      <x:c r="I50" s="26" t="str">
        <x:v>Swing sets</x:v>
      </x:c>
      <x:c r="J50" s="26" t="str">
        <x:v>Number</x:v>
      </x:c>
      <x:c r="K50" s="26" t="n">
        <x:v>2</x:v>
      </x:c>
      <x:c r="L50" s="26" t="n">
        <x:v>2</x:v>
      </x:c>
      <x:c r="M50" s="26" t="n">
        <x:v>2</x:v>
      </x:c>
      <x:c r="N50" s="26" t="n">
        <x:v>0</x:v>
      </x:c>
      <x:c r="O50" s="26" t="n">
        <x:f>MAX(M50-N50,0)</x:f>
        <x:v>2</x:v>
      </x:c>
      <x:c r="P50" s="38" t="n">
        <x:f>IFERROR(N50/M50,0)</x:f>
        <x:v>0</x:v>
      </x:c>
      <x:c r="Q50" s="26" t="str">
        <x:v>Material/Assets/Equipment</x:v>
      </x:c>
      <x:c r="R50" s="26" t="str">
        <x:v>ECCE Equipment</x:v>
      </x:c>
      <x:c r="S50" s="26" t="str">
        <x:v>Minor</x:v>
      </x:c>
      <x:c r="T50" s="26"/>
      <x:c r="U50" s="26"/>
      <x:c r="V50" s="26"/>
      <x:c r="W50" s="32"/>
      <x:c r="X50" s="27" t="b">
        <x:v>1</x:v>
      </x:c>
      <x:c r="Y50" s="34" t="n">
        <x:v>46220.0177662037</x:v>
      </x:c>
      <x:c r="Z50" s="26"/>
      <x:c r="AA50" s="26" t="str">
        <x:v>Chinnagunturpalli -1 (36701020218)</x:v>
      </x:c>
      <x:c r="AB50" s="26" t="str">
        <x:v>Enriched from Mulugu project JSON</x:v>
      </x:c>
    </x:row>
    <x:row r="51">
      <x:c r="A51" s="26" t="n">
        <x:v>48</x:v>
      </x:c>
      <x:c r="B51" s="26" t="n">
        <x:v>284</x:v>
      </x:c>
      <x:c r="C51" s="26" t="str">
        <x:v>Mulugu</x:v>
      </x:c>
      <x:c r="D51" s="26" t="n">
        <x:v>10211</x:v>
      </x:c>
      <x:c r="E51" s="26" t="str">
        <x:v>PRJ-2026-0010211</x:v>
      </x:c>
      <x:c r="F51" s="26" t="str">
        <x:v>AWC Chinnagunturpalli -1 </x:v>
      </x:c>
      <x:c r="G51" s="26" t="n">
        <x:v>869</x:v>
      </x:c>
      <x:c r="H51" s="26" t="n">
        <x:v>38908</x:v>
      </x:c>
      <x:c r="I51" s="26" t="str">
        <x:v>Chairs/Benches</x:v>
      </x:c>
      <x:c r="J51" s="26" t="str">
        <x:v>Number</x:v>
      </x:c>
      <x:c r="K51" s="26" t="n">
        <x:v>10</x:v>
      </x:c>
      <x:c r="L51" s="26" t="n">
        <x:v>10</x:v>
      </x:c>
      <x:c r="M51" s="26" t="n">
        <x:v>10</x:v>
      </x:c>
      <x:c r="N51" s="26" t="n">
        <x:v>0</x:v>
      </x:c>
      <x:c r="O51" s="26" t="n">
        <x:f>MAX(M51-N51,0)</x:f>
        <x:v>10</x:v>
      </x:c>
      <x:c r="P51" s="38" t="n">
        <x:f>IFERROR(N51/M51,0)</x:f>
        <x:v>0</x:v>
      </x:c>
      <x:c r="Q51" s="26" t="str">
        <x:v>Material/Assets/Equipment</x:v>
      </x:c>
      <x:c r="R51" s="26" t="str">
        <x:v>Educational Needs</x:v>
      </x:c>
      <x:c r="S51" s="26" t="str">
        <x:v>Minor</x:v>
      </x:c>
      <x:c r="T51" s="26"/>
      <x:c r="U51" s="26"/>
      <x:c r="V51" s="26"/>
      <x:c r="W51" s="32"/>
      <x:c r="X51" s="27" t="b">
        <x:v>1</x:v>
      </x:c>
      <x:c r="Y51" s="34" t="n">
        <x:v>46220.0177662037</x:v>
      </x:c>
      <x:c r="Z51" s="26"/>
      <x:c r="AA51" s="26" t="str">
        <x:v>Chinnagunturpalli -1 (36701020218)</x:v>
      </x:c>
      <x:c r="AB51" s="26" t="str">
        <x:v>Enriched from Mulugu project JSON</x:v>
      </x:c>
    </x:row>
    <x:row r="52">
      <x:c r="A52" s="26" t="n">
        <x:v>49</x:v>
      </x:c>
      <x:c r="B52" s="26" t="n">
        <x:v>284</x:v>
      </x:c>
      <x:c r="C52" s="26" t="str">
        <x:v>Mulugu</x:v>
      </x:c>
      <x:c r="D52" s="26" t="n">
        <x:v>10211</x:v>
      </x:c>
      <x:c r="E52" s="26" t="str">
        <x:v>PRJ-2026-0010211</x:v>
      </x:c>
      <x:c r="F52" s="26" t="str">
        <x:v>AWC Chinnagunturpalli -1 </x:v>
      </x:c>
      <x:c r="G52" s="26" t="n">
        <x:v>870</x:v>
      </x:c>
      <x:c r="H52" s="26" t="n">
        <x:v>38909</x:v>
      </x:c>
      <x:c r="I52" s="26" t="str">
        <x:v>Tube Lights</x:v>
      </x:c>
      <x:c r="J52" s="26" t="str">
        <x:v>Number</x:v>
      </x:c>
      <x:c r="K52" s="26" t="n">
        <x:v>2</x:v>
      </x:c>
      <x:c r="L52" s="26" t="n">
        <x:v>2</x:v>
      </x:c>
      <x:c r="M52" s="26" t="n">
        <x:v>2</x:v>
      </x:c>
      <x:c r="N52" s="26" t="n">
        <x:v>0</x:v>
      </x:c>
      <x:c r="O52" s="26" t="n">
        <x:f>MAX(M52-N52,0)</x:f>
        <x:v>2</x:v>
      </x:c>
      <x:c r="P52" s="38" t="n">
        <x:f>IFERROR(N52/M52,0)</x:f>
        <x:v>0</x:v>
      </x:c>
      <x:c r="Q52" s="26" t="str">
        <x:v>Material/Assets/Equipment</x:v>
      </x:c>
      <x:c r="R52" s="26" t="str">
        <x:v>Electrical Infrastructure</x:v>
      </x:c>
      <x:c r="S52" s="26" t="str">
        <x:v>Medium</x:v>
      </x:c>
      <x:c r="T52" s="26"/>
      <x:c r="U52" s="26"/>
      <x:c r="V52" s="26"/>
      <x:c r="W52" s="32"/>
      <x:c r="X52" s="27" t="b">
        <x:v>1</x:v>
      </x:c>
      <x:c r="Y52" s="34" t="n">
        <x:v>46220.0177662037</x:v>
      </x:c>
      <x:c r="Z52" s="26"/>
      <x:c r="AA52" s="26" t="str">
        <x:v>Chinnagunturpalli -1 (36701020218)</x:v>
      </x:c>
      <x:c r="AB52" s="26" t="str">
        <x:v>Enriched from Mulugu project JSON</x:v>
      </x:c>
    </x:row>
    <x:row r="53">
      <x:c r="A53" s="26" t="n">
        <x:v>50</x:v>
      </x:c>
      <x:c r="B53" s="26" t="n">
        <x:v>284</x:v>
      </x:c>
      <x:c r="C53" s="26" t="str">
        <x:v>Mulugu</x:v>
      </x:c>
      <x:c r="D53" s="26" t="n">
        <x:v>10211</x:v>
      </x:c>
      <x:c r="E53" s="26" t="str">
        <x:v>PRJ-2026-0010211</x:v>
      </x:c>
      <x:c r="F53" s="26" t="str">
        <x:v>AWC Chinnagunturpalli -1 </x:v>
      </x:c>
      <x:c r="G53" s="26" t="n">
        <x:v>871</x:v>
      </x:c>
      <x:c r="H53" s="26" t="n">
        <x:v>38910</x:v>
      </x:c>
      <x:c r="I53" s="26" t="str">
        <x:v>Cooking Equipments</x:v>
      </x:c>
      <x:c r="J53" s="26" t="str">
        <x:v>Number</x:v>
      </x:c>
      <x:c r="K53" s="26" t="n">
        <x:v>1</x:v>
      </x:c>
      <x:c r="L53" s="26" t="n">
        <x:v>1</x:v>
      </x:c>
      <x:c r="M53" s="26" t="n">
        <x:v>1</x:v>
      </x:c>
      <x:c r="N53" s="26" t="n">
        <x:v>0</x:v>
      </x:c>
      <x:c r="O53" s="26" t="n">
        <x:f>MAX(M53-N53,0)</x:f>
        <x:v>1</x:v>
      </x:c>
      <x:c r="P53" s="38" t="n">
        <x:f>IFERROR(N53/M53,0)</x:f>
        <x:v>0</x:v>
      </x:c>
      <x:c r="Q53" s="26" t="str">
        <x:v>Material/Assets/Equipment</x:v>
      </x:c>
      <x:c r="R53" s="26" t="str">
        <x:v>Electrical Infrastructure</x:v>
      </x:c>
      <x:c r="S53" s="26" t="str">
        <x:v>Medium</x:v>
      </x:c>
      <x:c r="T53" s="26"/>
      <x:c r="U53" s="26"/>
      <x:c r="V53" s="26"/>
      <x:c r="W53" s="32"/>
      <x:c r="X53" s="27" t="b">
        <x:v>1</x:v>
      </x:c>
      <x:c r="Y53" s="34" t="n">
        <x:v>46220.0177662037</x:v>
      </x:c>
      <x:c r="Z53" s="26"/>
      <x:c r="AA53" s="26" t="str">
        <x:v>Chinnagunturpalli -1 (36701020218)</x:v>
      </x:c>
      <x:c r="AB53" s="26" t="str">
        <x:v>Enriched from Mulugu project JSON</x:v>
      </x:c>
    </x:row>
    <x:row r="54">
      <x:c r="A54" s="26" t="n">
        <x:v>51</x:v>
      </x:c>
      <x:c r="B54" s="26" t="n">
        <x:v>284</x:v>
      </x:c>
      <x:c r="C54" s="26" t="str">
        <x:v>Mulugu</x:v>
      </x:c>
      <x:c r="D54" s="26" t="n">
        <x:v>10211</x:v>
      </x:c>
      <x:c r="E54" s="26" t="str">
        <x:v>PRJ-2026-0010211</x:v>
      </x:c>
      <x:c r="F54" s="26" t="str">
        <x:v>AWC Chinnagunturpalli -1 </x:v>
      </x:c>
      <x:c r="G54" s="26" t="n">
        <x:v>872</x:v>
      </x:c>
      <x:c r="H54" s="26" t="n">
        <x:v>38911</x:v>
      </x:c>
      <x:c r="I54" s="26" t="str">
        <x:v>Solar Panel</x:v>
      </x:c>
      <x:c r="J54" s="26" t="str">
        <x:v>Number</x:v>
      </x:c>
      <x:c r="K54" s="26" t="n">
        <x:v>1</x:v>
      </x:c>
      <x:c r="L54" s="26" t="n">
        <x:v>1</x:v>
      </x:c>
      <x:c r="M54" s="26" t="n">
        <x:v>1</x:v>
      </x:c>
      <x:c r="N54" s="26" t="n">
        <x:v>0</x:v>
      </x:c>
      <x:c r="O54" s="26" t="n">
        <x:f>MAX(M54-N54,0)</x:f>
        <x:v>1</x:v>
      </x:c>
      <x:c r="P54" s="38" t="n">
        <x:f>IFERROR(N54/M54,0)</x:f>
        <x:v>0</x:v>
      </x:c>
      <x:c r="Q54" s="26" t="str">
        <x:v>Material/Assets/Equipment</x:v>
      </x:c>
      <x:c r="R54" s="26" t="str">
        <x:v>Electrical Infrastructure</x:v>
      </x:c>
      <x:c r="S54" s="26" t="str">
        <x:v>Medium</x:v>
      </x:c>
      <x:c r="T54" s="26"/>
      <x:c r="U54" s="26"/>
      <x:c r="V54" s="26"/>
      <x:c r="W54" s="32"/>
      <x:c r="X54" s="27" t="b">
        <x:v>1</x:v>
      </x:c>
      <x:c r="Y54" s="34" t="n">
        <x:v>46220.0177662037</x:v>
      </x:c>
      <x:c r="Z54" s="26"/>
      <x:c r="AA54" s="26" t="str">
        <x:v>Chinnagunturpalli -1 (36701020218)</x:v>
      </x:c>
      <x:c r="AB54" s="26" t="str">
        <x:v>Enriched from Mulugu project JSON</x:v>
      </x:c>
    </x:row>
    <x:row r="55">
      <x:c r="A55" s="26" t="n">
        <x:v>52</x:v>
      </x:c>
      <x:c r="B55" s="26" t="n">
        <x:v>284</x:v>
      </x:c>
      <x:c r="C55" s="26" t="str">
        <x:v>Mulugu</x:v>
      </x:c>
      <x:c r="D55" s="26" t="n">
        <x:v>10211</x:v>
      </x:c>
      <x:c r="E55" s="26" t="str">
        <x:v>PRJ-2026-0010211</x:v>
      </x:c>
      <x:c r="F55" s="26" t="str">
        <x:v>AWC Chinnagunturpalli -1 </x:v>
      </x:c>
      <x:c r="G55" s="26" t="n">
        <x:v>873</x:v>
      </x:c>
      <x:c r="H55" s="26" t="n">
        <x:v>38912</x:v>
      </x:c>
      <x:c r="I55" s="26" t="str">
        <x:v>Water Purifier</x:v>
      </x:c>
      <x:c r="J55" s="26" t="str">
        <x:v>Number</x:v>
      </x:c>
      <x:c r="K55" s="26" t="n">
        <x:v>1</x:v>
      </x:c>
      <x:c r="L55" s="26" t="n">
        <x:v>1</x:v>
      </x:c>
      <x:c r="M55" s="26" t="n">
        <x:v>1</x:v>
      </x:c>
      <x:c r="N55" s="26" t="n">
        <x:v>0</x:v>
      </x:c>
      <x:c r="O55" s="26" t="n">
        <x:f>MAX(M55-N55,0)</x:f>
        <x:v>1</x:v>
      </x:c>
      <x:c r="P55" s="38" t="n">
        <x:f>IFERROR(N55/M55,0)</x:f>
        <x:v>0</x:v>
      </x:c>
      <x:c r="Q55" s="26" t="str">
        <x:v>Material/Assets/Equipment</x:v>
      </x:c>
      <x:c r="R55" s="26" t="str">
        <x:v>Health and Safety aids</x:v>
      </x:c>
      <x:c r="S55" s="26" t="str">
        <x:v>Minor</x:v>
      </x:c>
      <x:c r="T55" s="26"/>
      <x:c r="U55" s="26"/>
      <x:c r="V55" s="26"/>
      <x:c r="W55" s="32"/>
      <x:c r="X55" s="27" t="b">
        <x:v>1</x:v>
      </x:c>
      <x:c r="Y55" s="34" t="n">
        <x:v>46220.0177662037</x:v>
      </x:c>
      <x:c r="Z55" s="26"/>
      <x:c r="AA55" s="26" t="str">
        <x:v>Chinnagunturpalli -1 (36701020218)</x:v>
      </x:c>
      <x:c r="AB55" s="26" t="str">
        <x:v>Enriched from Mulugu project JSON</x:v>
      </x:c>
    </x:row>
    <x:row r="56">
      <x:c r="A56" s="26" t="n">
        <x:v>53</x:v>
      </x:c>
      <x:c r="B56" s="26" t="n">
        <x:v>284</x:v>
      </x:c>
      <x:c r="C56" s="26" t="str">
        <x:v>Mulugu</x:v>
      </x:c>
      <x:c r="D56" s="26" t="n">
        <x:v>10211</x:v>
      </x:c>
      <x:c r="E56" s="26" t="str">
        <x:v>PRJ-2026-0010211</x:v>
      </x:c>
      <x:c r="F56" s="26" t="str">
        <x:v>AWC Chinnagunturpalli -1 </x:v>
      </x:c>
      <x:c r="G56" s="26" t="n">
        <x:v>874</x:v>
      </x:c>
      <x:c r="H56" s="26" t="n">
        <x:v>38913</x:v>
      </x:c>
      <x:c r="I56" s="26" t="str">
        <x:v>Chairs</x:v>
      </x:c>
      <x:c r="J56" s="26" t="str">
        <x:v>Number</x:v>
      </x:c>
      <x:c r="K56" s="26" t="n">
        <x:v>3</x:v>
      </x:c>
      <x:c r="L56" s="26" t="n">
        <x:v>3</x:v>
      </x:c>
      <x:c r="M56" s="26" t="n">
        <x:v>3</x:v>
      </x:c>
      <x:c r="N56" s="26" t="n">
        <x:v>0</x:v>
      </x:c>
      <x:c r="O56" s="26" t="n">
        <x:f>MAX(M56-N56,0)</x:f>
        <x:v>3</x:v>
      </x:c>
      <x:c r="P56" s="38" t="n">
        <x:f>IFERROR(N56/M56,0)</x:f>
        <x:v>0</x:v>
      </x:c>
      <x:c r="Q56" s="26" t="str">
        <x:v>Material/Assets/Equipment</x:v>
      </x:c>
      <x:c r="R56" s="26" t="str">
        <x:v>Office Needs</x:v>
      </x:c>
      <x:c r="S56" s="26" t="str">
        <x:v>Minor</x:v>
      </x:c>
      <x:c r="T56" s="26"/>
      <x:c r="U56" s="26"/>
      <x:c r="V56" s="26"/>
      <x:c r="W56" s="32"/>
      <x:c r="X56" s="27" t="b">
        <x:v>1</x:v>
      </x:c>
      <x:c r="Y56" s="34" t="n">
        <x:v>46220.0177662037</x:v>
      </x:c>
      <x:c r="Z56" s="26"/>
      <x:c r="AA56" s="26" t="str">
        <x:v>Chinnagunturpalli -1 (36701020218)</x:v>
      </x:c>
      <x:c r="AB56" s="26" t="str">
        <x:v>Enriched from Mulugu project JSON</x:v>
      </x:c>
    </x:row>
    <x:row r="57">
      <x:c r="A57" s="26" t="n">
        <x:v>54</x:v>
      </x:c>
      <x:c r="B57" s="26" t="n">
        <x:v>285</x:v>
      </x:c>
      <x:c r="C57" s="26" t="str">
        <x:v>Mulugu</x:v>
      </x:c>
      <x:c r="D57" s="26" t="n">
        <x:v>9008</x:v>
      </x:c>
      <x:c r="E57" s="26" t="str">
        <x:v>PRJ-2026-0009008</x:v>
      </x:c>
      <x:c r="F57" s="26" t="str">
        <x:v>AWC Pandikunta - II</x:v>
      </x:c>
      <x:c r="G57" s="26" t="n">
        <x:v>875</x:v>
      </x:c>
      <x:c r="H57" s="26" t="n">
        <x:v>33717</x:v>
      </x:c>
      <x:c r="I57" s="26" t="str">
        <x:v>Toys</x:v>
      </x:c>
      <x:c r="J57" s="26" t="str">
        <x:v>Number</x:v>
      </x:c>
      <x:c r="K57" s="26" t="n">
        <x:v>10</x:v>
      </x:c>
      <x:c r="L57" s="26" t="n">
        <x:v>10</x:v>
      </x:c>
      <x:c r="M57" s="26" t="n">
        <x:v>10</x:v>
      </x:c>
      <x:c r="N57" s="26" t="n">
        <x:v>0</x:v>
      </x:c>
      <x:c r="O57" s="26" t="n">
        <x:f>MAX(M57-N57,0)</x:f>
        <x:v>10</x:v>
      </x:c>
      <x:c r="P57" s="38" t="n">
        <x:f>IFERROR(N57/M57,0)</x:f>
        <x:v>0</x:v>
      </x:c>
      <x:c r="Q57" s="26" t="str">
        <x:v>Material/Assets/Equipment</x:v>
      </x:c>
      <x:c r="R57" s="26" t="str">
        <x:v>ECCE Equipment</x:v>
      </x:c>
      <x:c r="S57" s="26" t="str">
        <x:v>Minor</x:v>
      </x:c>
      <x:c r="T57" s="26"/>
      <x:c r="U57" s="26"/>
      <x:c r="V57" s="26"/>
      <x:c r="W57" s="32"/>
      <x:c r="X57" s="27" t="b">
        <x:v>1</x:v>
      </x:c>
      <x:c r="Y57" s="34" t="n">
        <x:v>46220.0177662037</x:v>
      </x:c>
      <x:c r="Z57" s="26"/>
      <x:c r="AA57" s="26" t="str">
        <x:v>Pandikunta - II (36701020210)</x:v>
      </x:c>
      <x:c r="AB57" s="26" t="str">
        <x:v>Enriched from Mulugu project JSON</x:v>
      </x:c>
    </x:row>
    <x:row r="58">
      <x:c r="A58" s="26" t="n">
        <x:v>55</x:v>
      </x:c>
      <x:c r="B58" s="26" t="n">
        <x:v>285</x:v>
      </x:c>
      <x:c r="C58" s="26" t="str">
        <x:v>Mulugu</x:v>
      </x:c>
      <x:c r="D58" s="26" t="n">
        <x:v>9008</x:v>
      </x:c>
      <x:c r="E58" s="26" t="str">
        <x:v>PRJ-2026-0009008</x:v>
      </x:c>
      <x:c r="F58" s="26" t="str">
        <x:v>AWC Pandikunta - II</x:v>
      </x:c>
      <x:c r="G58" s="26" t="n">
        <x:v>876</x:v>
      </x:c>
      <x:c r="H58" s="26" t="n">
        <x:v>33718</x:v>
      </x:c>
      <x:c r="I58" s="26" t="str">
        <x:v>Swing sets</x:v>
      </x:c>
      <x:c r="J58" s="26" t="str">
        <x:v>Number</x:v>
      </x:c>
      <x:c r="K58" s="26" t="n">
        <x:v>2</x:v>
      </x:c>
      <x:c r="L58" s="26" t="n">
        <x:v>2</x:v>
      </x:c>
      <x:c r="M58" s="26" t="n">
        <x:v>2</x:v>
      </x:c>
      <x:c r="N58" s="26" t="n">
        <x:v>0</x:v>
      </x:c>
      <x:c r="O58" s="26" t="n">
        <x:f>MAX(M58-N58,0)</x:f>
        <x:v>2</x:v>
      </x:c>
      <x:c r="P58" s="38" t="n">
        <x:f>IFERROR(N58/M58,0)</x:f>
        <x:v>0</x:v>
      </x:c>
      <x:c r="Q58" s="26" t="str">
        <x:v>Material/Assets/Equipment</x:v>
      </x:c>
      <x:c r="R58" s="26" t="str">
        <x:v>ECCE Equipment</x:v>
      </x:c>
      <x:c r="S58" s="26" t="str">
        <x:v>Minor</x:v>
      </x:c>
      <x:c r="T58" s="26"/>
      <x:c r="U58" s="26"/>
      <x:c r="V58" s="26"/>
      <x:c r="W58" s="32"/>
      <x:c r="X58" s="27" t="b">
        <x:v>1</x:v>
      </x:c>
      <x:c r="Y58" s="34" t="n">
        <x:v>46220.0177662037</x:v>
      </x:c>
      <x:c r="Z58" s="26"/>
      <x:c r="AA58" s="26" t="str">
        <x:v>Pandikunta - II (36701020210)</x:v>
      </x:c>
      <x:c r="AB58" s="26" t="str">
        <x:v>Enriched from Mulugu project JSON</x:v>
      </x:c>
    </x:row>
    <x:row r="59">
      <x:c r="A59" s="26" t="n">
        <x:v>56</x:v>
      </x:c>
      <x:c r="B59" s="26" t="n">
        <x:v>285</x:v>
      </x:c>
      <x:c r="C59" s="26" t="str">
        <x:v>Mulugu</x:v>
      </x:c>
      <x:c r="D59" s="26" t="n">
        <x:v>9008</x:v>
      </x:c>
      <x:c r="E59" s="26" t="str">
        <x:v>PRJ-2026-0009008</x:v>
      </x:c>
      <x:c r="F59" s="26" t="str">
        <x:v>AWC Pandikunta - II</x:v>
      </x:c>
      <x:c r="G59" s="26" t="n">
        <x:v>877</x:v>
      </x:c>
      <x:c r="H59" s="26" t="n">
        <x:v>33719</x:v>
      </x:c>
      <x:c r="I59" s="26" t="str">
        <x:v>Games</x:v>
      </x:c>
      <x:c r="J59" s="26" t="str">
        <x:v>Number</x:v>
      </x:c>
      <x:c r="K59" s="26" t="n">
        <x:v>10</x:v>
      </x:c>
      <x:c r="L59" s="26" t="n">
        <x:v>10</x:v>
      </x:c>
      <x:c r="M59" s="26" t="n">
        <x:v>10</x:v>
      </x:c>
      <x:c r="N59" s="26" t="n">
        <x:v>0</x:v>
      </x:c>
      <x:c r="O59" s="26" t="n">
        <x:f>MAX(M59-N59,0)</x:f>
        <x:v>10</x:v>
      </x:c>
      <x:c r="P59" s="38" t="n">
        <x:f>IFERROR(N59/M59,0)</x:f>
        <x:v>0</x:v>
      </x:c>
      <x:c r="Q59" s="26" t="str">
        <x:v>Material/Assets/Equipment</x:v>
      </x:c>
      <x:c r="R59" s="26" t="str">
        <x:v>ECCE Equipment</x:v>
      </x:c>
      <x:c r="S59" s="26" t="str">
        <x:v>Minor</x:v>
      </x:c>
      <x:c r="T59" s="26"/>
      <x:c r="U59" s="26"/>
      <x:c r="V59" s="26"/>
      <x:c r="W59" s="32"/>
      <x:c r="X59" s="27" t="b">
        <x:v>1</x:v>
      </x:c>
      <x:c r="Y59" s="34" t="n">
        <x:v>46220.0177662037</x:v>
      </x:c>
      <x:c r="Z59" s="26"/>
      <x:c r="AA59" s="26" t="str">
        <x:v>Pandikunta - II (36701020210)</x:v>
      </x:c>
      <x:c r="AB59" s="26" t="str">
        <x:v>Enriched from Mulugu project JSON</x:v>
      </x:c>
    </x:row>
    <x:row r="60">
      <x:c r="A60" s="26" t="n">
        <x:v>57</x:v>
      </x:c>
      <x:c r="B60" s="26" t="n">
        <x:v>285</x:v>
      </x:c>
      <x:c r="C60" s="26" t="str">
        <x:v>Mulugu</x:v>
      </x:c>
      <x:c r="D60" s="26" t="n">
        <x:v>9008</x:v>
      </x:c>
      <x:c r="E60" s="26" t="str">
        <x:v>PRJ-2026-0009008</x:v>
      </x:c>
      <x:c r="F60" s="26" t="str">
        <x:v>AWC Pandikunta - II</x:v>
      </x:c>
      <x:c r="G60" s="26" t="n">
        <x:v>878</x:v>
      </x:c>
      <x:c r="H60" s="26" t="n">
        <x:v>33720</x:v>
      </x:c>
      <x:c r="I60" s="26" t="str">
        <x:v>Chairs/Benches</x:v>
      </x:c>
      <x:c r="J60" s="26" t="str">
        <x:v>Number</x:v>
      </x:c>
      <x:c r="K60" s="26" t="n">
        <x:v>15</x:v>
      </x:c>
      <x:c r="L60" s="26" t="n">
        <x:v>15</x:v>
      </x:c>
      <x:c r="M60" s="26" t="n">
        <x:v>15</x:v>
      </x:c>
      <x:c r="N60" s="26" t="n">
        <x:v>0</x:v>
      </x:c>
      <x:c r="O60" s="26" t="n">
        <x:f>MAX(M60-N60,0)</x:f>
        <x:v>15</x:v>
      </x:c>
      <x:c r="P60" s="38" t="n">
        <x:f>IFERROR(N60/M60,0)</x:f>
        <x:v>0</x:v>
      </x:c>
      <x:c r="Q60" s="26" t="str">
        <x:v>Material/Assets/Equipment</x:v>
      </x:c>
      <x:c r="R60" s="26" t="str">
        <x:v>Educational Needs</x:v>
      </x:c>
      <x:c r="S60" s="26" t="str">
        <x:v>Minor</x:v>
      </x:c>
      <x:c r="T60" s="26"/>
      <x:c r="U60" s="26"/>
      <x:c r="V60" s="26"/>
      <x:c r="W60" s="32"/>
      <x:c r="X60" s="27" t="b">
        <x:v>1</x:v>
      </x:c>
      <x:c r="Y60" s="34" t="n">
        <x:v>46220.0177662037</x:v>
      </x:c>
      <x:c r="Z60" s="26"/>
      <x:c r="AA60" s="26" t="str">
        <x:v>Pandikunta - II (36701020210)</x:v>
      </x:c>
      <x:c r="AB60" s="26" t="str">
        <x:v>Enriched from Mulugu project JSON</x:v>
      </x:c>
    </x:row>
    <x:row r="61">
      <x:c r="A61" s="26" t="n">
        <x:v>58</x:v>
      </x:c>
      <x:c r="B61" s="26" t="n">
        <x:v>285</x:v>
      </x:c>
      <x:c r="C61" s="26" t="str">
        <x:v>Mulugu</x:v>
      </x:c>
      <x:c r="D61" s="26" t="n">
        <x:v>9008</x:v>
      </x:c>
      <x:c r="E61" s="26" t="str">
        <x:v>PRJ-2026-0009008</x:v>
      </x:c>
      <x:c r="F61" s="26" t="str">
        <x:v>AWC Pandikunta - II</x:v>
      </x:c>
      <x:c r="G61" s="26" t="n">
        <x:v>879</x:v>
      </x:c>
      <x:c r="H61" s="26" t="n">
        <x:v>33721</x:v>
      </x:c>
      <x:c r="I61" s="26" t="str">
        <x:v>Tube Lights</x:v>
      </x:c>
      <x:c r="J61" s="26" t="str">
        <x:v>Number</x:v>
      </x:c>
      <x:c r="K61" s="26" t="n">
        <x:v>2</x:v>
      </x:c>
      <x:c r="L61" s="26" t="n">
        <x:v>2</x:v>
      </x:c>
      <x:c r="M61" s="26" t="n">
        <x:v>2</x:v>
      </x:c>
      <x:c r="N61" s="26" t="n">
        <x:v>0</x:v>
      </x:c>
      <x:c r="O61" s="26" t="n">
        <x:f>MAX(M61-N61,0)</x:f>
        <x:v>2</x:v>
      </x:c>
      <x:c r="P61" s="38" t="n">
        <x:f>IFERROR(N61/M61,0)</x:f>
        <x:v>0</x:v>
      </x:c>
      <x:c r="Q61" s="26" t="str">
        <x:v>Material/Assets/Equipment</x:v>
      </x:c>
      <x:c r="R61" s="26" t="str">
        <x:v>Electrical Infrastructure</x:v>
      </x:c>
      <x:c r="S61" s="26" t="str">
        <x:v>Medium</x:v>
      </x:c>
      <x:c r="T61" s="26"/>
      <x:c r="U61" s="26"/>
      <x:c r="V61" s="26"/>
      <x:c r="W61" s="32"/>
      <x:c r="X61" s="27" t="b">
        <x:v>1</x:v>
      </x:c>
      <x:c r="Y61" s="34" t="n">
        <x:v>46220.0177662037</x:v>
      </x:c>
      <x:c r="Z61" s="26"/>
      <x:c r="AA61" s="26" t="str">
        <x:v>Pandikunta - II (36701020210)</x:v>
      </x:c>
      <x:c r="AB61" s="26" t="str">
        <x:v>Enriched from Mulugu project JSON</x:v>
      </x:c>
    </x:row>
    <x:row r="62">
      <x:c r="A62" s="26" t="n">
        <x:v>59</x:v>
      </x:c>
      <x:c r="B62" s="26" t="n">
        <x:v>285</x:v>
      </x:c>
      <x:c r="C62" s="26" t="str">
        <x:v>Mulugu</x:v>
      </x:c>
      <x:c r="D62" s="26" t="n">
        <x:v>9008</x:v>
      </x:c>
      <x:c r="E62" s="26" t="str">
        <x:v>PRJ-2026-0009008</x:v>
      </x:c>
      <x:c r="F62" s="26" t="str">
        <x:v>AWC Pandikunta - II</x:v>
      </x:c>
      <x:c r="G62" s="26" t="n">
        <x:v>880</x:v>
      </x:c>
      <x:c r="H62" s="26" t="n">
        <x:v>33722</x:v>
      </x:c>
      <x:c r="I62" s="26" t="str">
        <x:v>Solar Panel</x:v>
      </x:c>
      <x:c r="J62" s="26" t="str">
        <x:v>Number</x:v>
      </x:c>
      <x:c r="K62" s="26" t="n">
        <x:v>1</x:v>
      </x:c>
      <x:c r="L62" s="26" t="n">
        <x:v>1</x:v>
      </x:c>
      <x:c r="M62" s="26" t="n">
        <x:v>1</x:v>
      </x:c>
      <x:c r="N62" s="26" t="n">
        <x:v>0</x:v>
      </x:c>
      <x:c r="O62" s="26" t="n">
        <x:f>MAX(M62-N62,0)</x:f>
        <x:v>1</x:v>
      </x:c>
      <x:c r="P62" s="38" t="n">
        <x:f>IFERROR(N62/M62,0)</x:f>
        <x:v>0</x:v>
      </x:c>
      <x:c r="Q62" s="26" t="str">
        <x:v>Material/Assets/Equipment</x:v>
      </x:c>
      <x:c r="R62" s="26" t="str">
        <x:v>Electrical Infrastructure</x:v>
      </x:c>
      <x:c r="S62" s="26" t="str">
        <x:v>Medium</x:v>
      </x:c>
      <x:c r="T62" s="26"/>
      <x:c r="U62" s="26"/>
      <x:c r="V62" s="26"/>
      <x:c r="W62" s="32"/>
      <x:c r="X62" s="27" t="b">
        <x:v>1</x:v>
      </x:c>
      <x:c r="Y62" s="34" t="n">
        <x:v>46220.0177662037</x:v>
      </x:c>
      <x:c r="Z62" s="26"/>
      <x:c r="AA62" s="26" t="str">
        <x:v>Pandikunta - II (36701020210)</x:v>
      </x:c>
      <x:c r="AB62" s="26" t="str">
        <x:v>Enriched from Mulugu project JSON</x:v>
      </x:c>
    </x:row>
    <x:row r="63">
      <x:c r="A63" s="26" t="n">
        <x:v>60</x:v>
      </x:c>
      <x:c r="B63" s="26" t="n">
        <x:v>285</x:v>
      </x:c>
      <x:c r="C63" s="26" t="str">
        <x:v>Mulugu</x:v>
      </x:c>
      <x:c r="D63" s="26" t="n">
        <x:v>9008</x:v>
      </x:c>
      <x:c r="E63" s="26" t="str">
        <x:v>PRJ-2026-0009008</x:v>
      </x:c>
      <x:c r="F63" s="26" t="str">
        <x:v>AWC Pandikunta - II</x:v>
      </x:c>
      <x:c r="G63" s="26" t="n">
        <x:v>881</x:v>
      </x:c>
      <x:c r="H63" s="26" t="n">
        <x:v>33723</x:v>
      </x:c>
      <x:c r="I63" s="26" t="str">
        <x:v>Water Purifier</x:v>
      </x:c>
      <x:c r="J63" s="26" t="str">
        <x:v>Number</x:v>
      </x:c>
      <x:c r="K63" s="26" t="n">
        <x:v>1</x:v>
      </x:c>
      <x:c r="L63" s="26" t="n">
        <x:v>1</x:v>
      </x:c>
      <x:c r="M63" s="26" t="n">
        <x:v>1</x:v>
      </x:c>
      <x:c r="N63" s="26" t="n">
        <x:v>0</x:v>
      </x:c>
      <x:c r="O63" s="26" t="n">
        <x:f>MAX(M63-N63,0)</x:f>
        <x:v>1</x:v>
      </x:c>
      <x:c r="P63" s="38" t="n">
        <x:f>IFERROR(N63/M63,0)</x:f>
        <x:v>0</x:v>
      </x:c>
      <x:c r="Q63" s="26" t="str">
        <x:v>Material/Assets/Equipment</x:v>
      </x:c>
      <x:c r="R63" s="26" t="str">
        <x:v>Health and Safety aids</x:v>
      </x:c>
      <x:c r="S63" s="26" t="str">
        <x:v>Minor</x:v>
      </x:c>
      <x:c r="T63" s="26"/>
      <x:c r="U63" s="26"/>
      <x:c r="V63" s="26"/>
      <x:c r="W63" s="32"/>
      <x:c r="X63" s="27" t="b">
        <x:v>1</x:v>
      </x:c>
      <x:c r="Y63" s="34" t="n">
        <x:v>46220.0177662037</x:v>
      </x:c>
      <x:c r="Z63" s="26"/>
      <x:c r="AA63" s="26" t="str">
        <x:v>Pandikunta - II (36701020210)</x:v>
      </x:c>
      <x:c r="AB63" s="26" t="str">
        <x:v>Enriched from Mulugu project JSON</x:v>
      </x:c>
    </x:row>
    <x:row r="64">
      <x:c r="A64" s="26" t="n">
        <x:v>61</x:v>
      </x:c>
      <x:c r="B64" s="26" t="n">
        <x:v>285</x:v>
      </x:c>
      <x:c r="C64" s="26" t="str">
        <x:v>Mulugu</x:v>
      </x:c>
      <x:c r="D64" s="26" t="n">
        <x:v>9008</x:v>
      </x:c>
      <x:c r="E64" s="26" t="str">
        <x:v>PRJ-2026-0009008</x:v>
      </x:c>
      <x:c r="F64" s="26" t="str">
        <x:v>AWC Pandikunta - II</x:v>
      </x:c>
      <x:c r="G64" s="26" t="n">
        <x:v>882</x:v>
      </x:c>
      <x:c r="H64" s="26" t="n">
        <x:v>33724</x:v>
      </x:c>
      <x:c r="I64" s="26" t="str">
        <x:v>Chairs</x:v>
      </x:c>
      <x:c r="J64" s="26" t="str">
        <x:v>Number</x:v>
      </x:c>
      <x:c r="K64" s="26" t="n">
        <x:v>3</x:v>
      </x:c>
      <x:c r="L64" s="26" t="n">
        <x:v>3</x:v>
      </x:c>
      <x:c r="M64" s="26" t="n">
        <x:v>3</x:v>
      </x:c>
      <x:c r="N64" s="26" t="n">
        <x:v>0</x:v>
      </x:c>
      <x:c r="O64" s="26" t="n">
        <x:f>MAX(M64-N64,0)</x:f>
        <x:v>3</x:v>
      </x:c>
      <x:c r="P64" s="38" t="n">
        <x:f>IFERROR(N64/M64,0)</x:f>
        <x:v>0</x:v>
      </x:c>
      <x:c r="Q64" s="26" t="str">
        <x:v>Material/Assets/Equipment</x:v>
      </x:c>
      <x:c r="R64" s="26" t="str">
        <x:v>Office Needs</x:v>
      </x:c>
      <x:c r="S64" s="26" t="str">
        <x:v>Minor</x:v>
      </x:c>
      <x:c r="T64" s="26"/>
      <x:c r="U64" s="26"/>
      <x:c r="V64" s="26"/>
      <x:c r="W64" s="32"/>
      <x:c r="X64" s="27" t="b">
        <x:v>1</x:v>
      </x:c>
      <x:c r="Y64" s="34" t="n">
        <x:v>46220.0177662037</x:v>
      </x:c>
      <x:c r="Z64" s="26"/>
      <x:c r="AA64" s="26" t="str">
        <x:v>Pandikunta - II (36701020210)</x:v>
      </x:c>
      <x:c r="AB64" s="26" t="str">
        <x:v>Enriched from Mulugu project JSON</x:v>
      </x:c>
    </x:row>
    <x:row r="65">
      <x:c r="A65" s="26" t="n">
        <x:v>62</x:v>
      </x:c>
      <x:c r="B65" s="26" t="n">
        <x:v>285</x:v>
      </x:c>
      <x:c r="C65" s="26" t="str">
        <x:v>Mulugu</x:v>
      </x:c>
      <x:c r="D65" s="26" t="n">
        <x:v>9008</x:v>
      </x:c>
      <x:c r="E65" s="26" t="str">
        <x:v>PRJ-2026-0009008</x:v>
      </x:c>
      <x:c r="F65" s="26" t="str">
        <x:v>AWC Pandikunta - II</x:v>
      </x:c>
      <x:c r="G65" s="26" t="n">
        <x:v>883</x:v>
      </x:c>
      <x:c r="H65" s="26" t="n">
        <x:v>33725</x:v>
      </x:c>
      <x:c r="I65" s="26" t="str">
        <x:v>Cooking Equipments</x:v>
      </x:c>
      <x:c r="J65" s="26" t="str">
        <x:v>Number</x:v>
      </x:c>
      <x:c r="K65" s="26" t="n">
        <x:v>1</x:v>
      </x:c>
      <x:c r="L65" s="26" t="n">
        <x:v>1</x:v>
      </x:c>
      <x:c r="M65" s="26" t="n">
        <x:v>1</x:v>
      </x:c>
      <x:c r="N65" s="26" t="n">
        <x:v>0</x:v>
      </x:c>
      <x:c r="O65" s="26" t="n">
        <x:f>MAX(M65-N65,0)</x:f>
        <x:v>1</x:v>
      </x:c>
      <x:c r="P65" s="38" t="n">
        <x:f>IFERROR(N65/M65,0)</x:f>
        <x:v>0</x:v>
      </x:c>
      <x:c r="Q65" s="26" t="str">
        <x:v>Material/Assets/Equipment</x:v>
      </x:c>
      <x:c r="R65" s="26" t="str">
        <x:v>Electrical Infrastructure</x:v>
      </x:c>
      <x:c r="S65" s="26" t="str">
        <x:v>Medium</x:v>
      </x:c>
      <x:c r="T65" s="26"/>
      <x:c r="U65" s="26"/>
      <x:c r="V65" s="26"/>
      <x:c r="W65" s="32"/>
      <x:c r="X65" s="27" t="b">
        <x:v>1</x:v>
      </x:c>
      <x:c r="Y65" s="34" t="n">
        <x:v>46220.0177662037</x:v>
      </x:c>
      <x:c r="Z65" s="26"/>
      <x:c r="AA65" s="26" t="str">
        <x:v>Pandikunta - II (36701020210)</x:v>
      </x:c>
      <x:c r="AB65" s="26" t="str">
        <x:v>Enriched from Mulugu project JSON</x:v>
      </x:c>
    </x:row>
    <x:row r="66">
      <x:c r="A66" s="26" t="n">
        <x:v>63</x:v>
      </x:c>
      <x:c r="B66" s="26" t="n">
        <x:v>283</x:v>
      </x:c>
      <x:c r="C66" s="26" t="str">
        <x:v>Mulugu</x:v>
      </x:c>
      <x:c r="D66" s="26" t="n">
        <x:v>10287</x:v>
      </x:c>
      <x:c r="E66" s="26" t="str">
        <x:v>PRJ-2026-0010287</x:v>
      </x:c>
      <x:c r="F66" s="26" t="str">
        <x:v>AWC Jaggannapet</x:v>
      </x:c>
      <x:c r="G66" s="26" t="n">
        <x:v>859</x:v>
      </x:c>
      <x:c r="H66" s="26" t="n">
        <x:v>39231</x:v>
      </x:c>
      <x:c r="I66" s="26" t="str">
        <x:v>Swing sets</x:v>
      </x:c>
      <x:c r="J66" s="26" t="str">
        <x:v>Number</x:v>
      </x:c>
      <x:c r="K66" s="26" t="n">
        <x:v>1</x:v>
      </x:c>
      <x:c r="L66" s="26" t="n">
        <x:v>1</x:v>
      </x:c>
      <x:c r="M66" s="26" t="n">
        <x:v>1</x:v>
      </x:c>
      <x:c r="N66" s="26" t="n">
        <x:v>0</x:v>
      </x:c>
      <x:c r="O66" s="26" t="n">
        <x:f>MAX(M66-N66,0)</x:f>
        <x:v>1</x:v>
      </x:c>
      <x:c r="P66" s="38" t="n">
        <x:f>IFERROR(N66/M66,0)</x:f>
        <x:v>0</x:v>
      </x:c>
      <x:c r="Q66" s="26" t="str">
        <x:v>Material/Assets/Equipment</x:v>
      </x:c>
      <x:c r="R66" s="26" t="str">
        <x:v>ECCE Equipment</x:v>
      </x:c>
      <x:c r="S66" s="26" t="str">
        <x:v>Minor</x:v>
      </x:c>
      <x:c r="T66" s="26"/>
      <x:c r="U66" s="26"/>
      <x:c r="V66" s="26"/>
      <x:c r="W66" s="32"/>
      <x:c r="X66" s="27" t="b">
        <x:v>1</x:v>
      </x:c>
      <x:c r="Y66" s="34" t="n">
        <x:v>46220.01775462963</x:v>
      </x:c>
      <x:c r="Z66" s="26"/>
      <x:c r="AA66" s="26" t="str">
        <x:v>Jaggannapet (36701020215)</x:v>
      </x:c>
      <x:c r="AB66" s="26" t="str">
        <x:v>Enriched from Mulugu project JSON</x:v>
      </x:c>
    </x:row>
    <x:row r="67">
      <x:c r="A67" s="26" t="n">
        <x:v>64</x:v>
      </x:c>
      <x:c r="B67" s="26" t="n">
        <x:v>283</x:v>
      </x:c>
      <x:c r="C67" s="26" t="str">
        <x:v>Mulugu</x:v>
      </x:c>
      <x:c r="D67" s="26" t="n">
        <x:v>10287</x:v>
      </x:c>
      <x:c r="E67" s="26" t="str">
        <x:v>PRJ-2026-0010287</x:v>
      </x:c>
      <x:c r="F67" s="26" t="str">
        <x:v>AWC Jaggannapet</x:v>
      </x:c>
      <x:c r="G67" s="26" t="n">
        <x:v>860</x:v>
      </x:c>
      <x:c r="H67" s="26" t="n">
        <x:v>39232</x:v>
      </x:c>
      <x:c r="I67" s="26" t="str">
        <x:v>Chairs/Benches</x:v>
      </x:c>
      <x:c r="J67" s="26" t="str">
        <x:v>Number</x:v>
      </x:c>
      <x:c r="K67" s="26" t="n">
        <x:v>10</x:v>
      </x:c>
      <x:c r="L67" s="26" t="n">
        <x:v>10</x:v>
      </x:c>
      <x:c r="M67" s="26" t="n">
        <x:v>10</x:v>
      </x:c>
      <x:c r="N67" s="26" t="n">
        <x:v>0</x:v>
      </x:c>
      <x:c r="O67" s="26" t="n">
        <x:f>MAX(M67-N67,0)</x:f>
        <x:v>10</x:v>
      </x:c>
      <x:c r="P67" s="38" t="n">
        <x:f>IFERROR(N67/M67,0)</x:f>
        <x:v>0</x:v>
      </x:c>
      <x:c r="Q67" s="26" t="str">
        <x:v>Material/Assets/Equipment</x:v>
      </x:c>
      <x:c r="R67" s="26" t="str">
        <x:v>Educational Needs</x:v>
      </x:c>
      <x:c r="S67" s="26" t="str">
        <x:v>Minor</x:v>
      </x:c>
      <x:c r="T67" s="26"/>
      <x:c r="U67" s="26"/>
      <x:c r="V67" s="26"/>
      <x:c r="W67" s="32"/>
      <x:c r="X67" s="27" t="b">
        <x:v>1</x:v>
      </x:c>
      <x:c r="Y67" s="34" t="n">
        <x:v>46220.01775462963</x:v>
      </x:c>
      <x:c r="Z67" s="26"/>
      <x:c r="AA67" s="26" t="str">
        <x:v>Jaggannapet (36701020215)</x:v>
      </x:c>
      <x:c r="AB67" s="26" t="str">
        <x:v>Enriched from Mulugu project JSON</x:v>
      </x:c>
    </x:row>
    <x:row r="68">
      <x:c r="A68" s="26" t="n">
        <x:v>65</x:v>
      </x:c>
      <x:c r="B68" s="26" t="n">
        <x:v>283</x:v>
      </x:c>
      <x:c r="C68" s="26" t="str">
        <x:v>Mulugu</x:v>
      </x:c>
      <x:c r="D68" s="26" t="n">
        <x:v>10287</x:v>
      </x:c>
      <x:c r="E68" s="26" t="str">
        <x:v>PRJ-2026-0010287</x:v>
      </x:c>
      <x:c r="F68" s="26" t="str">
        <x:v>AWC Jaggannapet</x:v>
      </x:c>
      <x:c r="G68" s="26" t="n">
        <x:v>861</x:v>
      </x:c>
      <x:c r="H68" s="26" t="n">
        <x:v>39233</x:v>
      </x:c>
      <x:c r="I68" s="26" t="str">
        <x:v>Solar Panel</x:v>
      </x:c>
      <x:c r="J68" s="26" t="str">
        <x:v>Number</x:v>
      </x:c>
      <x:c r="K68" s="26" t="n">
        <x:v>1</x:v>
      </x:c>
      <x:c r="L68" s="26" t="n">
        <x:v>1</x:v>
      </x:c>
      <x:c r="M68" s="26" t="n">
        <x:v>1</x:v>
      </x:c>
      <x:c r="N68" s="26" t="n">
        <x:v>0</x:v>
      </x:c>
      <x:c r="O68" s="26" t="n">
        <x:f>MAX(M68-N68,0)</x:f>
        <x:v>1</x:v>
      </x:c>
      <x:c r="P68" s="38" t="n">
        <x:f>IFERROR(N68/M68,0)</x:f>
        <x:v>0</x:v>
      </x:c>
      <x:c r="Q68" s="26" t="str">
        <x:v>Material/Assets/Equipment</x:v>
      </x:c>
      <x:c r="R68" s="26" t="str">
        <x:v>Electrical Infrastructure</x:v>
      </x:c>
      <x:c r="S68" s="26" t="str">
        <x:v>Medium</x:v>
      </x:c>
      <x:c r="T68" s="26"/>
      <x:c r="U68" s="26"/>
      <x:c r="V68" s="26"/>
      <x:c r="W68" s="32"/>
      <x:c r="X68" s="27" t="b">
        <x:v>1</x:v>
      </x:c>
      <x:c r="Y68" s="34" t="n">
        <x:v>46220.01775462963</x:v>
      </x:c>
      <x:c r="Z68" s="26"/>
      <x:c r="AA68" s="26" t="str">
        <x:v>Jaggannapet (36701020215)</x:v>
      </x:c>
      <x:c r="AB68" s="26" t="str">
        <x:v>Enriched from Mulugu project JSON</x:v>
      </x:c>
    </x:row>
    <x:row r="69">
      <x:c r="A69" s="26" t="n">
        <x:v>66</x:v>
      </x:c>
      <x:c r="B69" s="26" t="n">
        <x:v>283</x:v>
      </x:c>
      <x:c r="C69" s="26" t="str">
        <x:v>Mulugu</x:v>
      </x:c>
      <x:c r="D69" s="26" t="n">
        <x:v>10287</x:v>
      </x:c>
      <x:c r="E69" s="26" t="str">
        <x:v>PRJ-2026-0010287</x:v>
      </x:c>
      <x:c r="F69" s="26" t="str">
        <x:v>AWC Jaggannapet</x:v>
      </x:c>
      <x:c r="G69" s="26" t="n">
        <x:v>862</x:v>
      </x:c>
      <x:c r="H69" s="26" t="n">
        <x:v>39234</x:v>
      </x:c>
      <x:c r="I69" s="26" t="str">
        <x:v>Tube Lights</x:v>
      </x:c>
      <x:c r="J69" s="26" t="str">
        <x:v>Number</x:v>
      </x:c>
      <x:c r="K69" s="26" t="n">
        <x:v>2</x:v>
      </x:c>
      <x:c r="L69" s="26" t="n">
        <x:v>2</x:v>
      </x:c>
      <x:c r="M69" s="26" t="n">
        <x:v>2</x:v>
      </x:c>
      <x:c r="N69" s="26" t="n">
        <x:v>0</x:v>
      </x:c>
      <x:c r="O69" s="26" t="n">
        <x:f>MAX(M69-N69,0)</x:f>
        <x:v>2</x:v>
      </x:c>
      <x:c r="P69" s="38" t="n">
        <x:f>IFERROR(N69/M69,0)</x:f>
        <x:v>0</x:v>
      </x:c>
      <x:c r="Q69" s="26" t="str">
        <x:v>Material/Assets/Equipment</x:v>
      </x:c>
      <x:c r="R69" s="26" t="str">
        <x:v>Electrical Infrastructure</x:v>
      </x:c>
      <x:c r="S69" s="26" t="str">
        <x:v>Medium</x:v>
      </x:c>
      <x:c r="T69" s="26"/>
      <x:c r="U69" s="26"/>
      <x:c r="V69" s="26"/>
      <x:c r="W69" s="32"/>
      <x:c r="X69" s="27" t="b">
        <x:v>1</x:v>
      </x:c>
      <x:c r="Y69" s="34" t="n">
        <x:v>46220.01775462963</x:v>
      </x:c>
      <x:c r="Z69" s="26"/>
      <x:c r="AA69" s="26" t="str">
        <x:v>Jaggannapet (36701020215)</x:v>
      </x:c>
      <x:c r="AB69" s="26" t="str">
        <x:v>Enriched from Mulugu project JSON</x:v>
      </x:c>
    </x:row>
    <x:row r="70">
      <x:c r="A70" s="26" t="n">
        <x:v>67</x:v>
      </x:c>
      <x:c r="B70" s="26" t="n">
        <x:v>283</x:v>
      </x:c>
      <x:c r="C70" s="26" t="str">
        <x:v>Mulugu</x:v>
      </x:c>
      <x:c r="D70" s="26" t="n">
        <x:v>10287</x:v>
      </x:c>
      <x:c r="E70" s="26" t="str">
        <x:v>PRJ-2026-0010287</x:v>
      </x:c>
      <x:c r="F70" s="26" t="str">
        <x:v>AWC Jaggannapet</x:v>
      </x:c>
      <x:c r="G70" s="26" t="n">
        <x:v>863</x:v>
      </x:c>
      <x:c r="H70" s="26" t="n">
        <x:v>39235</x:v>
      </x:c>
      <x:c r="I70" s="26" t="str">
        <x:v>Cooking Equipments</x:v>
      </x:c>
      <x:c r="J70" s="26" t="str">
        <x:v>Number</x:v>
      </x:c>
      <x:c r="K70" s="26" t="n">
        <x:v>1</x:v>
      </x:c>
      <x:c r="L70" s="26" t="n">
        <x:v>1</x:v>
      </x:c>
      <x:c r="M70" s="26" t="n">
        <x:v>1</x:v>
      </x:c>
      <x:c r="N70" s="26" t="n">
        <x:v>0</x:v>
      </x:c>
      <x:c r="O70" s="26" t="n">
        <x:f>MAX(M70-N70,0)</x:f>
        <x:v>1</x:v>
      </x:c>
      <x:c r="P70" s="38" t="n">
        <x:f>IFERROR(N70/M70,0)</x:f>
        <x:v>0</x:v>
      </x:c>
      <x:c r="Q70" s="26" t="str">
        <x:v>Material/Assets/Equipment</x:v>
      </x:c>
      <x:c r="R70" s="26" t="str">
        <x:v>Electrical Infrastructure</x:v>
      </x:c>
      <x:c r="S70" s="26" t="str">
        <x:v>Medium</x:v>
      </x:c>
      <x:c r="T70" s="26"/>
      <x:c r="U70" s="26"/>
      <x:c r="V70" s="26"/>
      <x:c r="W70" s="32"/>
      <x:c r="X70" s="27" t="b">
        <x:v>1</x:v>
      </x:c>
      <x:c r="Y70" s="34" t="n">
        <x:v>46220.01775462963</x:v>
      </x:c>
      <x:c r="Z70" s="26"/>
      <x:c r="AA70" s="26" t="str">
        <x:v>Jaggannapet (36701020215)</x:v>
      </x:c>
      <x:c r="AB70" s="26" t="str">
        <x:v>Enriched from Mulugu project JSON</x:v>
      </x:c>
    </x:row>
    <x:row r="71">
      <x:c r="A71" s="26" t="n">
        <x:v>68</x:v>
      </x:c>
      <x:c r="B71" s="26" t="n">
        <x:v>283</x:v>
      </x:c>
      <x:c r="C71" s="26" t="str">
        <x:v>Mulugu</x:v>
      </x:c>
      <x:c r="D71" s="26" t="n">
        <x:v>10287</x:v>
      </x:c>
      <x:c r="E71" s="26" t="str">
        <x:v>PRJ-2026-0010287</x:v>
      </x:c>
      <x:c r="F71" s="26" t="str">
        <x:v>AWC Jaggannapet</x:v>
      </x:c>
      <x:c r="G71" s="26" t="n">
        <x:v>864</x:v>
      </x:c>
      <x:c r="H71" s="26" t="n">
        <x:v>39236</x:v>
      </x:c>
      <x:c r="I71" s="26" t="str">
        <x:v>Water Purifier</x:v>
      </x:c>
      <x:c r="J71" s="26" t="str">
        <x:v>Number</x:v>
      </x:c>
      <x:c r="K71" s="26" t="n">
        <x:v>1</x:v>
      </x:c>
      <x:c r="L71" s="26" t="n">
        <x:v>1</x:v>
      </x:c>
      <x:c r="M71" s="26" t="n">
        <x:v>1</x:v>
      </x:c>
      <x:c r="N71" s="26" t="n">
        <x:v>0</x:v>
      </x:c>
      <x:c r="O71" s="26" t="n">
        <x:f>MAX(M71-N71,0)</x:f>
        <x:v>1</x:v>
      </x:c>
      <x:c r="P71" s="38" t="n">
        <x:f>IFERROR(N71/M71,0)</x:f>
        <x:v>0</x:v>
      </x:c>
      <x:c r="Q71" s="26" t="str">
        <x:v>Material/Assets/Equipment</x:v>
      </x:c>
      <x:c r="R71" s="26" t="str">
        <x:v>Health and Safety aids</x:v>
      </x:c>
      <x:c r="S71" s="26" t="str">
        <x:v>Minor</x:v>
      </x:c>
      <x:c r="T71" s="26"/>
      <x:c r="U71" s="26"/>
      <x:c r="V71" s="26"/>
      <x:c r="W71" s="32"/>
      <x:c r="X71" s="27" t="b">
        <x:v>1</x:v>
      </x:c>
      <x:c r="Y71" s="34" t="n">
        <x:v>46220.01775462963</x:v>
      </x:c>
      <x:c r="Z71" s="26"/>
      <x:c r="AA71" s="26" t="str">
        <x:v>Jaggannapet (36701020215)</x:v>
      </x:c>
      <x:c r="AB71" s="26" t="str">
        <x:v>Enriched from Mulugu project JSON</x:v>
      </x:c>
    </x:row>
    <x:row r="72">
      <x:c r="A72" s="26" t="n">
        <x:v>69</x:v>
      </x:c>
      <x:c r="B72" s="26" t="n">
        <x:v>283</x:v>
      </x:c>
      <x:c r="C72" s="26" t="str">
        <x:v>Mulugu</x:v>
      </x:c>
      <x:c r="D72" s="26" t="n">
        <x:v>10287</x:v>
      </x:c>
      <x:c r="E72" s="26" t="str">
        <x:v>PRJ-2026-0010287</x:v>
      </x:c>
      <x:c r="F72" s="26" t="str">
        <x:v>AWC Jaggannapet</x:v>
      </x:c>
      <x:c r="G72" s="26" t="n">
        <x:v>865</x:v>
      </x:c>
      <x:c r="H72" s="26" t="n">
        <x:v>39237</x:v>
      </x:c>
      <x:c r="I72" s="26" t="str">
        <x:v>Chairs</x:v>
      </x:c>
      <x:c r="J72" s="26" t="str">
        <x:v>Number</x:v>
      </x:c>
      <x:c r="K72" s="26" t="n">
        <x:v>5</x:v>
      </x:c>
      <x:c r="L72" s="26" t="n">
        <x:v>5</x:v>
      </x:c>
      <x:c r="M72" s="26" t="n">
        <x:v>5</x:v>
      </x:c>
      <x:c r="N72" s="26" t="n">
        <x:v>0</x:v>
      </x:c>
      <x:c r="O72" s="26" t="n">
        <x:f>MAX(M72-N72,0)</x:f>
        <x:v>5</x:v>
      </x:c>
      <x:c r="P72" s="38" t="n">
        <x:f>IFERROR(N72/M72,0)</x:f>
        <x:v>0</x:v>
      </x:c>
      <x:c r="Q72" s="26" t="str">
        <x:v>Material/Assets/Equipment</x:v>
      </x:c>
      <x:c r="R72" s="26" t="str">
        <x:v>Office Needs</x:v>
      </x:c>
      <x:c r="S72" s="26" t="str">
        <x:v>Minor</x:v>
      </x:c>
      <x:c r="T72" s="26"/>
      <x:c r="U72" s="26"/>
      <x:c r="V72" s="26"/>
      <x:c r="W72" s="32"/>
      <x:c r="X72" s="27" t="b">
        <x:v>1</x:v>
      </x:c>
      <x:c r="Y72" s="34" t="n">
        <x:v>46220.01775462963</x:v>
      </x:c>
      <x:c r="Z72" s="26"/>
      <x:c r="AA72" s="26" t="str">
        <x:v>Jaggannapet (36701020215)</x:v>
      </x:c>
      <x:c r="AB72" s="26" t="str">
        <x:v>Enriched from Mulugu project JSON</x:v>
      </x:c>
    </x:row>
    <x:row r="73">
      <x:c r="A73" s="26" t="n">
        <x:v>70</x:v>
      </x:c>
      <x:c r="B73" s="26" t="n">
        <x:v>281</x:v>
      </x:c>
      <x:c r="C73" s="26" t="str">
        <x:v>Mulugu</x:v>
      </x:c>
      <x:c r="D73" s="26" t="n">
        <x:v>10430</x:v>
      </x:c>
      <x:c r="E73" s="26" t="str">
        <x:v>PRJ-2026-0010430</x:v>
      </x:c>
      <x:c r="F73" s="26" t="str">
        <x:v>AWC Ramsing Thanda</x:v>
      </x:c>
      <x:c r="G73" s="26" t="n">
        <x:v>845</x:v>
      </x:c>
      <x:c r="H73" s="26" t="n">
        <x:v>39820</x:v>
      </x:c>
      <x:c r="I73" s="26" t="str">
        <x:v>Games</x:v>
      </x:c>
      <x:c r="J73" s="26" t="str">
        <x:v>Number</x:v>
      </x:c>
      <x:c r="K73" s="26" t="n">
        <x:v>10</x:v>
      </x:c>
      <x:c r="L73" s="26" t="n">
        <x:v>10</x:v>
      </x:c>
      <x:c r="M73" s="26" t="n">
        <x:v>10</x:v>
      </x:c>
      <x:c r="N73" s="26" t="n">
        <x:v>0</x:v>
      </x:c>
      <x:c r="O73" s="26" t="n">
        <x:f>MAX(M73-N73,0)</x:f>
        <x:v>10</x:v>
      </x:c>
      <x:c r="P73" s="38" t="n">
        <x:f>IFERROR(N73/M73,0)</x:f>
        <x:v>0</x:v>
      </x:c>
      <x:c r="Q73" s="26" t="str">
        <x:v>Material/Assets/Equipment</x:v>
      </x:c>
      <x:c r="R73" s="26" t="str">
        <x:v>ECCE Equipment</x:v>
      </x:c>
      <x:c r="S73" s="26" t="str">
        <x:v>Minor</x:v>
      </x:c>
      <x:c r="T73" s="26"/>
      <x:c r="U73" s="26"/>
      <x:c r="V73" s="26"/>
      <x:c r="W73" s="32"/>
      <x:c r="X73" s="27" t="b">
        <x:v>1</x:v>
      </x:c>
      <x:c r="Y73" s="34" t="n">
        <x:v>46220.017743055556</x:v>
      </x:c>
      <x:c r="Z73" s="26"/>
      <x:c r="AA73" s="26" t="str">
        <x:v>RAMSING THANDA  (Mini) (36701020207)</x:v>
      </x:c>
      <x:c r="AB73" s="26" t="str">
        <x:v>Enriched from Mulugu project JSON</x:v>
      </x:c>
    </x:row>
    <x:row r="74">
      <x:c r="A74" s="26" t="n">
        <x:v>71</x:v>
      </x:c>
      <x:c r="B74" s="26" t="n">
        <x:v>281</x:v>
      </x:c>
      <x:c r="C74" s="26" t="str">
        <x:v>Mulugu</x:v>
      </x:c>
      <x:c r="D74" s="26" t="n">
        <x:v>10430</x:v>
      </x:c>
      <x:c r="E74" s="26" t="str">
        <x:v>PRJ-2026-0010430</x:v>
      </x:c>
      <x:c r="F74" s="26" t="str">
        <x:v>AWC Ramsing Thanda</x:v>
      </x:c>
      <x:c r="G74" s="26" t="n">
        <x:v>846</x:v>
      </x:c>
      <x:c r="H74" s="26" t="n">
        <x:v>39821</x:v>
      </x:c>
      <x:c r="I74" s="26" t="str">
        <x:v>Toys</x:v>
      </x:c>
      <x:c r="J74" s="26" t="str">
        <x:v>Number</x:v>
      </x:c>
      <x:c r="K74" s="26" t="n">
        <x:v>10</x:v>
      </x:c>
      <x:c r="L74" s="26" t="n">
        <x:v>10</x:v>
      </x:c>
      <x:c r="M74" s="26" t="n">
        <x:v>10</x:v>
      </x:c>
      <x:c r="N74" s="26" t="n">
        <x:v>0</x:v>
      </x:c>
      <x:c r="O74" s="26" t="n">
        <x:f>MAX(M74-N74,0)</x:f>
        <x:v>10</x:v>
      </x:c>
      <x:c r="P74" s="38" t="n">
        <x:f>IFERROR(N74/M74,0)</x:f>
        <x:v>0</x:v>
      </x:c>
      <x:c r="Q74" s="26" t="str">
        <x:v>Material/Assets/Equipment</x:v>
      </x:c>
      <x:c r="R74" s="26" t="str">
        <x:v>ECCE Equipment</x:v>
      </x:c>
      <x:c r="S74" s="26" t="str">
        <x:v>Minor</x:v>
      </x:c>
      <x:c r="T74" s="26"/>
      <x:c r="U74" s="26"/>
      <x:c r="V74" s="26"/>
      <x:c r="W74" s="32"/>
      <x:c r="X74" s="27" t="b">
        <x:v>1</x:v>
      </x:c>
      <x:c r="Y74" s="34" t="n">
        <x:v>46220.017743055556</x:v>
      </x:c>
      <x:c r="Z74" s="26"/>
      <x:c r="AA74" s="26" t="str">
        <x:v>RAMSING THANDA  (Mini) (36701020207)</x:v>
      </x:c>
      <x:c r="AB74" s="26" t="str">
        <x:v>Enriched from Mulugu project JSON</x:v>
      </x:c>
    </x:row>
    <x:row r="75">
      <x:c r="A75" s="26" t="n">
        <x:v>72</x:v>
      </x:c>
      <x:c r="B75" s="26" t="n">
        <x:v>281</x:v>
      </x:c>
      <x:c r="C75" s="26" t="str">
        <x:v>Mulugu</x:v>
      </x:c>
      <x:c r="D75" s="26" t="n">
        <x:v>10430</x:v>
      </x:c>
      <x:c r="E75" s="26" t="str">
        <x:v>PRJ-2026-0010430</x:v>
      </x:c>
      <x:c r="F75" s="26" t="str">
        <x:v>AWC Ramsing Thanda</x:v>
      </x:c>
      <x:c r="G75" s="26" t="n">
        <x:v>847</x:v>
      </x:c>
      <x:c r="H75" s="26" t="n">
        <x:v>39822</x:v>
      </x:c>
      <x:c r="I75" s="26" t="str">
        <x:v>Chairs/Benches</x:v>
      </x:c>
      <x:c r="J75" s="26" t="str">
        <x:v>Number</x:v>
      </x:c>
      <x:c r="K75" s="26" t="n">
        <x:v>10</x:v>
      </x:c>
      <x:c r="L75" s="26" t="n">
        <x:v>10</x:v>
      </x:c>
      <x:c r="M75" s="26" t="n">
        <x:v>10</x:v>
      </x:c>
      <x:c r="N75" s="26" t="n">
        <x:v>0</x:v>
      </x:c>
      <x:c r="O75" s="26" t="n">
        <x:f>MAX(M75-N75,0)</x:f>
        <x:v>10</x:v>
      </x:c>
      <x:c r="P75" s="38" t="n">
        <x:f>IFERROR(N75/M75,0)</x:f>
        <x:v>0</x:v>
      </x:c>
      <x:c r="Q75" s="26" t="str">
        <x:v>Material/Assets/Equipment</x:v>
      </x:c>
      <x:c r="R75" s="26" t="str">
        <x:v>Educational Needs</x:v>
      </x:c>
      <x:c r="S75" s="26" t="str">
        <x:v>Minor</x:v>
      </x:c>
      <x:c r="T75" s="26"/>
      <x:c r="U75" s="26"/>
      <x:c r="V75" s="26"/>
      <x:c r="W75" s="32"/>
      <x:c r="X75" s="27" t="b">
        <x:v>1</x:v>
      </x:c>
      <x:c r="Y75" s="34" t="n">
        <x:v>46220.017743055556</x:v>
      </x:c>
      <x:c r="Z75" s="26"/>
      <x:c r="AA75" s="26" t="str">
        <x:v>RAMSING THANDA  (Mini) (36701020207)</x:v>
      </x:c>
      <x:c r="AB75" s="26" t="str">
        <x:v>Enriched from Mulugu project JSON</x:v>
      </x:c>
    </x:row>
    <x:row r="76">
      <x:c r="A76" s="26" t="n">
        <x:v>73</x:v>
      </x:c>
      <x:c r="B76" s="26" t="n">
        <x:v>281</x:v>
      </x:c>
      <x:c r="C76" s="26" t="str">
        <x:v>Mulugu</x:v>
      </x:c>
      <x:c r="D76" s="26" t="n">
        <x:v>10430</x:v>
      </x:c>
      <x:c r="E76" s="26" t="str">
        <x:v>PRJ-2026-0010430</x:v>
      </x:c>
      <x:c r="F76" s="26" t="str">
        <x:v>AWC Ramsing Thanda</x:v>
      </x:c>
      <x:c r="G76" s="26" t="n">
        <x:v>848</x:v>
      </x:c>
      <x:c r="H76" s="26" t="n">
        <x:v>39823</x:v>
      </x:c>
      <x:c r="I76" s="26" t="str">
        <x:v>Tube Lights</x:v>
      </x:c>
      <x:c r="J76" s="26" t="str">
        <x:v>Number</x:v>
      </x:c>
      <x:c r="K76" s="26" t="n">
        <x:v>2</x:v>
      </x:c>
      <x:c r="L76" s="26" t="n">
        <x:v>2</x:v>
      </x:c>
      <x:c r="M76" s="26" t="n">
        <x:v>2</x:v>
      </x:c>
      <x:c r="N76" s="26" t="n">
        <x:v>0</x:v>
      </x:c>
      <x:c r="O76" s="26" t="n">
        <x:f>MAX(M76-N76,0)</x:f>
        <x:v>2</x:v>
      </x:c>
      <x:c r="P76" s="38" t="n">
        <x:f>IFERROR(N76/M76,0)</x:f>
        <x:v>0</x:v>
      </x:c>
      <x:c r="Q76" s="26" t="str">
        <x:v>Material/Assets/Equipment</x:v>
      </x:c>
      <x:c r="R76" s="26" t="str">
        <x:v>Electrical Infrastructure</x:v>
      </x:c>
      <x:c r="S76" s="26" t="str">
        <x:v>Medium</x:v>
      </x:c>
      <x:c r="T76" s="26"/>
      <x:c r="U76" s="26"/>
      <x:c r="V76" s="26"/>
      <x:c r="W76" s="32"/>
      <x:c r="X76" s="27" t="b">
        <x:v>1</x:v>
      </x:c>
      <x:c r="Y76" s="34" t="n">
        <x:v>46220.017743055556</x:v>
      </x:c>
      <x:c r="Z76" s="26"/>
      <x:c r="AA76" s="26" t="str">
        <x:v>RAMSING THANDA  (Mini) (36701020207)</x:v>
      </x:c>
      <x:c r="AB76" s="26" t="str">
        <x:v>Enriched from Mulugu project JSON</x:v>
      </x:c>
    </x:row>
    <x:row r="77">
      <x:c r="A77" s="26" t="n">
        <x:v>74</x:v>
      </x:c>
      <x:c r="B77" s="26" t="n">
        <x:v>281</x:v>
      </x:c>
      <x:c r="C77" s="26" t="str">
        <x:v>Mulugu</x:v>
      </x:c>
      <x:c r="D77" s="26" t="n">
        <x:v>10430</x:v>
      </x:c>
      <x:c r="E77" s="26" t="str">
        <x:v>PRJ-2026-0010430</x:v>
      </x:c>
      <x:c r="F77" s="26" t="str">
        <x:v>AWC Ramsing Thanda</x:v>
      </x:c>
      <x:c r="G77" s="26" t="n">
        <x:v>849</x:v>
      </x:c>
      <x:c r="H77" s="26" t="n">
        <x:v>39824</x:v>
      </x:c>
      <x:c r="I77" s="26" t="str">
        <x:v>Cooking Equipments</x:v>
      </x:c>
      <x:c r="J77" s="26" t="str">
        <x:v>Number</x:v>
      </x:c>
      <x:c r="K77" s="26" t="n">
        <x:v>1</x:v>
      </x:c>
      <x:c r="L77" s="26" t="n">
        <x:v>1</x:v>
      </x:c>
      <x:c r="M77" s="26" t="n">
        <x:v>1</x:v>
      </x:c>
      <x:c r="N77" s="26" t="n">
        <x:v>0</x:v>
      </x:c>
      <x:c r="O77" s="26" t="n">
        <x:f>MAX(M77-N77,0)</x:f>
        <x:v>1</x:v>
      </x:c>
      <x:c r="P77" s="38" t="n">
        <x:f>IFERROR(N77/M77,0)</x:f>
        <x:v>0</x:v>
      </x:c>
      <x:c r="Q77" s="26" t="str">
        <x:v>Material/Assets/Equipment</x:v>
      </x:c>
      <x:c r="R77" s="26" t="str">
        <x:v>Electrical Infrastructure</x:v>
      </x:c>
      <x:c r="S77" s="26" t="str">
        <x:v>Medium</x:v>
      </x:c>
      <x:c r="T77" s="26"/>
      <x:c r="U77" s="26"/>
      <x:c r="V77" s="26"/>
      <x:c r="W77" s="32"/>
      <x:c r="X77" s="27" t="b">
        <x:v>1</x:v>
      </x:c>
      <x:c r="Y77" s="34" t="n">
        <x:v>46220.017743055556</x:v>
      </x:c>
      <x:c r="Z77" s="26"/>
      <x:c r="AA77" s="26" t="str">
        <x:v>RAMSING THANDA  (Mini) (36701020207)</x:v>
      </x:c>
      <x:c r="AB77" s="26" t="str">
        <x:v>Enriched from Mulugu project JSON</x:v>
      </x:c>
    </x:row>
    <x:row r="78">
      <x:c r="A78" s="26" t="n">
        <x:v>75</x:v>
      </x:c>
      <x:c r="B78" s="26" t="n">
        <x:v>281</x:v>
      </x:c>
      <x:c r="C78" s="26" t="str">
        <x:v>Mulugu</x:v>
      </x:c>
      <x:c r="D78" s="26" t="n">
        <x:v>10430</x:v>
      </x:c>
      <x:c r="E78" s="26" t="str">
        <x:v>PRJ-2026-0010430</x:v>
      </x:c>
      <x:c r="F78" s="26" t="str">
        <x:v>AWC Ramsing Thanda</x:v>
      </x:c>
      <x:c r="G78" s="26" t="n">
        <x:v>850</x:v>
      </x:c>
      <x:c r="H78" s="26" t="n">
        <x:v>39825</x:v>
      </x:c>
      <x:c r="I78" s="26" t="str">
        <x:v>Water Purifier</x:v>
      </x:c>
      <x:c r="J78" s="26" t="str">
        <x:v>Number</x:v>
      </x:c>
      <x:c r="K78" s="26" t="n">
        <x:v>1</x:v>
      </x:c>
      <x:c r="L78" s="26" t="n">
        <x:v>1</x:v>
      </x:c>
      <x:c r="M78" s="26" t="n">
        <x:v>1</x:v>
      </x:c>
      <x:c r="N78" s="26" t="n">
        <x:v>0</x:v>
      </x:c>
      <x:c r="O78" s="26" t="n">
        <x:f>MAX(M78-N78,0)</x:f>
        <x:v>1</x:v>
      </x:c>
      <x:c r="P78" s="38" t="n">
        <x:f>IFERROR(N78/M78,0)</x:f>
        <x:v>0</x:v>
      </x:c>
      <x:c r="Q78" s="26" t="str">
        <x:v>Material/Assets/Equipment</x:v>
      </x:c>
      <x:c r="R78" s="26" t="str">
        <x:v>Health and Safety aids</x:v>
      </x:c>
      <x:c r="S78" s="26" t="str">
        <x:v>Minor</x:v>
      </x:c>
      <x:c r="T78" s="26"/>
      <x:c r="U78" s="26"/>
      <x:c r="V78" s="26"/>
      <x:c r="W78" s="32"/>
      <x:c r="X78" s="27" t="b">
        <x:v>1</x:v>
      </x:c>
      <x:c r="Y78" s="34" t="n">
        <x:v>46220.017743055556</x:v>
      </x:c>
      <x:c r="Z78" s="26"/>
      <x:c r="AA78" s="26" t="str">
        <x:v>RAMSING THANDA  (Mini) (36701020207)</x:v>
      </x:c>
      <x:c r="AB78" s="26" t="str">
        <x:v>Enriched from Mulugu project JSON</x:v>
      </x:c>
    </x:row>
    <x:row r="79">
      <x:c r="A79" s="26" t="n">
        <x:v>76</x:v>
      </x:c>
      <x:c r="B79" s="26" t="n">
        <x:v>281</x:v>
      </x:c>
      <x:c r="C79" s="26" t="str">
        <x:v>Mulugu</x:v>
      </x:c>
      <x:c r="D79" s="26" t="n">
        <x:v>10430</x:v>
      </x:c>
      <x:c r="E79" s="26" t="str">
        <x:v>PRJ-2026-0010430</x:v>
      </x:c>
      <x:c r="F79" s="26" t="str">
        <x:v>AWC Ramsing Thanda</x:v>
      </x:c>
      <x:c r="G79" s="26" t="n">
        <x:v>851</x:v>
      </x:c>
      <x:c r="H79" s="26" t="n">
        <x:v>39826</x:v>
      </x:c>
      <x:c r="I79" s="26" t="str">
        <x:v>Chairs</x:v>
      </x:c>
      <x:c r="J79" s="26" t="str">
        <x:v>Number</x:v>
      </x:c>
      <x:c r="K79" s="26" t="n">
        <x:v>3</x:v>
      </x:c>
      <x:c r="L79" s="26" t="n">
        <x:v>3</x:v>
      </x:c>
      <x:c r="M79" s="26" t="n">
        <x:v>3</x:v>
      </x:c>
      <x:c r="N79" s="26" t="n">
        <x:v>0</x:v>
      </x:c>
      <x:c r="O79" s="26" t="n">
        <x:f>MAX(M79-N79,0)</x:f>
        <x:v>3</x:v>
      </x:c>
      <x:c r="P79" s="38" t="n">
        <x:f>IFERROR(N79/M79,0)</x:f>
        <x:v>0</x:v>
      </x:c>
      <x:c r="Q79" s="26" t="str">
        <x:v>Material/Assets/Equipment</x:v>
      </x:c>
      <x:c r="R79" s="26" t="str">
        <x:v>Office Needs</x:v>
      </x:c>
      <x:c r="S79" s="26" t="str">
        <x:v>Minor</x:v>
      </x:c>
      <x:c r="T79" s="26"/>
      <x:c r="U79" s="26"/>
      <x:c r="V79" s="26"/>
      <x:c r="W79" s="32"/>
      <x:c r="X79" s="27" t="b">
        <x:v>1</x:v>
      </x:c>
      <x:c r="Y79" s="34" t="n">
        <x:v>46220.017743055556</x:v>
      </x:c>
      <x:c r="Z79" s="26"/>
      <x:c r="AA79" s="26" t="str">
        <x:v>RAMSING THANDA  (Mini) (36701020207)</x:v>
      </x:c>
      <x:c r="AB79" s="26" t="str">
        <x:v>Enriched from Mulugu project JSON</x:v>
      </x:c>
    </x:row>
    <x:row r="80">
      <x:c r="A80" s="26" t="n">
        <x:v>77</x:v>
      </x:c>
      <x:c r="B80" s="26" t="n">
        <x:v>282</x:v>
      </x:c>
      <x:c r="C80" s="26" t="str">
        <x:v>Mulugu</x:v>
      </x:c>
      <x:c r="D80" s="26" t="n">
        <x:v>10329</x:v>
      </x:c>
      <x:c r="E80" s="26" t="str">
        <x:v>PRJ-2026-0010329</x:v>
      </x:c>
      <x:c r="F80" s="26" t="str">
        <x:v>AWC Gurthuruthanda</x:v>
      </x:c>
      <x:c r="G80" s="26" t="n">
        <x:v>852</x:v>
      </x:c>
      <x:c r="H80" s="26" t="n">
        <x:v>39415</x:v>
      </x:c>
      <x:c r="I80" s="26" t="str">
        <x:v>Toys</x:v>
      </x:c>
      <x:c r="J80" s="26" t="str">
        <x:v>Number</x:v>
      </x:c>
      <x:c r="K80" s="26" t="n">
        <x:v>10</x:v>
      </x:c>
      <x:c r="L80" s="26" t="n">
        <x:v>10</x:v>
      </x:c>
      <x:c r="M80" s="26" t="n">
        <x:v>10</x:v>
      </x:c>
      <x:c r="N80" s="26" t="n">
        <x:v>0</x:v>
      </x:c>
      <x:c r="O80" s="26" t="n">
        <x:f>MAX(M80-N80,0)</x:f>
        <x:v>10</x:v>
      </x:c>
      <x:c r="P80" s="38" t="n">
        <x:f>IFERROR(N80/M80,0)</x:f>
        <x:v>0</x:v>
      </x:c>
      <x:c r="Q80" s="26" t="str">
        <x:v>Material/Assets/Equipment</x:v>
      </x:c>
      <x:c r="R80" s="26" t="str">
        <x:v>ECCE Equipment</x:v>
      </x:c>
      <x:c r="S80" s="26" t="str">
        <x:v>Minor</x:v>
      </x:c>
      <x:c r="T80" s="26"/>
      <x:c r="U80" s="26"/>
      <x:c r="V80" s="26"/>
      <x:c r="W80" s="32"/>
      <x:c r="X80" s="27" t="b">
        <x:v>1</x:v>
      </x:c>
      <x:c r="Y80" s="34" t="n">
        <x:v>46220.017743055556</x:v>
      </x:c>
      <x:c r="Z80" s="26"/>
      <x:c r="AA80" s="26" t="str">
        <x:v>Gurthuruthanda (36701020216)</x:v>
      </x:c>
      <x:c r="AB80" s="26" t="str">
        <x:v>Enriched from Mulugu project JSON</x:v>
      </x:c>
    </x:row>
    <x:row r="81">
      <x:c r="A81" s="26" t="n">
        <x:v>78</x:v>
      </x:c>
      <x:c r="B81" s="26" t="n">
        <x:v>282</x:v>
      </x:c>
      <x:c r="C81" s="26" t="str">
        <x:v>Mulugu</x:v>
      </x:c>
      <x:c r="D81" s="26" t="n">
        <x:v>10329</x:v>
      </x:c>
      <x:c r="E81" s="26" t="str">
        <x:v>PRJ-2026-0010329</x:v>
      </x:c>
      <x:c r="F81" s="26" t="str">
        <x:v>AWC Gurthuruthanda</x:v>
      </x:c>
      <x:c r="G81" s="26" t="n">
        <x:v>853</x:v>
      </x:c>
      <x:c r="H81" s="26" t="n">
        <x:v>39416</x:v>
      </x:c>
      <x:c r="I81" s="26" t="str">
        <x:v>Swing sets</x:v>
      </x:c>
      <x:c r="J81" s="26" t="str">
        <x:v>Number</x:v>
      </x:c>
      <x:c r="K81" s="26" t="n">
        <x:v>2</x:v>
      </x:c>
      <x:c r="L81" s="26" t="n">
        <x:v>2</x:v>
      </x:c>
      <x:c r="M81" s="26" t="n">
        <x:v>2</x:v>
      </x:c>
      <x:c r="N81" s="26" t="n">
        <x:v>0</x:v>
      </x:c>
      <x:c r="O81" s="26" t="n">
        <x:f>MAX(M81-N81,0)</x:f>
        <x:v>2</x:v>
      </x:c>
      <x:c r="P81" s="38" t="n">
        <x:f>IFERROR(N81/M81,0)</x:f>
        <x:v>0</x:v>
      </x:c>
      <x:c r="Q81" s="26" t="str">
        <x:v>Material/Assets/Equipment</x:v>
      </x:c>
      <x:c r="R81" s="26" t="str">
        <x:v>ECCE Equipment</x:v>
      </x:c>
      <x:c r="S81" s="26" t="str">
        <x:v>Minor</x:v>
      </x:c>
      <x:c r="T81" s="26"/>
      <x:c r="U81" s="26"/>
      <x:c r="V81" s="26"/>
      <x:c r="W81" s="32"/>
      <x:c r="X81" s="27" t="b">
        <x:v>1</x:v>
      </x:c>
      <x:c r="Y81" s="34" t="n">
        <x:v>46220.017743055556</x:v>
      </x:c>
      <x:c r="Z81" s="26"/>
      <x:c r="AA81" s="26" t="str">
        <x:v>Gurthuruthanda (36701020216)</x:v>
      </x:c>
      <x:c r="AB81" s="26" t="str">
        <x:v>Enriched from Mulugu project JSON</x:v>
      </x:c>
    </x:row>
    <x:row r="82">
      <x:c r="A82" s="26" t="n">
        <x:v>79</x:v>
      </x:c>
      <x:c r="B82" s="26" t="n">
        <x:v>282</x:v>
      </x:c>
      <x:c r="C82" s="26" t="str">
        <x:v>Mulugu</x:v>
      </x:c>
      <x:c r="D82" s="26" t="n">
        <x:v>10329</x:v>
      </x:c>
      <x:c r="E82" s="26" t="str">
        <x:v>PRJ-2026-0010329</x:v>
      </x:c>
      <x:c r="F82" s="26" t="str">
        <x:v>AWC Gurthuruthanda</x:v>
      </x:c>
      <x:c r="G82" s="26" t="n">
        <x:v>854</x:v>
      </x:c>
      <x:c r="H82" s="26" t="n">
        <x:v>39417</x:v>
      </x:c>
      <x:c r="I82" s="26" t="str">
        <x:v>Chairs/Benches</x:v>
      </x:c>
      <x:c r="J82" s="26" t="str">
        <x:v>Number</x:v>
      </x:c>
      <x:c r="K82" s="26" t="n">
        <x:v>15</x:v>
      </x:c>
      <x:c r="L82" s="26" t="n">
        <x:v>15</x:v>
      </x:c>
      <x:c r="M82" s="26" t="n">
        <x:v>15</x:v>
      </x:c>
      <x:c r="N82" s="26" t="n">
        <x:v>0</x:v>
      </x:c>
      <x:c r="O82" s="26" t="n">
        <x:f>MAX(M82-N82,0)</x:f>
        <x:v>15</x:v>
      </x:c>
      <x:c r="P82" s="38" t="n">
        <x:f>IFERROR(N82/M82,0)</x:f>
        <x:v>0</x:v>
      </x:c>
      <x:c r="Q82" s="26" t="str">
        <x:v>Material/Assets/Equipment</x:v>
      </x:c>
      <x:c r="R82" s="26" t="str">
        <x:v>Educational Needs</x:v>
      </x:c>
      <x:c r="S82" s="26" t="str">
        <x:v>Minor</x:v>
      </x:c>
      <x:c r="T82" s="26"/>
      <x:c r="U82" s="26"/>
      <x:c r="V82" s="26"/>
      <x:c r="W82" s="32"/>
      <x:c r="X82" s="27" t="b">
        <x:v>1</x:v>
      </x:c>
      <x:c r="Y82" s="34" t="n">
        <x:v>46220.017743055556</x:v>
      </x:c>
      <x:c r="Z82" s="26"/>
      <x:c r="AA82" s="26" t="str">
        <x:v>Gurthuruthanda (36701020216)</x:v>
      </x:c>
      <x:c r="AB82" s="26" t="str">
        <x:v>Enriched from Mulugu project JSON</x:v>
      </x:c>
    </x:row>
    <x:row r="83">
      <x:c r="A83" s="26" t="n">
        <x:v>80</x:v>
      </x:c>
      <x:c r="B83" s="26" t="n">
        <x:v>282</x:v>
      </x:c>
      <x:c r="C83" s="26" t="str">
        <x:v>Mulugu</x:v>
      </x:c>
      <x:c r="D83" s="26" t="n">
        <x:v>10329</x:v>
      </x:c>
      <x:c r="E83" s="26" t="str">
        <x:v>PRJ-2026-0010329</x:v>
      </x:c>
      <x:c r="F83" s="26" t="str">
        <x:v>AWC Gurthuruthanda</x:v>
      </x:c>
      <x:c r="G83" s="26" t="n">
        <x:v>855</x:v>
      </x:c>
      <x:c r="H83" s="26" t="n">
        <x:v>39418</x:v>
      </x:c>
      <x:c r="I83" s="26" t="str">
        <x:v>Solar Panel</x:v>
      </x:c>
      <x:c r="J83" s="26" t="str">
        <x:v>Number</x:v>
      </x:c>
      <x:c r="K83" s="26" t="n">
        <x:v>1</x:v>
      </x:c>
      <x:c r="L83" s="26" t="n">
        <x:v>1</x:v>
      </x:c>
      <x:c r="M83" s="26" t="n">
        <x:v>1</x:v>
      </x:c>
      <x:c r="N83" s="26" t="n">
        <x:v>0</x:v>
      </x:c>
      <x:c r="O83" s="26" t="n">
        <x:f>MAX(M83-N83,0)</x:f>
        <x:v>1</x:v>
      </x:c>
      <x:c r="P83" s="38" t="n">
        <x:f>IFERROR(N83/M83,0)</x:f>
        <x:v>0</x:v>
      </x:c>
      <x:c r="Q83" s="26" t="str">
        <x:v>Material/Assets/Equipment</x:v>
      </x:c>
      <x:c r="R83" s="26" t="str">
        <x:v>Electrical Infrastructure</x:v>
      </x:c>
      <x:c r="S83" s="26" t="str">
        <x:v>Medium</x:v>
      </x:c>
      <x:c r="T83" s="26"/>
      <x:c r="U83" s="26"/>
      <x:c r="V83" s="26"/>
      <x:c r="W83" s="32"/>
      <x:c r="X83" s="27" t="b">
        <x:v>1</x:v>
      </x:c>
      <x:c r="Y83" s="34" t="n">
        <x:v>46220.017743055556</x:v>
      </x:c>
      <x:c r="Z83" s="26"/>
      <x:c r="AA83" s="26" t="str">
        <x:v>Gurthuruthanda (36701020216)</x:v>
      </x:c>
      <x:c r="AB83" s="26" t="str">
        <x:v>Enriched from Mulugu project JSON</x:v>
      </x:c>
    </x:row>
    <x:row r="84">
      <x:c r="A84" s="26" t="n">
        <x:v>81</x:v>
      </x:c>
      <x:c r="B84" s="26" t="n">
        <x:v>282</x:v>
      </x:c>
      <x:c r="C84" s="26" t="str">
        <x:v>Mulugu</x:v>
      </x:c>
      <x:c r="D84" s="26" t="n">
        <x:v>10329</x:v>
      </x:c>
      <x:c r="E84" s="26" t="str">
        <x:v>PRJ-2026-0010329</x:v>
      </x:c>
      <x:c r="F84" s="26" t="str">
        <x:v>AWC Gurthuruthanda</x:v>
      </x:c>
      <x:c r="G84" s="26" t="n">
        <x:v>856</x:v>
      </x:c>
      <x:c r="H84" s="26" t="n">
        <x:v>39419</x:v>
      </x:c>
      <x:c r="I84" s="26" t="str">
        <x:v>Tube Lights</x:v>
      </x:c>
      <x:c r="J84" s="26" t="str">
        <x:v>Number</x:v>
      </x:c>
      <x:c r="K84" s="26" t="n">
        <x:v>2</x:v>
      </x:c>
      <x:c r="L84" s="26" t="n">
        <x:v>2</x:v>
      </x:c>
      <x:c r="M84" s="26" t="n">
        <x:v>2</x:v>
      </x:c>
      <x:c r="N84" s="26" t="n">
        <x:v>0</x:v>
      </x:c>
      <x:c r="O84" s="26" t="n">
        <x:f>MAX(M84-N84,0)</x:f>
        <x:v>2</x:v>
      </x:c>
      <x:c r="P84" s="38" t="n">
        <x:f>IFERROR(N84/M84,0)</x:f>
        <x:v>0</x:v>
      </x:c>
      <x:c r="Q84" s="26" t="str">
        <x:v>Material/Assets/Equipment</x:v>
      </x:c>
      <x:c r="R84" s="26" t="str">
        <x:v>Electrical Infrastructure</x:v>
      </x:c>
      <x:c r="S84" s="26" t="str">
        <x:v>Medium</x:v>
      </x:c>
      <x:c r="T84" s="26"/>
      <x:c r="U84" s="26"/>
      <x:c r="V84" s="26"/>
      <x:c r="W84" s="32"/>
      <x:c r="X84" s="27" t="b">
        <x:v>1</x:v>
      </x:c>
      <x:c r="Y84" s="34" t="n">
        <x:v>46220.017743055556</x:v>
      </x:c>
      <x:c r="Z84" s="26"/>
      <x:c r="AA84" s="26" t="str">
        <x:v>Gurthuruthanda (36701020216)</x:v>
      </x:c>
      <x:c r="AB84" s="26" t="str">
        <x:v>Enriched from Mulugu project JSON</x:v>
      </x:c>
    </x:row>
    <x:row r="85">
      <x:c r="A85" s="26" t="n">
        <x:v>82</x:v>
      </x:c>
      <x:c r="B85" s="26" t="n">
        <x:v>282</x:v>
      </x:c>
      <x:c r="C85" s="26" t="str">
        <x:v>Mulugu</x:v>
      </x:c>
      <x:c r="D85" s="26" t="n">
        <x:v>10329</x:v>
      </x:c>
      <x:c r="E85" s="26" t="str">
        <x:v>PRJ-2026-0010329</x:v>
      </x:c>
      <x:c r="F85" s="26" t="str">
        <x:v>AWC Gurthuruthanda</x:v>
      </x:c>
      <x:c r="G85" s="26" t="n">
        <x:v>857</x:v>
      </x:c>
      <x:c r="H85" s="26" t="n">
        <x:v>39420</x:v>
      </x:c>
      <x:c r="I85" s="26" t="str">
        <x:v>Water Purifier</x:v>
      </x:c>
      <x:c r="J85" s="26" t="str">
        <x:v>Number</x:v>
      </x:c>
      <x:c r="K85" s="26" t="n">
        <x:v>1</x:v>
      </x:c>
      <x:c r="L85" s="26" t="n">
        <x:v>1</x:v>
      </x:c>
      <x:c r="M85" s="26" t="n">
        <x:v>1</x:v>
      </x:c>
      <x:c r="N85" s="26" t="n">
        <x:v>0</x:v>
      </x:c>
      <x:c r="O85" s="26" t="n">
        <x:f>MAX(M85-N85,0)</x:f>
        <x:v>1</x:v>
      </x:c>
      <x:c r="P85" s="38" t="n">
        <x:f>IFERROR(N85/M85,0)</x:f>
        <x:v>0</x:v>
      </x:c>
      <x:c r="Q85" s="26" t="str">
        <x:v>Material/Assets/Equipment</x:v>
      </x:c>
      <x:c r="R85" s="26" t="str">
        <x:v>Health and Safety aids</x:v>
      </x:c>
      <x:c r="S85" s="26" t="str">
        <x:v>Minor</x:v>
      </x:c>
      <x:c r="T85" s="26"/>
      <x:c r="U85" s="26"/>
      <x:c r="V85" s="26"/>
      <x:c r="W85" s="32"/>
      <x:c r="X85" s="27" t="b">
        <x:v>1</x:v>
      </x:c>
      <x:c r="Y85" s="34" t="n">
        <x:v>46220.017743055556</x:v>
      </x:c>
      <x:c r="Z85" s="26"/>
      <x:c r="AA85" s="26" t="str">
        <x:v>Gurthuruthanda (36701020216)</x:v>
      </x:c>
      <x:c r="AB85" s="26" t="str">
        <x:v>Enriched from Mulugu project JSON</x:v>
      </x:c>
    </x:row>
    <x:row r="86">
      <x:c r="A86" s="26" t="n">
        <x:v>83</x:v>
      </x:c>
      <x:c r="B86" s="26" t="n">
        <x:v>282</x:v>
      </x:c>
      <x:c r="C86" s="26" t="str">
        <x:v>Mulugu</x:v>
      </x:c>
      <x:c r="D86" s="26" t="n">
        <x:v>10329</x:v>
      </x:c>
      <x:c r="E86" s="26" t="str">
        <x:v>PRJ-2026-0010329</x:v>
      </x:c>
      <x:c r="F86" s="26" t="str">
        <x:v>AWC Gurthuruthanda</x:v>
      </x:c>
      <x:c r="G86" s="26" t="n">
        <x:v>858</x:v>
      </x:c>
      <x:c r="H86" s="26" t="n">
        <x:v>39421</x:v>
      </x:c>
      <x:c r="I86" s="26" t="str">
        <x:v>Chairs</x:v>
      </x:c>
      <x:c r="J86" s="26" t="str">
        <x:v>Number</x:v>
      </x:c>
      <x:c r="K86" s="26" t="n">
        <x:v>3</x:v>
      </x:c>
      <x:c r="L86" s="26" t="n">
        <x:v>3</x:v>
      </x:c>
      <x:c r="M86" s="26" t="n">
        <x:v>3</x:v>
      </x:c>
      <x:c r="N86" s="26" t="n">
        <x:v>0</x:v>
      </x:c>
      <x:c r="O86" s="26" t="n">
        <x:f>MAX(M86-N86,0)</x:f>
        <x:v>3</x:v>
      </x:c>
      <x:c r="P86" s="38" t="n">
        <x:f>IFERROR(N86/M86,0)</x:f>
        <x:v>0</x:v>
      </x:c>
      <x:c r="Q86" s="26" t="str">
        <x:v>Material/Assets/Equipment</x:v>
      </x:c>
      <x:c r="R86" s="26" t="str">
        <x:v>Office Needs</x:v>
      </x:c>
      <x:c r="S86" s="26" t="str">
        <x:v>Minor</x:v>
      </x:c>
      <x:c r="T86" s="26"/>
      <x:c r="U86" s="26"/>
      <x:c r="V86" s="26"/>
      <x:c r="W86" s="32"/>
      <x:c r="X86" s="27" t="b">
        <x:v>1</x:v>
      </x:c>
      <x:c r="Y86" s="34" t="n">
        <x:v>46220.017743055556</x:v>
      </x:c>
      <x:c r="Z86" s="26"/>
      <x:c r="AA86" s="26" t="str">
        <x:v>Gurthuruthanda (36701020216)</x:v>
      </x:c>
      <x:c r="AB86" s="26" t="str">
        <x:v>Enriched from Mulugu project JSON</x:v>
      </x:c>
    </x:row>
    <x:row r="87">
      <x:c r="A87" s="26" t="n">
        <x:v>84</x:v>
      </x:c>
      <x:c r="B87" s="26" t="n">
        <x:v>280</x:v>
      </x:c>
      <x:c r="C87" s="26" t="str">
        <x:v>Mulugu</x:v>
      </x:c>
      <x:c r="D87" s="26" t="n">
        <x:v>10539</x:v>
      </x:c>
      <x:c r="E87" s="26" t="str">
        <x:v>PRJ-2026-0010539</x:v>
      </x:c>
      <x:c r="F87" s="26" t="str">
        <x:v>AWC Annampalli</x:v>
      </x:c>
      <x:c r="G87" s="26" t="n">
        <x:v>838</x:v>
      </x:c>
      <x:c r="H87" s="26" t="n">
        <x:v>40266</x:v>
      </x:c>
      <x:c r="I87" s="26" t="str">
        <x:v>Toys</x:v>
      </x:c>
      <x:c r="J87" s="26" t="str">
        <x:v>Number</x:v>
      </x:c>
      <x:c r="K87" s="26" t="n">
        <x:v>10</x:v>
      </x:c>
      <x:c r="L87" s="26" t="n">
        <x:v>10</x:v>
      </x:c>
      <x:c r="M87" s="26" t="n">
        <x:v>10</x:v>
      </x:c>
      <x:c r="N87" s="26" t="n">
        <x:v>0</x:v>
      </x:c>
      <x:c r="O87" s="26" t="n">
        <x:f>MAX(M87-N87,0)</x:f>
        <x:v>10</x:v>
      </x:c>
      <x:c r="P87" s="38" t="n">
        <x:f>IFERROR(N87/M87,0)</x:f>
        <x:v>0</x:v>
      </x:c>
      <x:c r="Q87" s="26" t="str">
        <x:v>Material/Assets/Equipment</x:v>
      </x:c>
      <x:c r="R87" s="26" t="str">
        <x:v>ECCE Equipment</x:v>
      </x:c>
      <x:c r="S87" s="26" t="str">
        <x:v>Minor</x:v>
      </x:c>
      <x:c r="T87" s="26"/>
      <x:c r="U87" s="26"/>
      <x:c r="V87" s="26"/>
      <x:c r="W87" s="32"/>
      <x:c r="X87" s="27" t="b">
        <x:v>1</x:v>
      </x:c>
      <x:c r="Y87" s="34" t="n">
        <x:v>46220.01773148148</x:v>
      </x:c>
      <x:c r="Z87" s="26"/>
      <x:c r="AA87" s="26" t="str">
        <x:v>ANNAMPALLI (36701020222)</x:v>
      </x:c>
      <x:c r="AB87" s="26" t="str">
        <x:v>Enriched from Mulugu project JSON</x:v>
      </x:c>
    </x:row>
    <x:row r="88">
      <x:c r="A88" s="26" t="n">
        <x:v>85</x:v>
      </x:c>
      <x:c r="B88" s="26" t="n">
        <x:v>280</x:v>
      </x:c>
      <x:c r="C88" s="26" t="str">
        <x:v>Mulugu</x:v>
      </x:c>
      <x:c r="D88" s="26" t="n">
        <x:v>10539</x:v>
      </x:c>
      <x:c r="E88" s="26" t="str">
        <x:v>PRJ-2026-0010539</x:v>
      </x:c>
      <x:c r="F88" s="26" t="str">
        <x:v>AWC Annampalli</x:v>
      </x:c>
      <x:c r="G88" s="26" t="n">
        <x:v>839</x:v>
      </x:c>
      <x:c r="H88" s="26" t="n">
        <x:v>40267</x:v>
      </x:c>
      <x:c r="I88" s="26" t="str">
        <x:v>Swing sets</x:v>
      </x:c>
      <x:c r="J88" s="26" t="str">
        <x:v>Number</x:v>
      </x:c>
      <x:c r="K88" s="26" t="n">
        <x:v>2</x:v>
      </x:c>
      <x:c r="L88" s="26" t="n">
        <x:v>2</x:v>
      </x:c>
      <x:c r="M88" s="26" t="n">
        <x:v>2</x:v>
      </x:c>
      <x:c r="N88" s="26" t="n">
        <x:v>0</x:v>
      </x:c>
      <x:c r="O88" s="26" t="n">
        <x:f>MAX(M88-N88,0)</x:f>
        <x:v>2</x:v>
      </x:c>
      <x:c r="P88" s="38" t="n">
        <x:f>IFERROR(N88/M88,0)</x:f>
        <x:v>0</x:v>
      </x:c>
      <x:c r="Q88" s="26" t="str">
        <x:v>Material/Assets/Equipment</x:v>
      </x:c>
      <x:c r="R88" s="26" t="str">
        <x:v>ECCE Equipment</x:v>
      </x:c>
      <x:c r="S88" s="26" t="str">
        <x:v>Minor</x:v>
      </x:c>
      <x:c r="T88" s="26"/>
      <x:c r="U88" s="26"/>
      <x:c r="V88" s="26"/>
      <x:c r="W88" s="32"/>
      <x:c r="X88" s="27" t="b">
        <x:v>1</x:v>
      </x:c>
      <x:c r="Y88" s="34" t="n">
        <x:v>46220.01773148148</x:v>
      </x:c>
      <x:c r="Z88" s="26"/>
      <x:c r="AA88" s="26" t="str">
        <x:v>ANNAMPALLI (36701020222)</x:v>
      </x:c>
      <x:c r="AB88" s="26" t="str">
        <x:v>Enriched from Mulugu project JSON</x:v>
      </x:c>
    </x:row>
    <x:row r="89">
      <x:c r="A89" s="26" t="n">
        <x:v>86</x:v>
      </x:c>
      <x:c r="B89" s="26" t="n">
        <x:v>280</x:v>
      </x:c>
      <x:c r="C89" s="26" t="str">
        <x:v>Mulugu</x:v>
      </x:c>
      <x:c r="D89" s="26" t="n">
        <x:v>10539</x:v>
      </x:c>
      <x:c r="E89" s="26" t="str">
        <x:v>PRJ-2026-0010539</x:v>
      </x:c>
      <x:c r="F89" s="26" t="str">
        <x:v>AWC Annampalli</x:v>
      </x:c>
      <x:c r="G89" s="26" t="n">
        <x:v>840</x:v>
      </x:c>
      <x:c r="H89" s="26" t="n">
        <x:v>40268</x:v>
      </x:c>
      <x:c r="I89" s="26" t="str">
        <x:v>Chairs/Benches</x:v>
      </x:c>
      <x:c r="J89" s="26" t="str">
        <x:v>Number</x:v>
      </x:c>
      <x:c r="K89" s="26" t="n">
        <x:v>10</x:v>
      </x:c>
      <x:c r="L89" s="26" t="n">
        <x:v>10</x:v>
      </x:c>
      <x:c r="M89" s="26" t="n">
        <x:v>10</x:v>
      </x:c>
      <x:c r="N89" s="26" t="n">
        <x:v>0</x:v>
      </x:c>
      <x:c r="O89" s="26" t="n">
        <x:f>MAX(M89-N89,0)</x:f>
        <x:v>10</x:v>
      </x:c>
      <x:c r="P89" s="38" t="n">
        <x:f>IFERROR(N89/M89,0)</x:f>
        <x:v>0</x:v>
      </x:c>
      <x:c r="Q89" s="26" t="str">
        <x:v>Material/Assets/Equipment</x:v>
      </x:c>
      <x:c r="R89" s="26" t="str">
        <x:v>Educational Needs</x:v>
      </x:c>
      <x:c r="S89" s="26" t="str">
        <x:v>Minor</x:v>
      </x:c>
      <x:c r="T89" s="26"/>
      <x:c r="U89" s="26"/>
      <x:c r="V89" s="26"/>
      <x:c r="W89" s="32"/>
      <x:c r="X89" s="27" t="b">
        <x:v>1</x:v>
      </x:c>
      <x:c r="Y89" s="34" t="n">
        <x:v>46220.01773148148</x:v>
      </x:c>
      <x:c r="Z89" s="26"/>
      <x:c r="AA89" s="26" t="str">
        <x:v>ANNAMPALLI (36701020222)</x:v>
      </x:c>
      <x:c r="AB89" s="26" t="str">
        <x:v>Enriched from Mulugu project JSON</x:v>
      </x:c>
    </x:row>
    <x:row r="90">
      <x:c r="A90" s="26" t="n">
        <x:v>87</x:v>
      </x:c>
      <x:c r="B90" s="26" t="n">
        <x:v>280</x:v>
      </x:c>
      <x:c r="C90" s="26" t="str">
        <x:v>Mulugu</x:v>
      </x:c>
      <x:c r="D90" s="26" t="n">
        <x:v>10539</x:v>
      </x:c>
      <x:c r="E90" s="26" t="str">
        <x:v>PRJ-2026-0010539</x:v>
      </x:c>
      <x:c r="F90" s="26" t="str">
        <x:v>AWC Annampalli</x:v>
      </x:c>
      <x:c r="G90" s="26" t="n">
        <x:v>841</x:v>
      </x:c>
      <x:c r="H90" s="26" t="n">
        <x:v>40269</x:v>
      </x:c>
      <x:c r="I90" s="26" t="str">
        <x:v>Water Purifier</x:v>
      </x:c>
      <x:c r="J90" s="26" t="str">
        <x:v>Number</x:v>
      </x:c>
      <x:c r="K90" s="26" t="n">
        <x:v>1</x:v>
      </x:c>
      <x:c r="L90" s="26" t="n">
        <x:v>1</x:v>
      </x:c>
      <x:c r="M90" s="26" t="n">
        <x:v>1</x:v>
      </x:c>
      <x:c r="N90" s="26" t="n">
        <x:v>0</x:v>
      </x:c>
      <x:c r="O90" s="26" t="n">
        <x:f>MAX(M90-N90,0)</x:f>
        <x:v>1</x:v>
      </x:c>
      <x:c r="P90" s="38" t="n">
        <x:f>IFERROR(N90/M90,0)</x:f>
        <x:v>0</x:v>
      </x:c>
      <x:c r="Q90" s="26" t="str">
        <x:v>Material/Assets/Equipment</x:v>
      </x:c>
      <x:c r="R90" s="26" t="str">
        <x:v>Health and Safety aids</x:v>
      </x:c>
      <x:c r="S90" s="26" t="str">
        <x:v>Minor</x:v>
      </x:c>
      <x:c r="T90" s="26"/>
      <x:c r="U90" s="26"/>
      <x:c r="V90" s="26"/>
      <x:c r="W90" s="32"/>
      <x:c r="X90" s="27" t="b">
        <x:v>1</x:v>
      </x:c>
      <x:c r="Y90" s="34" t="n">
        <x:v>46220.01773148148</x:v>
      </x:c>
      <x:c r="Z90" s="26"/>
      <x:c r="AA90" s="26" t="str">
        <x:v>ANNAMPALLI (36701020222)</x:v>
      </x:c>
      <x:c r="AB90" s="26" t="str">
        <x:v>Enriched from Mulugu project JSON</x:v>
      </x:c>
    </x:row>
    <x:row r="91">
      <x:c r="A91" s="26" t="n">
        <x:v>88</x:v>
      </x:c>
      <x:c r="B91" s="26" t="n">
        <x:v>280</x:v>
      </x:c>
      <x:c r="C91" s="26" t="str">
        <x:v>Mulugu</x:v>
      </x:c>
      <x:c r="D91" s="26" t="n">
        <x:v>10539</x:v>
      </x:c>
      <x:c r="E91" s="26" t="str">
        <x:v>PRJ-2026-0010539</x:v>
      </x:c>
      <x:c r="F91" s="26" t="str">
        <x:v>AWC Annampalli</x:v>
      </x:c>
      <x:c r="G91" s="26" t="n">
        <x:v>842</x:v>
      </x:c>
      <x:c r="H91" s="26" t="n">
        <x:v>40270</x:v>
      </x:c>
      <x:c r="I91" s="26" t="str">
        <x:v>Tube Lights</x:v>
      </x:c>
      <x:c r="J91" s="26" t="str">
        <x:v>Number</x:v>
      </x:c>
      <x:c r="K91" s="26" t="n">
        <x:v>2</x:v>
      </x:c>
      <x:c r="L91" s="26" t="n">
        <x:v>2</x:v>
      </x:c>
      <x:c r="M91" s="26" t="n">
        <x:v>2</x:v>
      </x:c>
      <x:c r="N91" s="26" t="n">
        <x:v>0</x:v>
      </x:c>
      <x:c r="O91" s="26" t="n">
        <x:f>MAX(M91-N91,0)</x:f>
        <x:v>2</x:v>
      </x:c>
      <x:c r="P91" s="38" t="n">
        <x:f>IFERROR(N91/M91,0)</x:f>
        <x:v>0</x:v>
      </x:c>
      <x:c r="Q91" s="26" t="str">
        <x:v>Material/Assets/Equipment</x:v>
      </x:c>
      <x:c r="R91" s="26" t="str">
        <x:v>Electrical Infrastructure</x:v>
      </x:c>
      <x:c r="S91" s="26" t="str">
        <x:v>Medium</x:v>
      </x:c>
      <x:c r="T91" s="26"/>
      <x:c r="U91" s="26"/>
      <x:c r="V91" s="26"/>
      <x:c r="W91" s="32"/>
      <x:c r="X91" s="27" t="b">
        <x:v>1</x:v>
      </x:c>
      <x:c r="Y91" s="34" t="n">
        <x:v>46220.01773148148</x:v>
      </x:c>
      <x:c r="Z91" s="26"/>
      <x:c r="AA91" s="26" t="str">
        <x:v>ANNAMPALLI (36701020222)</x:v>
      </x:c>
      <x:c r="AB91" s="26" t="str">
        <x:v>Enriched from Mulugu project JSON</x:v>
      </x:c>
    </x:row>
    <x:row r="92">
      <x:c r="A92" s="26" t="n">
        <x:v>89</x:v>
      </x:c>
      <x:c r="B92" s="26" t="n">
        <x:v>280</x:v>
      </x:c>
      <x:c r="C92" s="26" t="str">
        <x:v>Mulugu</x:v>
      </x:c>
      <x:c r="D92" s="26" t="n">
        <x:v>10539</x:v>
      </x:c>
      <x:c r="E92" s="26" t="str">
        <x:v>PRJ-2026-0010539</x:v>
      </x:c>
      <x:c r="F92" s="26" t="str">
        <x:v>AWC Annampalli</x:v>
      </x:c>
      <x:c r="G92" s="26" t="n">
        <x:v>843</x:v>
      </x:c>
      <x:c r="H92" s="26" t="n">
        <x:v>40271</x:v>
      </x:c>
      <x:c r="I92" s="26" t="str">
        <x:v>Cooking Equipments</x:v>
      </x:c>
      <x:c r="J92" s="26" t="str">
        <x:v>Number</x:v>
      </x:c>
      <x:c r="K92" s="26" t="n">
        <x:v>1</x:v>
      </x:c>
      <x:c r="L92" s="26" t="n">
        <x:v>1</x:v>
      </x:c>
      <x:c r="M92" s="26" t="n">
        <x:v>1</x:v>
      </x:c>
      <x:c r="N92" s="26" t="n">
        <x:v>0</x:v>
      </x:c>
      <x:c r="O92" s="26" t="n">
        <x:f>MAX(M92-N92,0)</x:f>
        <x:v>1</x:v>
      </x:c>
      <x:c r="P92" s="38" t="n">
        <x:f>IFERROR(N92/M92,0)</x:f>
        <x:v>0</x:v>
      </x:c>
      <x:c r="Q92" s="26" t="str">
        <x:v>Material/Assets/Equipment</x:v>
      </x:c>
      <x:c r="R92" s="26" t="str">
        <x:v>Electrical Infrastructure</x:v>
      </x:c>
      <x:c r="S92" s="26" t="str">
        <x:v>Medium</x:v>
      </x:c>
      <x:c r="T92" s="26"/>
      <x:c r="U92" s="26"/>
      <x:c r="V92" s="26"/>
      <x:c r="W92" s="32"/>
      <x:c r="X92" s="27" t="b">
        <x:v>1</x:v>
      </x:c>
      <x:c r="Y92" s="34" t="n">
        <x:v>46220.01773148148</x:v>
      </x:c>
      <x:c r="Z92" s="26"/>
      <x:c r="AA92" s="26" t="str">
        <x:v>ANNAMPALLI (36701020222)</x:v>
      </x:c>
      <x:c r="AB92" s="26" t="str">
        <x:v>Enriched from Mulugu project JSON</x:v>
      </x:c>
    </x:row>
    <x:row r="93">
      <x:c r="A93" s="26" t="n">
        <x:v>90</x:v>
      </x:c>
      <x:c r="B93" s="26" t="n">
        <x:v>280</x:v>
      </x:c>
      <x:c r="C93" s="26" t="str">
        <x:v>Mulugu</x:v>
      </x:c>
      <x:c r="D93" s="26" t="n">
        <x:v>10539</x:v>
      </x:c>
      <x:c r="E93" s="26" t="str">
        <x:v>PRJ-2026-0010539</x:v>
      </x:c>
      <x:c r="F93" s="26" t="str">
        <x:v>AWC Annampalli</x:v>
      </x:c>
      <x:c r="G93" s="26" t="n">
        <x:v>844</x:v>
      </x:c>
      <x:c r="H93" s="26" t="n">
        <x:v>40272</x:v>
      </x:c>
      <x:c r="I93" s="26" t="str">
        <x:v>Chairs</x:v>
      </x:c>
      <x:c r="J93" s="26" t="str">
        <x:v>Number</x:v>
      </x:c>
      <x:c r="K93" s="26" t="n">
        <x:v>3</x:v>
      </x:c>
      <x:c r="L93" s="26" t="n">
        <x:v>3</x:v>
      </x:c>
      <x:c r="M93" s="26" t="n">
        <x:v>3</x:v>
      </x:c>
      <x:c r="N93" s="26" t="n">
        <x:v>0</x:v>
      </x:c>
      <x:c r="O93" s="26" t="n">
        <x:f>MAX(M93-N93,0)</x:f>
        <x:v>3</x:v>
      </x:c>
      <x:c r="P93" s="38" t="n">
        <x:f>IFERROR(N93/M93,0)</x:f>
        <x:v>0</x:v>
      </x:c>
      <x:c r="Q93" s="26" t="str">
        <x:v>Material/Assets/Equipment</x:v>
      </x:c>
      <x:c r="R93" s="26" t="str">
        <x:v>Office Needs</x:v>
      </x:c>
      <x:c r="S93" s="26" t="str">
        <x:v>Minor</x:v>
      </x:c>
      <x:c r="T93" s="26"/>
      <x:c r="U93" s="26"/>
      <x:c r="V93" s="26"/>
      <x:c r="W93" s="32"/>
      <x:c r="X93" s="27" t="b">
        <x:v>1</x:v>
      </x:c>
      <x:c r="Y93" s="34" t="n">
        <x:v>46220.01773148148</x:v>
      </x:c>
      <x:c r="Z93" s="26"/>
      <x:c r="AA93" s="26" t="str">
        <x:v>ANNAMPALLI (36701020222)</x:v>
      </x:c>
      <x:c r="AB93" s="26" t="str">
        <x:v>Enriched from Mulugu project JSON</x:v>
      </x:c>
    </x:row>
    <x:row r="94">
      <x:c r="A94" s="26" t="n">
        <x:v>91</x:v>
      </x:c>
      <x:c r="B94" s="26" t="n">
        <x:v>279</x:v>
      </x:c>
      <x:c r="C94" s="26" t="str">
        <x:v>Mulugu</x:v>
      </x:c>
      <x:c r="D94" s="26" t="n">
        <x:v>10589</x:v>
      </x:c>
      <x:c r="E94" s="26" t="str">
        <x:v>PRJ-2026-0010589</x:v>
      </x:c>
      <x:c r="F94" s="26" t="str">
        <x:v>AWC Pandikunta I</x:v>
      </x:c>
      <x:c r="G94" s="26" t="n">
        <x:v>830</x:v>
      </x:c>
      <x:c r="H94" s="26" t="n">
        <x:v>40456</x:v>
      </x:c>
      <x:c r="I94" s="26" t="str">
        <x:v>Toys</x:v>
      </x:c>
      <x:c r="J94" s="26" t="str">
        <x:v>Number</x:v>
      </x:c>
      <x:c r="K94" s="26" t="n">
        <x:v>10</x:v>
      </x:c>
      <x:c r="L94" s="26" t="n">
        <x:v>10</x:v>
      </x:c>
      <x:c r="M94" s="26" t="n">
        <x:v>10</x:v>
      </x:c>
      <x:c r="N94" s="26" t="n">
        <x:v>0</x:v>
      </x:c>
      <x:c r="O94" s="26" t="n">
        <x:f>MAX(M94-N94,0)</x:f>
        <x:v>10</x:v>
      </x:c>
      <x:c r="P94" s="38" t="n">
        <x:f>IFERROR(N94/M94,0)</x:f>
        <x:v>0</x:v>
      </x:c>
      <x:c r="Q94" s="26" t="str">
        <x:v>Material/Assets/Equipment</x:v>
      </x:c>
      <x:c r="R94" s="26" t="str">
        <x:v>ECCE Equipment</x:v>
      </x:c>
      <x:c r="S94" s="26" t="str">
        <x:v>Minor</x:v>
      </x:c>
      <x:c r="T94" s="26"/>
      <x:c r="U94" s="26"/>
      <x:c r="V94" s="26"/>
      <x:c r="W94" s="32"/>
      <x:c r="X94" s="27" t="b">
        <x:v>1</x:v>
      </x:c>
      <x:c r="Y94" s="34" t="n">
        <x:v>46220.01724537037</x:v>
      </x:c>
      <x:c r="Z94" s="26"/>
      <x:c r="AA94" s="26" t="str">
        <x:v>Pandikunta - I (36701020211)</x:v>
      </x:c>
      <x:c r="AB94" s="26" t="str">
        <x:v>Enriched from Mulugu project JSON</x:v>
      </x:c>
    </x:row>
    <x:row r="95">
      <x:c r="A95" s="26" t="n">
        <x:v>92</x:v>
      </x:c>
      <x:c r="B95" s="26" t="n">
        <x:v>279</x:v>
      </x:c>
      <x:c r="C95" s="26" t="str">
        <x:v>Mulugu</x:v>
      </x:c>
      <x:c r="D95" s="26" t="n">
        <x:v>10589</x:v>
      </x:c>
      <x:c r="E95" s="26" t="str">
        <x:v>PRJ-2026-0010589</x:v>
      </x:c>
      <x:c r="F95" s="26" t="str">
        <x:v>AWC Pandikunta I</x:v>
      </x:c>
      <x:c r="G95" s="26" t="n">
        <x:v>831</x:v>
      </x:c>
      <x:c r="H95" s="26" t="n">
        <x:v>40457</x:v>
      </x:c>
      <x:c r="I95" s="26" t="str">
        <x:v>Games</x:v>
      </x:c>
      <x:c r="J95" s="26" t="str">
        <x:v>Number</x:v>
      </x:c>
      <x:c r="K95" s="26" t="n">
        <x:v>10</x:v>
      </x:c>
      <x:c r="L95" s="26" t="n">
        <x:v>10</x:v>
      </x:c>
      <x:c r="M95" s="26" t="n">
        <x:v>10</x:v>
      </x:c>
      <x:c r="N95" s="26" t="n">
        <x:v>0</x:v>
      </x:c>
      <x:c r="O95" s="26" t="n">
        <x:f>MAX(M95-N95,0)</x:f>
        <x:v>10</x:v>
      </x:c>
      <x:c r="P95" s="38" t="n">
        <x:f>IFERROR(N95/M95,0)</x:f>
        <x:v>0</x:v>
      </x:c>
      <x:c r="Q95" s="26" t="str">
        <x:v>Material/Assets/Equipment</x:v>
      </x:c>
      <x:c r="R95" s="26" t="str">
        <x:v>ECCE Equipment</x:v>
      </x:c>
      <x:c r="S95" s="26" t="str">
        <x:v>Minor</x:v>
      </x:c>
      <x:c r="T95" s="26"/>
      <x:c r="U95" s="26"/>
      <x:c r="V95" s="26"/>
      <x:c r="W95" s="32"/>
      <x:c r="X95" s="27" t="b">
        <x:v>1</x:v>
      </x:c>
      <x:c r="Y95" s="34" t="n">
        <x:v>46220.01724537037</x:v>
      </x:c>
      <x:c r="Z95" s="26"/>
      <x:c r="AA95" s="26" t="str">
        <x:v>Pandikunta - I (36701020211)</x:v>
      </x:c>
      <x:c r="AB95" s="26" t="str">
        <x:v>Enriched from Mulugu project JSON</x:v>
      </x:c>
    </x:row>
    <x:row r="96">
      <x:c r="A96" s="26" t="n">
        <x:v>93</x:v>
      </x:c>
      <x:c r="B96" s="26" t="n">
        <x:v>279</x:v>
      </x:c>
      <x:c r="C96" s="26" t="str">
        <x:v>Mulugu</x:v>
      </x:c>
      <x:c r="D96" s="26" t="n">
        <x:v>10589</x:v>
      </x:c>
      <x:c r="E96" s="26" t="str">
        <x:v>PRJ-2026-0010589</x:v>
      </x:c>
      <x:c r="F96" s="26" t="str">
        <x:v>AWC Pandikunta I</x:v>
      </x:c>
      <x:c r="G96" s="26" t="n">
        <x:v>832</x:v>
      </x:c>
      <x:c r="H96" s="26" t="n">
        <x:v>40458</x:v>
      </x:c>
      <x:c r="I96" s="26" t="str">
        <x:v>Chairs/Benches</x:v>
      </x:c>
      <x:c r="J96" s="26" t="str">
        <x:v>Number</x:v>
      </x:c>
      <x:c r="K96" s="26" t="n">
        <x:v>15</x:v>
      </x:c>
      <x:c r="L96" s="26" t="n">
        <x:v>15</x:v>
      </x:c>
      <x:c r="M96" s="26" t="n">
        <x:v>15</x:v>
      </x:c>
      <x:c r="N96" s="26" t="n">
        <x:v>0</x:v>
      </x:c>
      <x:c r="O96" s="26" t="n">
        <x:f>MAX(M96-N96,0)</x:f>
        <x:v>15</x:v>
      </x:c>
      <x:c r="P96" s="38" t="n">
        <x:f>IFERROR(N96/M96,0)</x:f>
        <x:v>0</x:v>
      </x:c>
      <x:c r="Q96" s="26" t="str">
        <x:v>Material/Assets/Equipment</x:v>
      </x:c>
      <x:c r="R96" s="26" t="str">
        <x:v>Educational Needs</x:v>
      </x:c>
      <x:c r="S96" s="26" t="str">
        <x:v>Minor</x:v>
      </x:c>
      <x:c r="T96" s="26"/>
      <x:c r="U96" s="26"/>
      <x:c r="V96" s="26"/>
      <x:c r="W96" s="32"/>
      <x:c r="X96" s="27" t="b">
        <x:v>1</x:v>
      </x:c>
      <x:c r="Y96" s="34" t="n">
        <x:v>46220.01724537037</x:v>
      </x:c>
      <x:c r="Z96" s="26"/>
      <x:c r="AA96" s="26" t="str">
        <x:v>Pandikunta - I (36701020211)</x:v>
      </x:c>
      <x:c r="AB96" s="26" t="str">
        <x:v>Enriched from Mulugu project JSON</x:v>
      </x:c>
    </x:row>
    <x:row r="97">
      <x:c r="A97" s="26" t="n">
        <x:v>94</x:v>
      </x:c>
      <x:c r="B97" s="26" t="n">
        <x:v>279</x:v>
      </x:c>
      <x:c r="C97" s="26" t="str">
        <x:v>Mulugu</x:v>
      </x:c>
      <x:c r="D97" s="26" t="n">
        <x:v>10589</x:v>
      </x:c>
      <x:c r="E97" s="26" t="str">
        <x:v>PRJ-2026-0010589</x:v>
      </x:c>
      <x:c r="F97" s="26" t="str">
        <x:v>AWC Pandikunta I</x:v>
      </x:c>
      <x:c r="G97" s="26" t="n">
        <x:v>833</x:v>
      </x:c>
      <x:c r="H97" s="26" t="n">
        <x:v>40459</x:v>
      </x:c>
      <x:c r="I97" s="26" t="str">
        <x:v>Tube Lights</x:v>
      </x:c>
      <x:c r="J97" s="26" t="str">
        <x:v>Number</x:v>
      </x:c>
      <x:c r="K97" s="26" t="n">
        <x:v>2</x:v>
      </x:c>
      <x:c r="L97" s="26" t="n">
        <x:v>2</x:v>
      </x:c>
      <x:c r="M97" s="26" t="n">
        <x:v>2</x:v>
      </x:c>
      <x:c r="N97" s="26" t="n">
        <x:v>0</x:v>
      </x:c>
      <x:c r="O97" s="26" t="n">
        <x:f>MAX(M97-N97,0)</x:f>
        <x:v>2</x:v>
      </x:c>
      <x:c r="P97" s="38" t="n">
        <x:f>IFERROR(N97/M97,0)</x:f>
        <x:v>0</x:v>
      </x:c>
      <x:c r="Q97" s="26" t="str">
        <x:v>Material/Assets/Equipment</x:v>
      </x:c>
      <x:c r="R97" s="26" t="str">
        <x:v>Electrical Infrastructure</x:v>
      </x:c>
      <x:c r="S97" s="26" t="str">
        <x:v>Medium</x:v>
      </x:c>
      <x:c r="T97" s="26"/>
      <x:c r="U97" s="26"/>
      <x:c r="V97" s="26"/>
      <x:c r="W97" s="32"/>
      <x:c r="X97" s="27" t="b">
        <x:v>1</x:v>
      </x:c>
      <x:c r="Y97" s="34" t="n">
        <x:v>46220.01724537037</x:v>
      </x:c>
      <x:c r="Z97" s="26"/>
      <x:c r="AA97" s="26" t="str">
        <x:v>Pandikunta - I (36701020211)</x:v>
      </x:c>
      <x:c r="AB97" s="26" t="str">
        <x:v>Enriched from Mulugu project JSON</x:v>
      </x:c>
    </x:row>
    <x:row r="98">
      <x:c r="A98" s="26" t="n">
        <x:v>95</x:v>
      </x:c>
      <x:c r="B98" s="26" t="n">
        <x:v>279</x:v>
      </x:c>
      <x:c r="C98" s="26" t="str">
        <x:v>Mulugu</x:v>
      </x:c>
      <x:c r="D98" s="26" t="n">
        <x:v>10589</x:v>
      </x:c>
      <x:c r="E98" s="26" t="str">
        <x:v>PRJ-2026-0010589</x:v>
      </x:c>
      <x:c r="F98" s="26" t="str">
        <x:v>AWC Pandikunta I</x:v>
      </x:c>
      <x:c r="G98" s="26" t="n">
        <x:v>834</x:v>
      </x:c>
      <x:c r="H98" s="26" t="n">
        <x:v>40460</x:v>
      </x:c>
      <x:c r="I98" s="26" t="str">
        <x:v>Cooking Equipments</x:v>
      </x:c>
      <x:c r="J98" s="26" t="str">
        <x:v>Number</x:v>
      </x:c>
      <x:c r="K98" s="26" t="n">
        <x:v>1</x:v>
      </x:c>
      <x:c r="L98" s="26" t="n">
        <x:v>1</x:v>
      </x:c>
      <x:c r="M98" s="26" t="n">
        <x:v>1</x:v>
      </x:c>
      <x:c r="N98" s="26" t="n">
        <x:v>0</x:v>
      </x:c>
      <x:c r="O98" s="26" t="n">
        <x:f>MAX(M98-N98,0)</x:f>
        <x:v>1</x:v>
      </x:c>
      <x:c r="P98" s="38" t="n">
        <x:f>IFERROR(N98/M98,0)</x:f>
        <x:v>0</x:v>
      </x:c>
      <x:c r="Q98" s="26" t="str">
        <x:v>Material/Assets/Equipment</x:v>
      </x:c>
      <x:c r="R98" s="26" t="str">
        <x:v>Electrical Infrastructure</x:v>
      </x:c>
      <x:c r="S98" s="26" t="str">
        <x:v>Medium</x:v>
      </x:c>
      <x:c r="T98" s="26"/>
      <x:c r="U98" s="26"/>
      <x:c r="V98" s="26"/>
      <x:c r="W98" s="32"/>
      <x:c r="X98" s="27" t="b">
        <x:v>1</x:v>
      </x:c>
      <x:c r="Y98" s="34" t="n">
        <x:v>46220.01724537037</x:v>
      </x:c>
      <x:c r="Z98" s="26"/>
      <x:c r="AA98" s="26" t="str">
        <x:v>Pandikunta - I (36701020211)</x:v>
      </x:c>
      <x:c r="AB98" s="26" t="str">
        <x:v>Enriched from Mulugu project JSON</x:v>
      </x:c>
    </x:row>
    <x:row r="99">
      <x:c r="A99" s="26" t="n">
        <x:v>96</x:v>
      </x:c>
      <x:c r="B99" s="26" t="n">
        <x:v>279</x:v>
      </x:c>
      <x:c r="C99" s="26" t="str">
        <x:v>Mulugu</x:v>
      </x:c>
      <x:c r="D99" s="26" t="n">
        <x:v>10589</x:v>
      </x:c>
      <x:c r="E99" s="26" t="str">
        <x:v>PRJ-2026-0010589</x:v>
      </x:c>
      <x:c r="F99" s="26" t="str">
        <x:v>AWC Pandikunta I</x:v>
      </x:c>
      <x:c r="G99" s="26" t="n">
        <x:v>835</x:v>
      </x:c>
      <x:c r="H99" s="26" t="n">
        <x:v>40461</x:v>
      </x:c>
      <x:c r="I99" s="26" t="str">
        <x:v>Water Purifier</x:v>
      </x:c>
      <x:c r="J99" s="26" t="str">
        <x:v>Number</x:v>
      </x:c>
      <x:c r="K99" s="26" t="n">
        <x:v>1</x:v>
      </x:c>
      <x:c r="L99" s="26" t="n">
        <x:v>1</x:v>
      </x:c>
      <x:c r="M99" s="26" t="n">
        <x:v>1</x:v>
      </x:c>
      <x:c r="N99" s="26" t="n">
        <x:v>0</x:v>
      </x:c>
      <x:c r="O99" s="26" t="n">
        <x:f>MAX(M99-N99,0)</x:f>
        <x:v>1</x:v>
      </x:c>
      <x:c r="P99" s="38" t="n">
        <x:f>IFERROR(N99/M99,0)</x:f>
        <x:v>0</x:v>
      </x:c>
      <x:c r="Q99" s="26" t="str">
        <x:v>Material/Assets/Equipment</x:v>
      </x:c>
      <x:c r="R99" s="26" t="str">
        <x:v>Health and Safety aids</x:v>
      </x:c>
      <x:c r="S99" s="26" t="str">
        <x:v>Minor</x:v>
      </x:c>
      <x:c r="T99" s="26"/>
      <x:c r="U99" s="26"/>
      <x:c r="V99" s="26"/>
      <x:c r="W99" s="32"/>
      <x:c r="X99" s="27" t="b">
        <x:v>1</x:v>
      </x:c>
      <x:c r="Y99" s="34" t="n">
        <x:v>46220.01724537037</x:v>
      </x:c>
      <x:c r="Z99" s="26"/>
      <x:c r="AA99" s="26" t="str">
        <x:v>Pandikunta - I (36701020211)</x:v>
      </x:c>
      <x:c r="AB99" s="26" t="str">
        <x:v>Enriched from Mulugu project JSON</x:v>
      </x:c>
    </x:row>
    <x:row r="100">
      <x:c r="A100" s="26" t="n">
        <x:v>97</x:v>
      </x:c>
      <x:c r="B100" s="26" t="n">
        <x:v>279</x:v>
      </x:c>
      <x:c r="C100" s="26" t="str">
        <x:v>Mulugu</x:v>
      </x:c>
      <x:c r="D100" s="26" t="n">
        <x:v>10589</x:v>
      </x:c>
      <x:c r="E100" s="26" t="str">
        <x:v>PRJ-2026-0010589</x:v>
      </x:c>
      <x:c r="F100" s="26" t="str">
        <x:v>AWC Pandikunta I</x:v>
      </x:c>
      <x:c r="G100" s="26" t="n">
        <x:v>836</x:v>
      </x:c>
      <x:c r="H100" s="26" t="n">
        <x:v>40462</x:v>
      </x:c>
      <x:c r="I100" s="26" t="str">
        <x:v>Chairs</x:v>
      </x:c>
      <x:c r="J100" s="26" t="str">
        <x:v>Number</x:v>
      </x:c>
      <x:c r="K100" s="26" t="n">
        <x:v>3</x:v>
      </x:c>
      <x:c r="L100" s="26" t="n">
        <x:v>3</x:v>
      </x:c>
      <x:c r="M100" s="26" t="n">
        <x:v>3</x:v>
      </x:c>
      <x:c r="N100" s="26" t="n">
        <x:v>0</x:v>
      </x:c>
      <x:c r="O100" s="26" t="n">
        <x:f>MAX(M100-N100,0)</x:f>
        <x:v>3</x:v>
      </x:c>
      <x:c r="P100" s="38" t="n">
        <x:f>IFERROR(N100/M100,0)</x:f>
        <x:v>0</x:v>
      </x:c>
      <x:c r="Q100" s="26" t="str">
        <x:v>Material/Assets/Equipment</x:v>
      </x:c>
      <x:c r="R100" s="26" t="str">
        <x:v>Office Needs</x:v>
      </x:c>
      <x:c r="S100" s="26" t="str">
        <x:v>Minor</x:v>
      </x:c>
      <x:c r="T100" s="26"/>
      <x:c r="U100" s="26"/>
      <x:c r="V100" s="26"/>
      <x:c r="W100" s="32"/>
      <x:c r="X100" s="27" t="b">
        <x:v>1</x:v>
      </x:c>
      <x:c r="Y100" s="34" t="n">
        <x:v>46220.01724537037</x:v>
      </x:c>
      <x:c r="Z100" s="26"/>
      <x:c r="AA100" s="26" t="str">
        <x:v>Pandikunta - I (36701020211)</x:v>
      </x:c>
      <x:c r="AB100" s="26" t="str">
        <x:v>Enriched from Mulugu project JSON</x:v>
      </x:c>
    </x:row>
    <x:row r="101">
      <x:c r="A101" s="26" t="n">
        <x:v>98</x:v>
      </x:c>
      <x:c r="B101" s="26" t="n">
        <x:v>279</x:v>
      </x:c>
      <x:c r="C101" s="26" t="str">
        <x:v>Mulugu</x:v>
      </x:c>
      <x:c r="D101" s="26" t="n">
        <x:v>10589</x:v>
      </x:c>
      <x:c r="E101" s="26" t="str">
        <x:v>PRJ-2026-0010589</x:v>
      </x:c>
      <x:c r="F101" s="26" t="str">
        <x:v>AWC Pandikunta I</x:v>
      </x:c>
      <x:c r="G101" s="26" t="n">
        <x:v>837</x:v>
      </x:c>
      <x:c r="H101" s="26" t="n">
        <x:v>40463</x:v>
      </x:c>
      <x:c r="I101" s="26" t="str">
        <x:v>Solar Panel</x:v>
      </x:c>
      <x:c r="J101" s="26" t="str">
        <x:v>Number</x:v>
      </x:c>
      <x:c r="K101" s="26" t="n">
        <x:v>1</x:v>
      </x:c>
      <x:c r="L101" s="26" t="n">
        <x:v>1</x:v>
      </x:c>
      <x:c r="M101" s="26" t="n">
        <x:v>1</x:v>
      </x:c>
      <x:c r="N101" s="26" t="n">
        <x:v>0</x:v>
      </x:c>
      <x:c r="O101" s="26" t="n">
        <x:f>MAX(M101-N101,0)</x:f>
        <x:v>1</x:v>
      </x:c>
      <x:c r="P101" s="38" t="n">
        <x:f>IFERROR(N101/M101,0)</x:f>
        <x:v>0</x:v>
      </x:c>
      <x:c r="Q101" s="26" t="str">
        <x:v>Material/Assets/Equipment</x:v>
      </x:c>
      <x:c r="R101" s="26" t="str">
        <x:v>Electrical Infrastructure</x:v>
      </x:c>
      <x:c r="S101" s="26" t="str">
        <x:v>Medium</x:v>
      </x:c>
      <x:c r="T101" s="26"/>
      <x:c r="U101" s="26"/>
      <x:c r="V101" s="26"/>
      <x:c r="W101" s="32"/>
      <x:c r="X101" s="27" t="b">
        <x:v>1</x:v>
      </x:c>
      <x:c r="Y101" s="34" t="n">
        <x:v>46220.01724537037</x:v>
      </x:c>
      <x:c r="Z101" s="26"/>
      <x:c r="AA101" s="26" t="str">
        <x:v>Pandikunta - I (36701020211)</x:v>
      </x:c>
      <x:c r="AB101" s="26" t="str">
        <x:v>Enriched from Mulugu project JSON</x:v>
      </x:c>
    </x:row>
    <x:row r="102">
      <x:c r="A102" s="26" t="n">
        <x:v>99</x:v>
      </x:c>
      <x:c r="B102" s="26" t="n">
        <x:v>277</x:v>
      </x:c>
      <x:c r="C102" s="26" t="str">
        <x:v>Mulugu</x:v>
      </x:c>
      <x:c r="D102" s="26" t="n">
        <x:v>10671</x:v>
      </x:c>
      <x:c r="E102" s="26" t="str">
        <x:v>PRJ-2026-0010671</x:v>
      </x:c>
      <x:c r="F102" s="26" t="str">
        <x:v>AWC </x:v>
      </x:c>
      <x:c r="G102" s="26" t="n">
        <x:v>814</x:v>
      </x:c>
      <x:c r="H102" s="26" t="n">
        <x:v>40814</x:v>
      </x:c>
      <x:c r="I102" s="26" t="str">
        <x:v>Toys</x:v>
      </x:c>
      <x:c r="J102" s="26" t="str">
        <x:v>Number</x:v>
      </x:c>
      <x:c r="K102" s="26" t="n">
        <x:v>10</x:v>
      </x:c>
      <x:c r="L102" s="26" t="n">
        <x:v>10</x:v>
      </x:c>
      <x:c r="M102" s="26" t="n">
        <x:v>10</x:v>
      </x:c>
      <x:c r="N102" s="26" t="n">
        <x:v>0</x:v>
      </x:c>
      <x:c r="O102" s="26" t="n">
        <x:f>MAX(M102-N102,0)</x:f>
        <x:v>10</x:v>
      </x:c>
      <x:c r="P102" s="38" t="n">
        <x:f>IFERROR(N102/M102,0)</x:f>
        <x:v>0</x:v>
      </x:c>
      <x:c r="Q102" s="26" t="str">
        <x:v>Material/Assets/Equipment</x:v>
      </x:c>
      <x:c r="R102" s="26" t="str">
        <x:v>ECCE Equipment</x:v>
      </x:c>
      <x:c r="S102" s="26" t="str">
        <x:v>Minor</x:v>
      </x:c>
      <x:c r="T102" s="26"/>
      <x:c r="U102" s="26"/>
      <x:c r="V102" s="26"/>
      <x:c r="W102" s="32"/>
      <x:c r="X102" s="27" t="b">
        <x:v>1</x:v>
      </x:c>
      <x:c r="Y102" s="34" t="n">
        <x:v>46220.017233796294</x:v>
      </x:c>
      <x:c r="Z102" s="26"/>
      <x:c r="AA102" s="26" t="str">
        <x:v>Shivathanda (36701020204)</x:v>
      </x:c>
      <x:c r="AB102" s="26" t="str">
        <x:v>Enriched from Mulugu project JSON</x:v>
      </x:c>
    </x:row>
    <x:row r="103">
      <x:c r="A103" s="26" t="n">
        <x:v>100</x:v>
      </x:c>
      <x:c r="B103" s="26" t="n">
        <x:v>277</x:v>
      </x:c>
      <x:c r="C103" s="26" t="str">
        <x:v>Mulugu</x:v>
      </x:c>
      <x:c r="D103" s="26" t="n">
        <x:v>10671</x:v>
      </x:c>
      <x:c r="E103" s="26" t="str">
        <x:v>PRJ-2026-0010671</x:v>
      </x:c>
      <x:c r="F103" s="26" t="str">
        <x:v>AWC </x:v>
      </x:c>
      <x:c r="G103" s="26" t="n">
        <x:v>815</x:v>
      </x:c>
      <x:c r="H103" s="26" t="n">
        <x:v>40815</x:v>
      </x:c>
      <x:c r="I103" s="26" t="str">
        <x:v>Games</x:v>
      </x:c>
      <x:c r="J103" s="26" t="str">
        <x:v>Number</x:v>
      </x:c>
      <x:c r="K103" s="26" t="n">
        <x:v>10</x:v>
      </x:c>
      <x:c r="L103" s="26" t="n">
        <x:v>10</x:v>
      </x:c>
      <x:c r="M103" s="26" t="n">
        <x:v>10</x:v>
      </x:c>
      <x:c r="N103" s="26" t="n">
        <x:v>0</x:v>
      </x:c>
      <x:c r="O103" s="26" t="n">
        <x:f>MAX(M103-N103,0)</x:f>
        <x:v>10</x:v>
      </x:c>
      <x:c r="P103" s="38" t="n">
        <x:f>IFERROR(N103/M103,0)</x:f>
        <x:v>0</x:v>
      </x:c>
      <x:c r="Q103" s="26" t="str">
        <x:v>Material/Assets/Equipment</x:v>
      </x:c>
      <x:c r="R103" s="26" t="str">
        <x:v>ECCE Equipment</x:v>
      </x:c>
      <x:c r="S103" s="26" t="str">
        <x:v>Minor</x:v>
      </x:c>
      <x:c r="T103" s="26"/>
      <x:c r="U103" s="26"/>
      <x:c r="V103" s="26"/>
      <x:c r="W103" s="32"/>
      <x:c r="X103" s="27" t="b">
        <x:v>1</x:v>
      </x:c>
      <x:c r="Y103" s="34" t="n">
        <x:v>46220.017233796294</x:v>
      </x:c>
      <x:c r="Z103" s="26"/>
      <x:c r="AA103" s="26" t="str">
        <x:v>Shivathanda (36701020204)</x:v>
      </x:c>
      <x:c r="AB103" s="26" t="str">
        <x:v>Enriched from Mulugu project JSON</x:v>
      </x:c>
    </x:row>
    <x:row r="104">
      <x:c r="A104" s="26" t="n">
        <x:v>101</x:v>
      </x:c>
      <x:c r="B104" s="26" t="n">
        <x:v>277</x:v>
      </x:c>
      <x:c r="C104" s="26" t="str">
        <x:v>Mulugu</x:v>
      </x:c>
      <x:c r="D104" s="26" t="n">
        <x:v>10671</x:v>
      </x:c>
      <x:c r="E104" s="26" t="str">
        <x:v>PRJ-2026-0010671</x:v>
      </x:c>
      <x:c r="F104" s="26" t="str">
        <x:v>AWC </x:v>
      </x:c>
      <x:c r="G104" s="26" t="n">
        <x:v>816</x:v>
      </x:c>
      <x:c r="H104" s="26" t="n">
        <x:v>40816</x:v>
      </x:c>
      <x:c r="I104" s="26" t="str">
        <x:v>Chairs/Benches</x:v>
      </x:c>
      <x:c r="J104" s="26" t="str">
        <x:v>Number</x:v>
      </x:c>
      <x:c r="K104" s="26" t="n">
        <x:v>9</x:v>
      </x:c>
      <x:c r="L104" s="26" t="n">
        <x:v>9</x:v>
      </x:c>
      <x:c r="M104" s="26" t="n">
        <x:v>9</x:v>
      </x:c>
      <x:c r="N104" s="26" t="n">
        <x:v>0</x:v>
      </x:c>
      <x:c r="O104" s="26" t="n">
        <x:f>MAX(M104-N104,0)</x:f>
        <x:v>9</x:v>
      </x:c>
      <x:c r="P104" s="38" t="n">
        <x:f>IFERROR(N104/M104,0)</x:f>
        <x:v>0</x:v>
      </x:c>
      <x:c r="Q104" s="26" t="str">
        <x:v>Material/Assets/Equipment</x:v>
      </x:c>
      <x:c r="R104" s="26" t="str">
        <x:v>Educational Needs</x:v>
      </x:c>
      <x:c r="S104" s="26" t="str">
        <x:v>Minor</x:v>
      </x:c>
      <x:c r="T104" s="26"/>
      <x:c r="U104" s="26"/>
      <x:c r="V104" s="26"/>
      <x:c r="W104" s="32"/>
      <x:c r="X104" s="27" t="b">
        <x:v>1</x:v>
      </x:c>
      <x:c r="Y104" s="34" t="n">
        <x:v>46220.017233796294</x:v>
      </x:c>
      <x:c r="Z104" s="26"/>
      <x:c r="AA104" s="26" t="str">
        <x:v>Shivathanda (36701020204)</x:v>
      </x:c>
      <x:c r="AB104" s="26" t="str">
        <x:v>Enriched from Mulugu project JSON</x:v>
      </x:c>
    </x:row>
    <x:row r="105">
      <x:c r="A105" s="26" t="n">
        <x:v>102</x:v>
      </x:c>
      <x:c r="B105" s="26" t="n">
        <x:v>277</x:v>
      </x:c>
      <x:c r="C105" s="26" t="str">
        <x:v>Mulugu</x:v>
      </x:c>
      <x:c r="D105" s="26" t="n">
        <x:v>10671</x:v>
      </x:c>
      <x:c r="E105" s="26" t="str">
        <x:v>PRJ-2026-0010671</x:v>
      </x:c>
      <x:c r="F105" s="26" t="str">
        <x:v>AWC </x:v>
      </x:c>
      <x:c r="G105" s="26" t="n">
        <x:v>817</x:v>
      </x:c>
      <x:c r="H105" s="26" t="n">
        <x:v>40817</x:v>
      </x:c>
      <x:c r="I105" s="26" t="str">
        <x:v>Tube Lights</x:v>
      </x:c>
      <x:c r="J105" s="26" t="str">
        <x:v>Number</x:v>
      </x:c>
      <x:c r="K105" s="26" t="n">
        <x:v>2</x:v>
      </x:c>
      <x:c r="L105" s="26" t="n">
        <x:v>2</x:v>
      </x:c>
      <x:c r="M105" s="26" t="n">
        <x:v>2</x:v>
      </x:c>
      <x:c r="N105" s="26" t="n">
        <x:v>0</x:v>
      </x:c>
      <x:c r="O105" s="26" t="n">
        <x:f>MAX(M105-N105,0)</x:f>
        <x:v>2</x:v>
      </x:c>
      <x:c r="P105" s="38" t="n">
        <x:f>IFERROR(N105/M105,0)</x:f>
        <x:v>0</x:v>
      </x:c>
      <x:c r="Q105" s="26" t="str">
        <x:v>Material/Assets/Equipment</x:v>
      </x:c>
      <x:c r="R105" s="26" t="str">
        <x:v>Electrical Infrastructure</x:v>
      </x:c>
      <x:c r="S105" s="26" t="str">
        <x:v>Medium</x:v>
      </x:c>
      <x:c r="T105" s="26"/>
      <x:c r="U105" s="26"/>
      <x:c r="V105" s="26"/>
      <x:c r="W105" s="32"/>
      <x:c r="X105" s="27" t="b">
        <x:v>1</x:v>
      </x:c>
      <x:c r="Y105" s="34" t="n">
        <x:v>46220.017233796294</x:v>
      </x:c>
      <x:c r="Z105" s="26"/>
      <x:c r="AA105" s="26" t="str">
        <x:v>Shivathanda (36701020204)</x:v>
      </x:c>
      <x:c r="AB105" s="26" t="str">
        <x:v>Enriched from Mulugu project JSON</x:v>
      </x:c>
    </x:row>
    <x:row r="106">
      <x:c r="A106" s="26" t="n">
        <x:v>103</x:v>
      </x:c>
      <x:c r="B106" s="26" t="n">
        <x:v>277</x:v>
      </x:c>
      <x:c r="C106" s="26" t="str">
        <x:v>Mulugu</x:v>
      </x:c>
      <x:c r="D106" s="26" t="n">
        <x:v>10671</x:v>
      </x:c>
      <x:c r="E106" s="26" t="str">
        <x:v>PRJ-2026-0010671</x:v>
      </x:c>
      <x:c r="F106" s="26" t="str">
        <x:v>AWC </x:v>
      </x:c>
      <x:c r="G106" s="26" t="n">
        <x:v>818</x:v>
      </x:c>
      <x:c r="H106" s="26" t="n">
        <x:v>40818</x:v>
      </x:c>
      <x:c r="I106" s="26" t="str">
        <x:v>Cooking Equipments</x:v>
      </x:c>
      <x:c r="J106" s="26" t="str">
        <x:v>Number</x:v>
      </x:c>
      <x:c r="K106" s="26" t="n">
        <x:v>1</x:v>
      </x:c>
      <x:c r="L106" s="26" t="n">
        <x:v>1</x:v>
      </x:c>
      <x:c r="M106" s="26" t="n">
        <x:v>1</x:v>
      </x:c>
      <x:c r="N106" s="26" t="n">
        <x:v>0</x:v>
      </x:c>
      <x:c r="O106" s="26" t="n">
        <x:f>MAX(M106-N106,0)</x:f>
        <x:v>1</x:v>
      </x:c>
      <x:c r="P106" s="38" t="n">
        <x:f>IFERROR(N106/M106,0)</x:f>
        <x:v>0</x:v>
      </x:c>
      <x:c r="Q106" s="26" t="str">
        <x:v>Material/Assets/Equipment</x:v>
      </x:c>
      <x:c r="R106" s="26" t="str">
        <x:v>Electrical Infrastructure</x:v>
      </x:c>
      <x:c r="S106" s="26" t="str">
        <x:v>Medium</x:v>
      </x:c>
      <x:c r="T106" s="26"/>
      <x:c r="U106" s="26"/>
      <x:c r="V106" s="26"/>
      <x:c r="W106" s="32"/>
      <x:c r="X106" s="27" t="b">
        <x:v>1</x:v>
      </x:c>
      <x:c r="Y106" s="34" t="n">
        <x:v>46220.017233796294</x:v>
      </x:c>
      <x:c r="Z106" s="26"/>
      <x:c r="AA106" s="26" t="str">
        <x:v>Shivathanda (36701020204)</x:v>
      </x:c>
      <x:c r="AB106" s="26" t="str">
        <x:v>Enriched from Mulugu project JSON</x:v>
      </x:c>
    </x:row>
    <x:row r="107">
      <x:c r="A107" s="26" t="n">
        <x:v>104</x:v>
      </x:c>
      <x:c r="B107" s="26" t="n">
        <x:v>277</x:v>
      </x:c>
      <x:c r="C107" s="26" t="str">
        <x:v>Mulugu</x:v>
      </x:c>
      <x:c r="D107" s="26" t="n">
        <x:v>10671</x:v>
      </x:c>
      <x:c r="E107" s="26" t="str">
        <x:v>PRJ-2026-0010671</x:v>
      </x:c>
      <x:c r="F107" s="26" t="str">
        <x:v>AWC </x:v>
      </x:c>
      <x:c r="G107" s="26" t="n">
        <x:v>819</x:v>
      </x:c>
      <x:c r="H107" s="26" t="n">
        <x:v>40819</x:v>
      </x:c>
      <x:c r="I107" s="26" t="str">
        <x:v>Water Purifier</x:v>
      </x:c>
      <x:c r="J107" s="26" t="str">
        <x:v>Number</x:v>
      </x:c>
      <x:c r="K107" s="26" t="n">
        <x:v>1</x:v>
      </x:c>
      <x:c r="L107" s="26" t="n">
        <x:v>1</x:v>
      </x:c>
      <x:c r="M107" s="26" t="n">
        <x:v>1</x:v>
      </x:c>
      <x:c r="N107" s="26" t="n">
        <x:v>0</x:v>
      </x:c>
      <x:c r="O107" s="26" t="n">
        <x:f>MAX(M107-N107,0)</x:f>
        <x:v>1</x:v>
      </x:c>
      <x:c r="P107" s="38" t="n">
        <x:f>IFERROR(N107/M107,0)</x:f>
        <x:v>0</x:v>
      </x:c>
      <x:c r="Q107" s="26" t="str">
        <x:v>Material/Assets/Equipment</x:v>
      </x:c>
      <x:c r="R107" s="26" t="str">
        <x:v>Health and Safety aids</x:v>
      </x:c>
      <x:c r="S107" s="26" t="str">
        <x:v>Minor</x:v>
      </x:c>
      <x:c r="T107" s="26"/>
      <x:c r="U107" s="26"/>
      <x:c r="V107" s="26"/>
      <x:c r="W107" s="32"/>
      <x:c r="X107" s="27" t="b">
        <x:v>1</x:v>
      </x:c>
      <x:c r="Y107" s="34" t="n">
        <x:v>46220.017233796294</x:v>
      </x:c>
      <x:c r="Z107" s="26"/>
      <x:c r="AA107" s="26" t="str">
        <x:v>Shivathanda (36701020204)</x:v>
      </x:c>
      <x:c r="AB107" s="26" t="str">
        <x:v>Enriched from Mulugu project JSON</x:v>
      </x:c>
    </x:row>
    <x:row r="108">
      <x:c r="A108" s="26" t="n">
        <x:v>105</x:v>
      </x:c>
      <x:c r="B108" s="26" t="n">
        <x:v>277</x:v>
      </x:c>
      <x:c r="C108" s="26" t="str">
        <x:v>Mulugu</x:v>
      </x:c>
      <x:c r="D108" s="26" t="n">
        <x:v>10671</x:v>
      </x:c>
      <x:c r="E108" s="26" t="str">
        <x:v>PRJ-2026-0010671</x:v>
      </x:c>
      <x:c r="F108" s="26" t="str">
        <x:v>AWC </x:v>
      </x:c>
      <x:c r="G108" s="26" t="n">
        <x:v>820</x:v>
      </x:c>
      <x:c r="H108" s="26" t="n">
        <x:v>40820</x:v>
      </x:c>
      <x:c r="I108" s="26" t="str">
        <x:v>Chairs</x:v>
      </x:c>
      <x:c r="J108" s="26" t="str">
        <x:v>Number</x:v>
      </x:c>
      <x:c r="K108" s="26" t="n">
        <x:v>2</x:v>
      </x:c>
      <x:c r="L108" s="26" t="n">
        <x:v>2</x:v>
      </x:c>
      <x:c r="M108" s="26" t="n">
        <x:v>2</x:v>
      </x:c>
      <x:c r="N108" s="26" t="n">
        <x:v>0</x:v>
      </x:c>
      <x:c r="O108" s="26" t="n">
        <x:f>MAX(M108-N108,0)</x:f>
        <x:v>2</x:v>
      </x:c>
      <x:c r="P108" s="38" t="n">
        <x:f>IFERROR(N108/M108,0)</x:f>
        <x:v>0</x:v>
      </x:c>
      <x:c r="Q108" s="26" t="str">
        <x:v>Material/Assets/Equipment</x:v>
      </x:c>
      <x:c r="R108" s="26" t="str">
        <x:v>Office Needs</x:v>
      </x:c>
      <x:c r="S108" s="26" t="str">
        <x:v>Minor</x:v>
      </x:c>
      <x:c r="T108" s="26"/>
      <x:c r="U108" s="26"/>
      <x:c r="V108" s="26"/>
      <x:c r="W108" s="32"/>
      <x:c r="X108" s="27" t="b">
        <x:v>1</x:v>
      </x:c>
      <x:c r="Y108" s="34" t="n">
        <x:v>46220.017233796294</x:v>
      </x:c>
      <x:c r="Z108" s="26"/>
      <x:c r="AA108" s="26" t="str">
        <x:v>Shivathanda (36701020204)</x:v>
      </x:c>
      <x:c r="AB108" s="26" t="str">
        <x:v>Enriched from Mulugu project JSON</x:v>
      </x:c>
    </x:row>
    <x:row r="109">
      <x:c r="A109" s="26" t="n">
        <x:v>106</x:v>
      </x:c>
      <x:c r="B109" s="26" t="n">
        <x:v>278</x:v>
      </x:c>
      <x:c r="C109" s="26" t="str">
        <x:v>Mulugu</x:v>
      </x:c>
      <x:c r="D109" s="26" t="n">
        <x:v>10633</x:v>
      </x:c>
      <x:c r="E109" s="26" t="str">
        <x:v>PRJ-2026-0010633</x:v>
      </x:c>
      <x:c r="F109" s="26" t="str">
        <x:v>AWC Sreeramulapalli</x:v>
      </x:c>
      <x:c r="G109" s="26" t="n">
        <x:v>821</x:v>
      </x:c>
      <x:c r="H109" s="26" t="n">
        <x:v>40633</x:v>
      </x:c>
      <x:c r="I109" s="26" t="str">
        <x:v>Toys</x:v>
      </x:c>
      <x:c r="J109" s="26" t="str">
        <x:v>Number</x:v>
      </x:c>
      <x:c r="K109" s="26" t="n">
        <x:v>15</x:v>
      </x:c>
      <x:c r="L109" s="26" t="n">
        <x:v>15</x:v>
      </x:c>
      <x:c r="M109" s="26" t="n">
        <x:v>15</x:v>
      </x:c>
      <x:c r="N109" s="26" t="n">
        <x:v>0</x:v>
      </x:c>
      <x:c r="O109" s="26" t="n">
        <x:f>MAX(M109-N109,0)</x:f>
        <x:v>15</x:v>
      </x:c>
      <x:c r="P109" s="38" t="n">
        <x:f>IFERROR(N109/M109,0)</x:f>
        <x:v>0</x:v>
      </x:c>
      <x:c r="Q109" s="26" t="str">
        <x:v>Material/Assets/Equipment</x:v>
      </x:c>
      <x:c r="R109" s="26" t="str">
        <x:v>ECCE Equipment</x:v>
      </x:c>
      <x:c r="S109" s="26" t="str">
        <x:v>Minor</x:v>
      </x:c>
      <x:c r="T109" s="26"/>
      <x:c r="U109" s="26"/>
      <x:c r="V109" s="26"/>
      <x:c r="W109" s="32"/>
      <x:c r="X109" s="27" t="b">
        <x:v>1</x:v>
      </x:c>
      <x:c r="Y109" s="34" t="n">
        <x:v>46220.017233796294</x:v>
      </x:c>
      <x:c r="Z109" s="26"/>
      <x:c r="AA109" s="26" t="str">
        <x:v>Sreeramulapalli (36687040422)</x:v>
      </x:c>
      <x:c r="AB109" s="26" t="str">
        <x:v>Enriched from Mulugu project JSON</x:v>
      </x:c>
    </x:row>
    <x:row r="110">
      <x:c r="A110" s="26" t="n">
        <x:v>107</x:v>
      </x:c>
      <x:c r="B110" s="26" t="n">
        <x:v>278</x:v>
      </x:c>
      <x:c r="C110" s="26" t="str">
        <x:v>Mulugu</x:v>
      </x:c>
      <x:c r="D110" s="26" t="n">
        <x:v>10633</x:v>
      </x:c>
      <x:c r="E110" s="26" t="str">
        <x:v>PRJ-2026-0010633</x:v>
      </x:c>
      <x:c r="F110" s="26" t="str">
        <x:v>AWC Sreeramulapalli</x:v>
      </x:c>
      <x:c r="G110" s="26" t="n">
        <x:v>822</x:v>
      </x:c>
      <x:c r="H110" s="26" t="n">
        <x:v>40634</x:v>
      </x:c>
      <x:c r="I110" s="26" t="str">
        <x:v>Games</x:v>
      </x:c>
      <x:c r="J110" s="26" t="str">
        <x:v>Number</x:v>
      </x:c>
      <x:c r="K110" s="26" t="n">
        <x:v>15</x:v>
      </x:c>
      <x:c r="L110" s="26" t="n">
        <x:v>15</x:v>
      </x:c>
      <x:c r="M110" s="26" t="n">
        <x:v>15</x:v>
      </x:c>
      <x:c r="N110" s="26" t="n">
        <x:v>0</x:v>
      </x:c>
      <x:c r="O110" s="26" t="n">
        <x:f>MAX(M110-N110,0)</x:f>
        <x:v>15</x:v>
      </x:c>
      <x:c r="P110" s="38" t="n">
        <x:f>IFERROR(N110/M110,0)</x:f>
        <x:v>0</x:v>
      </x:c>
      <x:c r="Q110" s="26" t="str">
        <x:v>Material/Assets/Equipment</x:v>
      </x:c>
      <x:c r="R110" s="26" t="str">
        <x:v>ECCE Equipment</x:v>
      </x:c>
      <x:c r="S110" s="26" t="str">
        <x:v>Minor</x:v>
      </x:c>
      <x:c r="T110" s="26"/>
      <x:c r="U110" s="26"/>
      <x:c r="V110" s="26"/>
      <x:c r="W110" s="32"/>
      <x:c r="X110" s="27" t="b">
        <x:v>1</x:v>
      </x:c>
      <x:c r="Y110" s="34" t="n">
        <x:v>46220.017233796294</x:v>
      </x:c>
      <x:c r="Z110" s="26"/>
      <x:c r="AA110" s="26" t="str">
        <x:v>Sreeramulapalli (36687040422)</x:v>
      </x:c>
      <x:c r="AB110" s="26" t="str">
        <x:v>Enriched from Mulugu project JSON</x:v>
      </x:c>
    </x:row>
    <x:row r="111">
      <x:c r="A111" s="26" t="n">
        <x:v>108</x:v>
      </x:c>
      <x:c r="B111" s="26" t="n">
        <x:v>278</x:v>
      </x:c>
      <x:c r="C111" s="26" t="str">
        <x:v>Mulugu</x:v>
      </x:c>
      <x:c r="D111" s="26" t="n">
        <x:v>10633</x:v>
      </x:c>
      <x:c r="E111" s="26" t="str">
        <x:v>PRJ-2026-0010633</x:v>
      </x:c>
      <x:c r="F111" s="26" t="str">
        <x:v>AWC Sreeramulapalli</x:v>
      </x:c>
      <x:c r="G111" s="26" t="n">
        <x:v>823</x:v>
      </x:c>
      <x:c r="H111" s="26" t="n">
        <x:v>40635</x:v>
      </x:c>
      <x:c r="I111" s="26" t="str">
        <x:v>Chairs/Benches</x:v>
      </x:c>
      <x:c r="J111" s="26" t="str">
        <x:v>Number</x:v>
      </x:c>
      <x:c r="K111" s="26" t="n">
        <x:v>15</x:v>
      </x:c>
      <x:c r="L111" s="26" t="n">
        <x:v>15</x:v>
      </x:c>
      <x:c r="M111" s="26" t="n">
        <x:v>15</x:v>
      </x:c>
      <x:c r="N111" s="26" t="n">
        <x:v>0</x:v>
      </x:c>
      <x:c r="O111" s="26" t="n">
        <x:f>MAX(M111-N111,0)</x:f>
        <x:v>15</x:v>
      </x:c>
      <x:c r="P111" s="38" t="n">
        <x:f>IFERROR(N111/M111,0)</x:f>
        <x:v>0</x:v>
      </x:c>
      <x:c r="Q111" s="26" t="str">
        <x:v>Material/Assets/Equipment</x:v>
      </x:c>
      <x:c r="R111" s="26" t="str">
        <x:v>Educational Needs</x:v>
      </x:c>
      <x:c r="S111" s="26" t="str">
        <x:v>Minor</x:v>
      </x:c>
      <x:c r="T111" s="26"/>
      <x:c r="U111" s="26"/>
      <x:c r="V111" s="26"/>
      <x:c r="W111" s="32"/>
      <x:c r="X111" s="27" t="b">
        <x:v>1</x:v>
      </x:c>
      <x:c r="Y111" s="34" t="n">
        <x:v>46220.017233796294</x:v>
      </x:c>
      <x:c r="Z111" s="26"/>
      <x:c r="AA111" s="26" t="str">
        <x:v>Sreeramulapalli (36687040422)</x:v>
      </x:c>
      <x:c r="AB111" s="26" t="str">
        <x:v>Enriched from Mulugu project JSON</x:v>
      </x:c>
    </x:row>
    <x:row r="112">
      <x:c r="A112" s="26" t="n">
        <x:v>109</x:v>
      </x:c>
      <x:c r="B112" s="26" t="n">
        <x:v>278</x:v>
      </x:c>
      <x:c r="C112" s="26" t="str">
        <x:v>Mulugu</x:v>
      </x:c>
      <x:c r="D112" s="26" t="n">
        <x:v>10633</x:v>
      </x:c>
      <x:c r="E112" s="26" t="str">
        <x:v>PRJ-2026-0010633</x:v>
      </x:c>
      <x:c r="F112" s="26" t="str">
        <x:v>AWC Sreeramulapalli</x:v>
      </x:c>
      <x:c r="G112" s="26" t="n">
        <x:v>824</x:v>
      </x:c>
      <x:c r="H112" s="26" t="n">
        <x:v>40636</x:v>
      </x:c>
      <x:c r="I112" s="26" t="str">
        <x:v>Tube Lights</x:v>
      </x:c>
      <x:c r="J112" s="26" t="str">
        <x:v>Number</x:v>
      </x:c>
      <x:c r="K112" s="26" t="n">
        <x:v>2</x:v>
      </x:c>
      <x:c r="L112" s="26" t="n">
        <x:v>2</x:v>
      </x:c>
      <x:c r="M112" s="26" t="n">
        <x:v>2</x:v>
      </x:c>
      <x:c r="N112" s="26" t="n">
        <x:v>0</x:v>
      </x:c>
      <x:c r="O112" s="26" t="n">
        <x:f>MAX(M112-N112,0)</x:f>
        <x:v>2</x:v>
      </x:c>
      <x:c r="P112" s="38" t="n">
        <x:f>IFERROR(N112/M112,0)</x:f>
        <x:v>0</x:v>
      </x:c>
      <x:c r="Q112" s="26" t="str">
        <x:v>Material/Assets/Equipment</x:v>
      </x:c>
      <x:c r="R112" s="26" t="str">
        <x:v>Electrical Infrastructure</x:v>
      </x:c>
      <x:c r="S112" s="26" t="str">
        <x:v>Medium</x:v>
      </x:c>
      <x:c r="T112" s="26"/>
      <x:c r="U112" s="26"/>
      <x:c r="V112" s="26"/>
      <x:c r="W112" s="32"/>
      <x:c r="X112" s="27" t="b">
        <x:v>1</x:v>
      </x:c>
      <x:c r="Y112" s="34" t="n">
        <x:v>46220.017233796294</x:v>
      </x:c>
      <x:c r="Z112" s="26"/>
      <x:c r="AA112" s="26" t="str">
        <x:v>Sreeramulapalli (36687040422)</x:v>
      </x:c>
      <x:c r="AB112" s="26" t="str">
        <x:v>Enriched from Mulugu project JSON</x:v>
      </x:c>
    </x:row>
    <x:row r="113">
      <x:c r="A113" s="26" t="n">
        <x:v>110</x:v>
      </x:c>
      <x:c r="B113" s="26" t="n">
        <x:v>278</x:v>
      </x:c>
      <x:c r="C113" s="26" t="str">
        <x:v>Mulugu</x:v>
      </x:c>
      <x:c r="D113" s="26" t="n">
        <x:v>10633</x:v>
      </x:c>
      <x:c r="E113" s="26" t="str">
        <x:v>PRJ-2026-0010633</x:v>
      </x:c>
      <x:c r="F113" s="26" t="str">
        <x:v>AWC Sreeramulapalli</x:v>
      </x:c>
      <x:c r="G113" s="26" t="n">
        <x:v>825</x:v>
      </x:c>
      <x:c r="H113" s="26" t="n">
        <x:v>40637</x:v>
      </x:c>
      <x:c r="I113" s="26" t="str">
        <x:v>Solar Panel</x:v>
      </x:c>
      <x:c r="J113" s="26" t="str">
        <x:v>Number</x:v>
      </x:c>
      <x:c r="K113" s="26" t="n">
        <x:v>1</x:v>
      </x:c>
      <x:c r="L113" s="26" t="n">
        <x:v>1</x:v>
      </x:c>
      <x:c r="M113" s="26" t="n">
        <x:v>1</x:v>
      </x:c>
      <x:c r="N113" s="26" t="n">
        <x:v>0</x:v>
      </x:c>
      <x:c r="O113" s="26" t="n">
        <x:f>MAX(M113-N113,0)</x:f>
        <x:v>1</x:v>
      </x:c>
      <x:c r="P113" s="38" t="n">
        <x:f>IFERROR(N113/M113,0)</x:f>
        <x:v>0</x:v>
      </x:c>
      <x:c r="Q113" s="26" t="str">
        <x:v>Material/Assets/Equipment</x:v>
      </x:c>
      <x:c r="R113" s="26" t="str">
        <x:v>Electrical Infrastructure</x:v>
      </x:c>
      <x:c r="S113" s="26" t="str">
        <x:v>Medium</x:v>
      </x:c>
      <x:c r="T113" s="26"/>
      <x:c r="U113" s="26"/>
      <x:c r="V113" s="26"/>
      <x:c r="W113" s="32"/>
      <x:c r="X113" s="27" t="b">
        <x:v>1</x:v>
      </x:c>
      <x:c r="Y113" s="34" t="n">
        <x:v>46220.017233796294</x:v>
      </x:c>
      <x:c r="Z113" s="26"/>
      <x:c r="AA113" s="26" t="str">
        <x:v>Sreeramulapalli (36687040422)</x:v>
      </x:c>
      <x:c r="AB113" s="26" t="str">
        <x:v>Enriched from Mulugu project JSON</x:v>
      </x:c>
    </x:row>
    <x:row r="114">
      <x:c r="A114" s="26" t="n">
        <x:v>111</x:v>
      </x:c>
      <x:c r="B114" s="26" t="n">
        <x:v>278</x:v>
      </x:c>
      <x:c r="C114" s="26" t="str">
        <x:v>Mulugu</x:v>
      </x:c>
      <x:c r="D114" s="26" t="n">
        <x:v>10633</x:v>
      </x:c>
      <x:c r="E114" s="26" t="str">
        <x:v>PRJ-2026-0010633</x:v>
      </x:c>
      <x:c r="F114" s="26" t="str">
        <x:v>AWC Sreeramulapalli</x:v>
      </x:c>
      <x:c r="G114" s="26" t="n">
        <x:v>826</x:v>
      </x:c>
      <x:c r="H114" s="26" t="n">
        <x:v>40638</x:v>
      </x:c>
      <x:c r="I114" s="26" t="str">
        <x:v>Cooking Equipments</x:v>
      </x:c>
      <x:c r="J114" s="26" t="str">
        <x:v>Number</x:v>
      </x:c>
      <x:c r="K114" s="26" t="n">
        <x:v>1</x:v>
      </x:c>
      <x:c r="L114" s="26" t="n">
        <x:v>1</x:v>
      </x:c>
      <x:c r="M114" s="26" t="n">
        <x:v>1</x:v>
      </x:c>
      <x:c r="N114" s="26" t="n">
        <x:v>0</x:v>
      </x:c>
      <x:c r="O114" s="26" t="n">
        <x:f>MAX(M114-N114,0)</x:f>
        <x:v>1</x:v>
      </x:c>
      <x:c r="P114" s="38" t="n">
        <x:f>IFERROR(N114/M114,0)</x:f>
        <x:v>0</x:v>
      </x:c>
      <x:c r="Q114" s="26" t="str">
        <x:v>Material/Assets/Equipment</x:v>
      </x:c>
      <x:c r="R114" s="26" t="str">
        <x:v>Electrical Infrastructure</x:v>
      </x:c>
      <x:c r="S114" s="26" t="str">
        <x:v>Medium</x:v>
      </x:c>
      <x:c r="T114" s="26"/>
      <x:c r="U114" s="26"/>
      <x:c r="V114" s="26"/>
      <x:c r="W114" s="32"/>
      <x:c r="X114" s="27" t="b">
        <x:v>1</x:v>
      </x:c>
      <x:c r="Y114" s="34" t="n">
        <x:v>46220.017233796294</x:v>
      </x:c>
      <x:c r="Z114" s="26"/>
      <x:c r="AA114" s="26" t="str">
        <x:v>Sreeramulapalli (36687040422)</x:v>
      </x:c>
      <x:c r="AB114" s="26" t="str">
        <x:v>Enriched from Mulugu project JSON</x:v>
      </x:c>
    </x:row>
    <x:row r="115">
      <x:c r="A115" s="26" t="n">
        <x:v>112</x:v>
      </x:c>
      <x:c r="B115" s="26" t="n">
        <x:v>278</x:v>
      </x:c>
      <x:c r="C115" s="26" t="str">
        <x:v>Mulugu</x:v>
      </x:c>
      <x:c r="D115" s="26" t="n">
        <x:v>10633</x:v>
      </x:c>
      <x:c r="E115" s="26" t="str">
        <x:v>PRJ-2026-0010633</x:v>
      </x:c>
      <x:c r="F115" s="26" t="str">
        <x:v>AWC Sreeramulapalli</x:v>
      </x:c>
      <x:c r="G115" s="26" t="n">
        <x:v>827</x:v>
      </x:c>
      <x:c r="H115" s="26" t="n">
        <x:v>40639</x:v>
      </x:c>
      <x:c r="I115" s="26" t="str">
        <x:v>Water Purifier</x:v>
      </x:c>
      <x:c r="J115" s="26" t="str">
        <x:v>Number</x:v>
      </x:c>
      <x:c r="K115" s="26" t="n">
        <x:v>1</x:v>
      </x:c>
      <x:c r="L115" s="26" t="n">
        <x:v>1</x:v>
      </x:c>
      <x:c r="M115" s="26" t="n">
        <x:v>1</x:v>
      </x:c>
      <x:c r="N115" s="26" t="n">
        <x:v>0</x:v>
      </x:c>
      <x:c r="O115" s="26" t="n">
        <x:f>MAX(M115-N115,0)</x:f>
        <x:v>1</x:v>
      </x:c>
      <x:c r="P115" s="38" t="n">
        <x:f>IFERROR(N115/M115,0)</x:f>
        <x:v>0</x:v>
      </x:c>
      <x:c r="Q115" s="26" t="str">
        <x:v>Material/Assets/Equipment</x:v>
      </x:c>
      <x:c r="R115" s="26" t="str">
        <x:v>Health and Safety aids</x:v>
      </x:c>
      <x:c r="S115" s="26" t="str">
        <x:v>Minor</x:v>
      </x:c>
      <x:c r="T115" s="26"/>
      <x:c r="U115" s="26"/>
      <x:c r="V115" s="26"/>
      <x:c r="W115" s="32"/>
      <x:c r="X115" s="27" t="b">
        <x:v>1</x:v>
      </x:c>
      <x:c r="Y115" s="34" t="n">
        <x:v>46220.017233796294</x:v>
      </x:c>
      <x:c r="Z115" s="26"/>
      <x:c r="AA115" s="26" t="str">
        <x:v>Sreeramulapalli (36687040422)</x:v>
      </x:c>
      <x:c r="AB115" s="26" t="str">
        <x:v>Enriched from Mulugu project JSON</x:v>
      </x:c>
    </x:row>
    <x:row r="116">
      <x:c r="A116" s="26" t="n">
        <x:v>113</x:v>
      </x:c>
      <x:c r="B116" s="26" t="n">
        <x:v>278</x:v>
      </x:c>
      <x:c r="C116" s="26" t="str">
        <x:v>Mulugu</x:v>
      </x:c>
      <x:c r="D116" s="26" t="n">
        <x:v>10633</x:v>
      </x:c>
      <x:c r="E116" s="26" t="str">
        <x:v>PRJ-2026-0010633</x:v>
      </x:c>
      <x:c r="F116" s="26" t="str">
        <x:v>AWC Sreeramulapalli</x:v>
      </x:c>
      <x:c r="G116" s="26" t="n">
        <x:v>828</x:v>
      </x:c>
      <x:c r="H116" s="26" t="n">
        <x:v>40640</x:v>
      </x:c>
      <x:c r="I116" s="26" t="str">
        <x:v>Chairs</x:v>
      </x:c>
      <x:c r="J116" s="26" t="str">
        <x:v>Number</x:v>
      </x:c>
      <x:c r="K116" s="26" t="n">
        <x:v>10</x:v>
      </x:c>
      <x:c r="L116" s="26" t="n">
        <x:v>10</x:v>
      </x:c>
      <x:c r="M116" s="26" t="n">
        <x:v>10</x:v>
      </x:c>
      <x:c r="N116" s="26" t="n">
        <x:v>0</x:v>
      </x:c>
      <x:c r="O116" s="26" t="n">
        <x:f>MAX(M116-N116,0)</x:f>
        <x:v>10</x:v>
      </x:c>
      <x:c r="P116" s="38" t="n">
        <x:f>IFERROR(N116/M116,0)</x:f>
        <x:v>0</x:v>
      </x:c>
      <x:c r="Q116" s="26" t="str">
        <x:v>Material/Assets/Equipment</x:v>
      </x:c>
      <x:c r="R116" s="26" t="str">
        <x:v>Office Needs</x:v>
      </x:c>
      <x:c r="S116" s="26" t="str">
        <x:v>Minor</x:v>
      </x:c>
      <x:c r="T116" s="26"/>
      <x:c r="U116" s="26"/>
      <x:c r="V116" s="26"/>
      <x:c r="W116" s="32"/>
      <x:c r="X116" s="27" t="b">
        <x:v>1</x:v>
      </x:c>
      <x:c r="Y116" s="34" t="n">
        <x:v>46220.017233796294</x:v>
      </x:c>
      <x:c r="Z116" s="26"/>
      <x:c r="AA116" s="26" t="str">
        <x:v>Sreeramulapalli (36687040422)</x:v>
      </x:c>
      <x:c r="AB116" s="26" t="str">
        <x:v>Enriched from Mulugu project JSON</x:v>
      </x:c>
    </x:row>
    <x:row r="117">
      <x:c r="A117" s="26" t="n">
        <x:v>114</x:v>
      </x:c>
      <x:c r="B117" s="26" t="n">
        <x:v>278</x:v>
      </x:c>
      <x:c r="C117" s="26" t="str">
        <x:v>Mulugu</x:v>
      </x:c>
      <x:c r="D117" s="26" t="n">
        <x:v>10633</x:v>
      </x:c>
      <x:c r="E117" s="26" t="str">
        <x:v>PRJ-2026-0010633</x:v>
      </x:c>
      <x:c r="F117" s="26" t="str">
        <x:v>AWC Sreeramulapalli</x:v>
      </x:c>
      <x:c r="G117" s="26" t="n">
        <x:v>829</x:v>
      </x:c>
      <x:c r="H117" s="26" t="n">
        <x:v>40641</x:v>
      </x:c>
      <x:c r="I117" s="26" t="str">
        <x:v>Projectors</x:v>
      </x:c>
      <x:c r="J117" s="26" t="str">
        <x:v>Number</x:v>
      </x:c>
      <x:c r="K117" s="26" t="n">
        <x:v>1</x:v>
      </x:c>
      <x:c r="L117" s="26" t="n">
        <x:v>1</x:v>
      </x:c>
      <x:c r="M117" s="26" t="n">
        <x:v>1</x:v>
      </x:c>
      <x:c r="N117" s="26" t="n">
        <x:v>0</x:v>
      </x:c>
      <x:c r="O117" s="26" t="n">
        <x:f>MAX(M117-N117,0)</x:f>
        <x:v>1</x:v>
      </x:c>
      <x:c r="P117" s="38" t="n">
        <x:f>IFERROR(N117/M117,0)</x:f>
        <x:v>0</x:v>
      </x:c>
      <x:c r="Q117" s="26" t="str">
        <x:v>Material/Assets/Equipment</x:v>
      </x:c>
      <x:c r="R117" s="26" t="str">
        <x:v>Electrical Infrastructure</x:v>
      </x:c>
      <x:c r="S117" s="26" t="str">
        <x:v>Medium</x:v>
      </x:c>
      <x:c r="T117" s="26"/>
      <x:c r="U117" s="26"/>
      <x:c r="V117" s="26"/>
      <x:c r="W117" s="32"/>
      <x:c r="X117" s="27" t="b">
        <x:v>1</x:v>
      </x:c>
      <x:c r="Y117" s="34" t="n">
        <x:v>46220.017233796294</x:v>
      </x:c>
      <x:c r="Z117" s="26"/>
      <x:c r="AA117" s="26" t="str">
        <x:v>Sreeramulapalli (36687040422)</x:v>
      </x:c>
      <x:c r="AB117" s="26" t="str">
        <x:v>Enriched from Mulugu project JSON</x:v>
      </x:c>
    </x:row>
    <x:row r="118">
      <x:c r="A118" s="26" t="n">
        <x:v>115</x:v>
      </x:c>
      <x:c r="B118" s="26" t="n">
        <x:v>275</x:v>
      </x:c>
      <x:c r="C118" s="26" t="str">
        <x:v>Mulugu</x:v>
      </x:c>
      <x:c r="D118" s="26" t="n">
        <x:v>10774</x:v>
      </x:c>
      <x:c r="E118" s="26" t="str">
        <x:v>PRJ-2026-0010774</x:v>
      </x:c>
      <x:c r="F118" s="26" t="str">
        <x:v>AWC Chinnagunturupalli 2</x:v>
      </x:c>
      <x:c r="G118" s="26" t="n">
        <x:v>800</x:v>
      </x:c>
      <x:c r="H118" s="26" t="n">
        <x:v>41207</x:v>
      </x:c>
      <x:c r="I118" s="26" t="str">
        <x:v>Toys</x:v>
      </x:c>
      <x:c r="J118" s="26" t="str">
        <x:v>Number</x:v>
      </x:c>
      <x:c r="K118" s="26" t="n">
        <x:v>10</x:v>
      </x:c>
      <x:c r="L118" s="26" t="n">
        <x:v>10</x:v>
      </x:c>
      <x:c r="M118" s="26" t="n">
        <x:v>10</x:v>
      </x:c>
      <x:c r="N118" s="26" t="n">
        <x:v>0</x:v>
      </x:c>
      <x:c r="O118" s="26" t="n">
        <x:f>MAX(M118-N118,0)</x:f>
        <x:v>10</x:v>
      </x:c>
      <x:c r="P118" s="38" t="n">
        <x:f>IFERROR(N118/M118,0)</x:f>
        <x:v>0</x:v>
      </x:c>
      <x:c r="Q118" s="26" t="str">
        <x:v>Material/Assets/Equipment</x:v>
      </x:c>
      <x:c r="R118" s="26" t="str">
        <x:v>ECCE Equipment</x:v>
      </x:c>
      <x:c r="S118" s="26" t="str">
        <x:v>Minor</x:v>
      </x:c>
      <x:c r="T118" s="26"/>
      <x:c r="U118" s="26"/>
      <x:c r="V118" s="26"/>
      <x:c r="W118" s="32"/>
      <x:c r="X118" s="27" t="b">
        <x:v>1</x:v>
      </x:c>
      <x:c r="Y118" s="34" t="n">
        <x:v>46220.017222222225</x:v>
      </x:c>
      <x:c r="Z118" s="26"/>
      <x:c r="AA118" s="26" t="str">
        <x:v>Chinnagunturpalli -2 (36701020217)</x:v>
      </x:c>
      <x:c r="AB118" s="26" t="str">
        <x:v>Enriched from Mulugu project JSON</x:v>
      </x:c>
    </x:row>
    <x:row r="119">
      <x:c r="A119" s="26" t="n">
        <x:v>116</x:v>
      </x:c>
      <x:c r="B119" s="26" t="n">
        <x:v>275</x:v>
      </x:c>
      <x:c r="C119" s="26" t="str">
        <x:v>Mulugu</x:v>
      </x:c>
      <x:c r="D119" s="26" t="n">
        <x:v>10774</x:v>
      </x:c>
      <x:c r="E119" s="26" t="str">
        <x:v>PRJ-2026-0010774</x:v>
      </x:c>
      <x:c r="F119" s="26" t="str">
        <x:v>AWC Chinnagunturupalli 2</x:v>
      </x:c>
      <x:c r="G119" s="26" t="n">
        <x:v>801</x:v>
      </x:c>
      <x:c r="H119" s="26" t="n">
        <x:v>41208</x:v>
      </x:c>
      <x:c r="I119" s="26" t="str">
        <x:v>Games</x:v>
      </x:c>
      <x:c r="J119" s="26" t="str">
        <x:v>Number</x:v>
      </x:c>
      <x:c r="K119" s="26" t="n">
        <x:v>10</x:v>
      </x:c>
      <x:c r="L119" s="26" t="n">
        <x:v>10</x:v>
      </x:c>
      <x:c r="M119" s="26" t="n">
        <x:v>10</x:v>
      </x:c>
      <x:c r="N119" s="26" t="n">
        <x:v>0</x:v>
      </x:c>
      <x:c r="O119" s="26" t="n">
        <x:f>MAX(M119-N119,0)</x:f>
        <x:v>10</x:v>
      </x:c>
      <x:c r="P119" s="38" t="n">
        <x:f>IFERROR(N119/M119,0)</x:f>
        <x:v>0</x:v>
      </x:c>
      <x:c r="Q119" s="26" t="str">
        <x:v>Material/Assets/Equipment</x:v>
      </x:c>
      <x:c r="R119" s="26" t="str">
        <x:v>ECCE Equipment</x:v>
      </x:c>
      <x:c r="S119" s="26" t="str">
        <x:v>Minor</x:v>
      </x:c>
      <x:c r="T119" s="26"/>
      <x:c r="U119" s="26"/>
      <x:c r="V119" s="26"/>
      <x:c r="W119" s="32"/>
      <x:c r="X119" s="27" t="b">
        <x:v>1</x:v>
      </x:c>
      <x:c r="Y119" s="34" t="n">
        <x:v>46220.017222222225</x:v>
      </x:c>
      <x:c r="Z119" s="26"/>
      <x:c r="AA119" s="26" t="str">
        <x:v>Chinnagunturpalli -2 (36701020217)</x:v>
      </x:c>
      <x:c r="AB119" s="26" t="str">
        <x:v>Enriched from Mulugu project JSON</x:v>
      </x:c>
    </x:row>
    <x:row r="120">
      <x:c r="A120" s="26" t="n">
        <x:v>117</x:v>
      </x:c>
      <x:c r="B120" s="26" t="n">
        <x:v>275</x:v>
      </x:c>
      <x:c r="C120" s="26" t="str">
        <x:v>Mulugu</x:v>
      </x:c>
      <x:c r="D120" s="26" t="n">
        <x:v>10774</x:v>
      </x:c>
      <x:c r="E120" s="26" t="str">
        <x:v>PRJ-2026-0010774</x:v>
      </x:c>
      <x:c r="F120" s="26" t="str">
        <x:v>AWC Chinnagunturupalli 2</x:v>
      </x:c>
      <x:c r="G120" s="26" t="n">
        <x:v>802</x:v>
      </x:c>
      <x:c r="H120" s="26" t="n">
        <x:v>41209</x:v>
      </x:c>
      <x:c r="I120" s="26" t="str">
        <x:v>Tube Lights</x:v>
      </x:c>
      <x:c r="J120" s="26" t="str">
        <x:v>Number</x:v>
      </x:c>
      <x:c r="K120" s="26" t="n">
        <x:v>2</x:v>
      </x:c>
      <x:c r="L120" s="26" t="n">
        <x:v>2</x:v>
      </x:c>
      <x:c r="M120" s="26" t="n">
        <x:v>2</x:v>
      </x:c>
      <x:c r="N120" s="26" t="n">
        <x:v>0</x:v>
      </x:c>
      <x:c r="O120" s="26" t="n">
        <x:f>MAX(M120-N120,0)</x:f>
        <x:v>2</x:v>
      </x:c>
      <x:c r="P120" s="38" t="n">
        <x:f>IFERROR(N120/M120,0)</x:f>
        <x:v>0</x:v>
      </x:c>
      <x:c r="Q120" s="26" t="str">
        <x:v>Material/Assets/Equipment</x:v>
      </x:c>
      <x:c r="R120" s="26" t="str">
        <x:v>Electrical Infrastructure</x:v>
      </x:c>
      <x:c r="S120" s="26" t="str">
        <x:v>Medium</x:v>
      </x:c>
      <x:c r="T120" s="26"/>
      <x:c r="U120" s="26"/>
      <x:c r="V120" s="26"/>
      <x:c r="W120" s="32"/>
      <x:c r="X120" s="27" t="b">
        <x:v>1</x:v>
      </x:c>
      <x:c r="Y120" s="34" t="n">
        <x:v>46220.017222222225</x:v>
      </x:c>
      <x:c r="Z120" s="26"/>
      <x:c r="AA120" s="26" t="str">
        <x:v>Chinnagunturpalli -2 (36701020217)</x:v>
      </x:c>
      <x:c r="AB120" s="26" t="str">
        <x:v>Enriched from Mulugu project JSON</x:v>
      </x:c>
    </x:row>
    <x:row r="121">
      <x:c r="A121" s="26" t="n">
        <x:v>118</x:v>
      </x:c>
      <x:c r="B121" s="26" t="n">
        <x:v>275</x:v>
      </x:c>
      <x:c r="C121" s="26" t="str">
        <x:v>Mulugu</x:v>
      </x:c>
      <x:c r="D121" s="26" t="n">
        <x:v>10774</x:v>
      </x:c>
      <x:c r="E121" s="26" t="str">
        <x:v>PRJ-2026-0010774</x:v>
      </x:c>
      <x:c r="F121" s="26" t="str">
        <x:v>AWC Chinnagunturupalli 2</x:v>
      </x:c>
      <x:c r="G121" s="26" t="n">
        <x:v>803</x:v>
      </x:c>
      <x:c r="H121" s="26" t="n">
        <x:v>41210</x:v>
      </x:c>
      <x:c r="I121" s="26" t="str">
        <x:v>Chairs/Benches</x:v>
      </x:c>
      <x:c r="J121" s="26" t="str">
        <x:v>Number</x:v>
      </x:c>
      <x:c r="K121" s="26" t="n">
        <x:v>10</x:v>
      </x:c>
      <x:c r="L121" s="26" t="n">
        <x:v>10</x:v>
      </x:c>
      <x:c r="M121" s="26" t="n">
        <x:v>10</x:v>
      </x:c>
      <x:c r="N121" s="26" t="n">
        <x:v>0</x:v>
      </x:c>
      <x:c r="O121" s="26" t="n">
        <x:f>MAX(M121-N121,0)</x:f>
        <x:v>10</x:v>
      </x:c>
      <x:c r="P121" s="38" t="n">
        <x:f>IFERROR(N121/M121,0)</x:f>
        <x:v>0</x:v>
      </x:c>
      <x:c r="Q121" s="26" t="str">
        <x:v>Material/Assets/Equipment</x:v>
      </x:c>
      <x:c r="R121" s="26" t="str">
        <x:v>Educational Needs</x:v>
      </x:c>
      <x:c r="S121" s="26" t="str">
        <x:v>Minor</x:v>
      </x:c>
      <x:c r="T121" s="26"/>
      <x:c r="U121" s="26"/>
      <x:c r="V121" s="26"/>
      <x:c r="W121" s="32"/>
      <x:c r="X121" s="27" t="b">
        <x:v>1</x:v>
      </x:c>
      <x:c r="Y121" s="34" t="n">
        <x:v>46220.017222222225</x:v>
      </x:c>
      <x:c r="Z121" s="26"/>
      <x:c r="AA121" s="26" t="str">
        <x:v>Chinnagunturpalli -2 (36701020217)</x:v>
      </x:c>
      <x:c r="AB121" s="26" t="str">
        <x:v>Enriched from Mulugu project JSON</x:v>
      </x:c>
    </x:row>
    <x:row r="122">
      <x:c r="A122" s="26" t="n">
        <x:v>119</x:v>
      </x:c>
      <x:c r="B122" s="26" t="n">
        <x:v>275</x:v>
      </x:c>
      <x:c r="C122" s="26" t="str">
        <x:v>Mulugu</x:v>
      </x:c>
      <x:c r="D122" s="26" t="n">
        <x:v>10774</x:v>
      </x:c>
      <x:c r="E122" s="26" t="str">
        <x:v>PRJ-2026-0010774</x:v>
      </x:c>
      <x:c r="F122" s="26" t="str">
        <x:v>AWC Chinnagunturupalli 2</x:v>
      </x:c>
      <x:c r="G122" s="26" t="n">
        <x:v>804</x:v>
      </x:c>
      <x:c r="H122" s="26" t="n">
        <x:v>41211</x:v>
      </x:c>
      <x:c r="I122" s="26" t="str">
        <x:v>Water Purifier</x:v>
      </x:c>
      <x:c r="J122" s="26" t="str">
        <x:v>Number</x:v>
      </x:c>
      <x:c r="K122" s="26" t="n">
        <x:v>1</x:v>
      </x:c>
      <x:c r="L122" s="26" t="n">
        <x:v>1</x:v>
      </x:c>
      <x:c r="M122" s="26" t="n">
        <x:v>1</x:v>
      </x:c>
      <x:c r="N122" s="26" t="n">
        <x:v>0</x:v>
      </x:c>
      <x:c r="O122" s="26" t="n">
        <x:f>MAX(M122-N122,0)</x:f>
        <x:v>1</x:v>
      </x:c>
      <x:c r="P122" s="38" t="n">
        <x:f>IFERROR(N122/M122,0)</x:f>
        <x:v>0</x:v>
      </x:c>
      <x:c r="Q122" s="26" t="str">
        <x:v>Material/Assets/Equipment</x:v>
      </x:c>
      <x:c r="R122" s="26" t="str">
        <x:v>Health and Safety aids</x:v>
      </x:c>
      <x:c r="S122" s="26" t="str">
        <x:v>Minor</x:v>
      </x:c>
      <x:c r="T122" s="26"/>
      <x:c r="U122" s="26"/>
      <x:c r="V122" s="26"/>
      <x:c r="W122" s="32"/>
      <x:c r="X122" s="27" t="b">
        <x:v>1</x:v>
      </x:c>
      <x:c r="Y122" s="34" t="n">
        <x:v>46220.017222222225</x:v>
      </x:c>
      <x:c r="Z122" s="26"/>
      <x:c r="AA122" s="26" t="str">
        <x:v>Chinnagunturpalli -2 (36701020217)</x:v>
      </x:c>
      <x:c r="AB122" s="26" t="str">
        <x:v>Enriched from Mulugu project JSON</x:v>
      </x:c>
    </x:row>
    <x:row r="123">
      <x:c r="A123" s="26" t="n">
        <x:v>120</x:v>
      </x:c>
      <x:c r="B123" s="26" t="n">
        <x:v>275</x:v>
      </x:c>
      <x:c r="C123" s="26" t="str">
        <x:v>Mulugu</x:v>
      </x:c>
      <x:c r="D123" s="26" t="n">
        <x:v>10774</x:v>
      </x:c>
      <x:c r="E123" s="26" t="str">
        <x:v>PRJ-2026-0010774</x:v>
      </x:c>
      <x:c r="F123" s="26" t="str">
        <x:v>AWC Chinnagunturupalli 2</x:v>
      </x:c>
      <x:c r="G123" s="26" t="n">
        <x:v>805</x:v>
      </x:c>
      <x:c r="H123" s="26" t="n">
        <x:v>41212</x:v>
      </x:c>
      <x:c r="I123" s="26" t="str">
        <x:v>Chairs</x:v>
      </x:c>
      <x:c r="J123" s="26" t="str">
        <x:v>Number</x:v>
      </x:c>
      <x:c r="K123" s="26" t="n">
        <x:v>2</x:v>
      </x:c>
      <x:c r="L123" s="26" t="n">
        <x:v>2</x:v>
      </x:c>
      <x:c r="M123" s="26" t="n">
        <x:v>2</x:v>
      </x:c>
      <x:c r="N123" s="26" t="n">
        <x:v>0</x:v>
      </x:c>
      <x:c r="O123" s="26" t="n">
        <x:f>MAX(M123-N123,0)</x:f>
        <x:v>2</x:v>
      </x:c>
      <x:c r="P123" s="38" t="n">
        <x:f>IFERROR(N123/M123,0)</x:f>
        <x:v>0</x:v>
      </x:c>
      <x:c r="Q123" s="26" t="str">
        <x:v>Material/Assets/Equipment</x:v>
      </x:c>
      <x:c r="R123" s="26" t="str">
        <x:v>Office Needs</x:v>
      </x:c>
      <x:c r="S123" s="26" t="str">
        <x:v>Minor</x:v>
      </x:c>
      <x:c r="T123" s="26"/>
      <x:c r="U123" s="26"/>
      <x:c r="V123" s="26"/>
      <x:c r="W123" s="32"/>
      <x:c r="X123" s="27" t="b">
        <x:v>1</x:v>
      </x:c>
      <x:c r="Y123" s="34" t="n">
        <x:v>46220.017222222225</x:v>
      </x:c>
      <x:c r="Z123" s="26"/>
      <x:c r="AA123" s="26" t="str">
        <x:v>Chinnagunturpalli -2 (36701020217)</x:v>
      </x:c>
      <x:c r="AB123" s="26" t="str">
        <x:v>Enriched from Mulugu project JSON</x:v>
      </x:c>
    </x:row>
    <x:row r="124">
      <x:c r="A124" s="26" t="n">
        <x:v>121</x:v>
      </x:c>
      <x:c r="B124" s="26" t="n">
        <x:v>275</x:v>
      </x:c>
      <x:c r="C124" s="26" t="str">
        <x:v>Mulugu</x:v>
      </x:c>
      <x:c r="D124" s="26" t="n">
        <x:v>10774</x:v>
      </x:c>
      <x:c r="E124" s="26" t="str">
        <x:v>PRJ-2026-0010774</x:v>
      </x:c>
      <x:c r="F124" s="26" t="str">
        <x:v>AWC Chinnagunturupalli 2</x:v>
      </x:c>
      <x:c r="G124" s="26" t="n">
        <x:v>806</x:v>
      </x:c>
      <x:c r="H124" s="26" t="n">
        <x:v>41213</x:v>
      </x:c>
      <x:c r="I124" s="26" t="str">
        <x:v>Cooking Equipments</x:v>
      </x:c>
      <x:c r="J124" s="26" t="str">
        <x:v>Number</x:v>
      </x:c>
      <x:c r="K124" s="26" t="n">
        <x:v>1</x:v>
      </x:c>
      <x:c r="L124" s="26" t="n">
        <x:v>1</x:v>
      </x:c>
      <x:c r="M124" s="26" t="n">
        <x:v>1</x:v>
      </x:c>
      <x:c r="N124" s="26" t="n">
        <x:v>0</x:v>
      </x:c>
      <x:c r="O124" s="26" t="n">
        <x:f>MAX(M124-N124,0)</x:f>
        <x:v>1</x:v>
      </x:c>
      <x:c r="P124" s="38" t="n">
        <x:f>IFERROR(N124/M124,0)</x:f>
        <x:v>0</x:v>
      </x:c>
      <x:c r="Q124" s="26" t="str">
        <x:v>Material/Assets/Equipment</x:v>
      </x:c>
      <x:c r="R124" s="26" t="str">
        <x:v>Electrical Infrastructure</x:v>
      </x:c>
      <x:c r="S124" s="26" t="str">
        <x:v>Medium</x:v>
      </x:c>
      <x:c r="T124" s="26"/>
      <x:c r="U124" s="26"/>
      <x:c r="V124" s="26"/>
      <x:c r="W124" s="32"/>
      <x:c r="X124" s="27" t="b">
        <x:v>1</x:v>
      </x:c>
      <x:c r="Y124" s="34" t="n">
        <x:v>46220.017222222225</x:v>
      </x:c>
      <x:c r="Z124" s="26"/>
      <x:c r="AA124" s="26" t="str">
        <x:v>Chinnagunturpalli -2 (36701020217)</x:v>
      </x:c>
      <x:c r="AB124" s="26" t="str">
        <x:v>Enriched from Mulugu project JSON</x:v>
      </x:c>
    </x:row>
    <x:row r="125">
      <x:c r="A125" s="26" t="n">
        <x:v>122</x:v>
      </x:c>
      <x:c r="B125" s="26" t="n">
        <x:v>276</x:v>
      </x:c>
      <x:c r="C125" s="26" t="str">
        <x:v>Mulugu</x:v>
      </x:c>
      <x:c r="D125" s="26" t="n">
        <x:v>10716</x:v>
      </x:c>
      <x:c r="E125" s="26" t="str">
        <x:v>PRJ-2026-0010716</x:v>
      </x:c>
      <x:c r="F125" s="26" t="str">
        <x:v>AWC Ramihnagarthanda</x:v>
      </x:c>
      <x:c r="G125" s="26" t="n">
        <x:v>807</x:v>
      </x:c>
      <x:c r="H125" s="26" t="n">
        <x:v>40996</x:v>
      </x:c>
      <x:c r="I125" s="26" t="str">
        <x:v>Toys</x:v>
      </x:c>
      <x:c r="J125" s="26" t="str">
        <x:v>Number</x:v>
      </x:c>
      <x:c r="K125" s="26" t="n">
        <x:v>10</x:v>
      </x:c>
      <x:c r="L125" s="26" t="n">
        <x:v>10</x:v>
      </x:c>
      <x:c r="M125" s="26" t="n">
        <x:v>10</x:v>
      </x:c>
      <x:c r="N125" s="26" t="n">
        <x:v>0</x:v>
      </x:c>
      <x:c r="O125" s="26" t="n">
        <x:f>MAX(M125-N125,0)</x:f>
        <x:v>10</x:v>
      </x:c>
      <x:c r="P125" s="38" t="n">
        <x:f>IFERROR(N125/M125,0)</x:f>
        <x:v>0</x:v>
      </x:c>
      <x:c r="Q125" s="26" t="str">
        <x:v>Material/Assets/Equipment</x:v>
      </x:c>
      <x:c r="R125" s="26" t="str">
        <x:v>ECCE Equipment</x:v>
      </x:c>
      <x:c r="S125" s="26" t="str">
        <x:v>Minor</x:v>
      </x:c>
      <x:c r="T125" s="26"/>
      <x:c r="U125" s="26"/>
      <x:c r="V125" s="26"/>
      <x:c r="W125" s="32"/>
      <x:c r="X125" s="27" t="b">
        <x:v>1</x:v>
      </x:c>
      <x:c r="Y125" s="34" t="n">
        <x:v>46220.017222222225</x:v>
      </x:c>
      <x:c r="Z125" s="26"/>
      <x:c r="AA125" s="26" t="str">
        <x:v>RAHIMNAGARTHANDA  (Mini) (36701020208)</x:v>
      </x:c>
      <x:c r="AB125" s="26" t="str">
        <x:v>Enriched from Mulugu project JSON</x:v>
      </x:c>
    </x:row>
    <x:row r="126">
      <x:c r="A126" s="26" t="n">
        <x:v>123</x:v>
      </x:c>
      <x:c r="B126" s="26" t="n">
        <x:v>276</x:v>
      </x:c>
      <x:c r="C126" s="26" t="str">
        <x:v>Mulugu</x:v>
      </x:c>
      <x:c r="D126" s="26" t="n">
        <x:v>10716</x:v>
      </x:c>
      <x:c r="E126" s="26" t="str">
        <x:v>PRJ-2026-0010716</x:v>
      </x:c>
      <x:c r="F126" s="26" t="str">
        <x:v>AWC Ramihnagarthanda</x:v>
      </x:c>
      <x:c r="G126" s="26" t="n">
        <x:v>808</x:v>
      </x:c>
      <x:c r="H126" s="26" t="n">
        <x:v>40997</x:v>
      </x:c>
      <x:c r="I126" s="26" t="str">
        <x:v>Games</x:v>
      </x:c>
      <x:c r="J126" s="26" t="str">
        <x:v>Number</x:v>
      </x:c>
      <x:c r="K126" s="26" t="n">
        <x:v>10</x:v>
      </x:c>
      <x:c r="L126" s="26" t="n">
        <x:v>10</x:v>
      </x:c>
      <x:c r="M126" s="26" t="n">
        <x:v>10</x:v>
      </x:c>
      <x:c r="N126" s="26" t="n">
        <x:v>0</x:v>
      </x:c>
      <x:c r="O126" s="26" t="n">
        <x:f>MAX(M126-N126,0)</x:f>
        <x:v>10</x:v>
      </x:c>
      <x:c r="P126" s="38" t="n">
        <x:f>IFERROR(N126/M126,0)</x:f>
        <x:v>0</x:v>
      </x:c>
      <x:c r="Q126" s="26" t="str">
        <x:v>Material/Assets/Equipment</x:v>
      </x:c>
      <x:c r="R126" s="26" t="str">
        <x:v>ECCE Equipment</x:v>
      </x:c>
      <x:c r="S126" s="26" t="str">
        <x:v>Minor</x:v>
      </x:c>
      <x:c r="T126" s="26"/>
      <x:c r="U126" s="26"/>
      <x:c r="V126" s="26"/>
      <x:c r="W126" s="32"/>
      <x:c r="X126" s="27" t="b">
        <x:v>1</x:v>
      </x:c>
      <x:c r="Y126" s="34" t="n">
        <x:v>46220.017222222225</x:v>
      </x:c>
      <x:c r="Z126" s="26"/>
      <x:c r="AA126" s="26" t="str">
        <x:v>RAHIMNAGARTHANDA  (Mini) (36701020208)</x:v>
      </x:c>
      <x:c r="AB126" s="26" t="str">
        <x:v>Enriched from Mulugu project JSON</x:v>
      </x:c>
    </x:row>
    <x:row r="127">
      <x:c r="A127" s="26" t="n">
        <x:v>124</x:v>
      </x:c>
      <x:c r="B127" s="26" t="n">
        <x:v>276</x:v>
      </x:c>
      <x:c r="C127" s="26" t="str">
        <x:v>Mulugu</x:v>
      </x:c>
      <x:c r="D127" s="26" t="n">
        <x:v>10716</x:v>
      </x:c>
      <x:c r="E127" s="26" t="str">
        <x:v>PRJ-2026-0010716</x:v>
      </x:c>
      <x:c r="F127" s="26" t="str">
        <x:v>AWC Ramihnagarthanda</x:v>
      </x:c>
      <x:c r="G127" s="26" t="n">
        <x:v>809</x:v>
      </x:c>
      <x:c r="H127" s="26" t="n">
        <x:v>40998</x:v>
      </x:c>
      <x:c r="I127" s="26" t="str">
        <x:v>Chairs/Benches</x:v>
      </x:c>
      <x:c r="J127" s="26" t="str">
        <x:v>Number</x:v>
      </x:c>
      <x:c r="K127" s="26" t="n">
        <x:v>10</x:v>
      </x:c>
      <x:c r="L127" s="26" t="n">
        <x:v>10</x:v>
      </x:c>
      <x:c r="M127" s="26" t="n">
        <x:v>10</x:v>
      </x:c>
      <x:c r="N127" s="26" t="n">
        <x:v>0</x:v>
      </x:c>
      <x:c r="O127" s="26" t="n">
        <x:f>MAX(M127-N127,0)</x:f>
        <x:v>10</x:v>
      </x:c>
      <x:c r="P127" s="38" t="n">
        <x:f>IFERROR(N127/M127,0)</x:f>
        <x:v>0</x:v>
      </x:c>
      <x:c r="Q127" s="26" t="str">
        <x:v>Material/Assets/Equipment</x:v>
      </x:c>
      <x:c r="R127" s="26" t="str">
        <x:v>Educational Needs</x:v>
      </x:c>
      <x:c r="S127" s="26" t="str">
        <x:v>Minor</x:v>
      </x:c>
      <x:c r="T127" s="26"/>
      <x:c r="U127" s="26"/>
      <x:c r="V127" s="26"/>
      <x:c r="W127" s="32"/>
      <x:c r="X127" s="27" t="b">
        <x:v>1</x:v>
      </x:c>
      <x:c r="Y127" s="34" t="n">
        <x:v>46220.017222222225</x:v>
      </x:c>
      <x:c r="Z127" s="26"/>
      <x:c r="AA127" s="26" t="str">
        <x:v>RAHIMNAGARTHANDA  (Mini) (36701020208)</x:v>
      </x:c>
      <x:c r="AB127" s="26" t="str">
        <x:v>Enriched from Mulugu project JSON</x:v>
      </x:c>
    </x:row>
    <x:row r="128">
      <x:c r="A128" s="26" t="n">
        <x:v>125</x:v>
      </x:c>
      <x:c r="B128" s="26" t="n">
        <x:v>276</x:v>
      </x:c>
      <x:c r="C128" s="26" t="str">
        <x:v>Mulugu</x:v>
      </x:c>
      <x:c r="D128" s="26" t="n">
        <x:v>10716</x:v>
      </x:c>
      <x:c r="E128" s="26" t="str">
        <x:v>PRJ-2026-0010716</x:v>
      </x:c>
      <x:c r="F128" s="26" t="str">
        <x:v>AWC Ramihnagarthanda</x:v>
      </x:c>
      <x:c r="G128" s="26" t="n">
        <x:v>810</x:v>
      </x:c>
      <x:c r="H128" s="26" t="n">
        <x:v>40999</x:v>
      </x:c>
      <x:c r="I128" s="26" t="str">
        <x:v>Tube Lights</x:v>
      </x:c>
      <x:c r="J128" s="26" t="str">
        <x:v>Number</x:v>
      </x:c>
      <x:c r="K128" s="26" t="n">
        <x:v>2</x:v>
      </x:c>
      <x:c r="L128" s="26" t="n">
        <x:v>2</x:v>
      </x:c>
      <x:c r="M128" s="26" t="n">
        <x:v>2</x:v>
      </x:c>
      <x:c r="N128" s="26" t="n">
        <x:v>0</x:v>
      </x:c>
      <x:c r="O128" s="26" t="n">
        <x:f>MAX(M128-N128,0)</x:f>
        <x:v>2</x:v>
      </x:c>
      <x:c r="P128" s="38" t="n">
        <x:f>IFERROR(N128/M128,0)</x:f>
        <x:v>0</x:v>
      </x:c>
      <x:c r="Q128" s="26" t="str">
        <x:v>Material/Assets/Equipment</x:v>
      </x:c>
      <x:c r="R128" s="26" t="str">
        <x:v>Electrical Infrastructure</x:v>
      </x:c>
      <x:c r="S128" s="26" t="str">
        <x:v>Medium</x:v>
      </x:c>
      <x:c r="T128" s="26"/>
      <x:c r="U128" s="26"/>
      <x:c r="V128" s="26"/>
      <x:c r="W128" s="32"/>
      <x:c r="X128" s="27" t="b">
        <x:v>1</x:v>
      </x:c>
      <x:c r="Y128" s="34" t="n">
        <x:v>46220.017222222225</x:v>
      </x:c>
      <x:c r="Z128" s="26"/>
      <x:c r="AA128" s="26" t="str">
        <x:v>RAHIMNAGARTHANDA  (Mini) (36701020208)</x:v>
      </x:c>
      <x:c r="AB128" s="26" t="str">
        <x:v>Enriched from Mulugu project JSON</x:v>
      </x:c>
    </x:row>
    <x:row r="129">
      <x:c r="A129" s="26" t="n">
        <x:v>126</x:v>
      </x:c>
      <x:c r="B129" s="26" t="n">
        <x:v>276</x:v>
      </x:c>
      <x:c r="C129" s="26" t="str">
        <x:v>Mulugu</x:v>
      </x:c>
      <x:c r="D129" s="26" t="n">
        <x:v>10716</x:v>
      </x:c>
      <x:c r="E129" s="26" t="str">
        <x:v>PRJ-2026-0010716</x:v>
      </x:c>
      <x:c r="F129" s="26" t="str">
        <x:v>AWC Ramihnagarthanda</x:v>
      </x:c>
      <x:c r="G129" s="26" t="n">
        <x:v>811</x:v>
      </x:c>
      <x:c r="H129" s="26" t="n">
        <x:v>41000</x:v>
      </x:c>
      <x:c r="I129" s="26" t="str">
        <x:v>Cooking Equipments</x:v>
      </x:c>
      <x:c r="J129" s="26" t="str">
        <x:v>Number</x:v>
      </x:c>
      <x:c r="K129" s="26" t="n">
        <x:v>1</x:v>
      </x:c>
      <x:c r="L129" s="26" t="n">
        <x:v>1</x:v>
      </x:c>
      <x:c r="M129" s="26" t="n">
        <x:v>1</x:v>
      </x:c>
      <x:c r="N129" s="26" t="n">
        <x:v>0</x:v>
      </x:c>
      <x:c r="O129" s="26" t="n">
        <x:f>MAX(M129-N129,0)</x:f>
        <x:v>1</x:v>
      </x:c>
      <x:c r="P129" s="38" t="n">
        <x:f>IFERROR(N129/M129,0)</x:f>
        <x:v>0</x:v>
      </x:c>
      <x:c r="Q129" s="26" t="str">
        <x:v>Material/Assets/Equipment</x:v>
      </x:c>
      <x:c r="R129" s="26" t="str">
        <x:v>Electrical Infrastructure</x:v>
      </x:c>
      <x:c r="S129" s="26" t="str">
        <x:v>Medium</x:v>
      </x:c>
      <x:c r="T129" s="26"/>
      <x:c r="U129" s="26"/>
      <x:c r="V129" s="26"/>
      <x:c r="W129" s="32"/>
      <x:c r="X129" s="27" t="b">
        <x:v>1</x:v>
      </x:c>
      <x:c r="Y129" s="34" t="n">
        <x:v>46220.017222222225</x:v>
      </x:c>
      <x:c r="Z129" s="26"/>
      <x:c r="AA129" s="26" t="str">
        <x:v>RAHIMNAGARTHANDA  (Mini) (36701020208)</x:v>
      </x:c>
      <x:c r="AB129" s="26" t="str">
        <x:v>Enriched from Mulugu project JSON</x:v>
      </x:c>
    </x:row>
    <x:row r="130">
      <x:c r="A130" s="26" t="n">
        <x:v>127</x:v>
      </x:c>
      <x:c r="B130" s="26" t="n">
        <x:v>276</x:v>
      </x:c>
      <x:c r="C130" s="26" t="str">
        <x:v>Mulugu</x:v>
      </x:c>
      <x:c r="D130" s="26" t="n">
        <x:v>10716</x:v>
      </x:c>
      <x:c r="E130" s="26" t="str">
        <x:v>PRJ-2026-0010716</x:v>
      </x:c>
      <x:c r="F130" s="26" t="str">
        <x:v>AWC Ramihnagarthanda</x:v>
      </x:c>
      <x:c r="G130" s="26" t="n">
        <x:v>812</x:v>
      </x:c>
      <x:c r="H130" s="26" t="n">
        <x:v>41001</x:v>
      </x:c>
      <x:c r="I130" s="26" t="str">
        <x:v>Water Purifier</x:v>
      </x:c>
      <x:c r="J130" s="26" t="str">
        <x:v>Number</x:v>
      </x:c>
      <x:c r="K130" s="26" t="n">
        <x:v>1</x:v>
      </x:c>
      <x:c r="L130" s="26" t="n">
        <x:v>1</x:v>
      </x:c>
      <x:c r="M130" s="26" t="n">
        <x:v>1</x:v>
      </x:c>
      <x:c r="N130" s="26" t="n">
        <x:v>0</x:v>
      </x:c>
      <x:c r="O130" s="26" t="n">
        <x:f>MAX(M130-N130,0)</x:f>
        <x:v>1</x:v>
      </x:c>
      <x:c r="P130" s="38" t="n">
        <x:f>IFERROR(N130/M130,0)</x:f>
        <x:v>0</x:v>
      </x:c>
      <x:c r="Q130" s="26" t="str">
        <x:v>Material/Assets/Equipment</x:v>
      </x:c>
      <x:c r="R130" s="26" t="str">
        <x:v>Health and Safety aids</x:v>
      </x:c>
      <x:c r="S130" s="26" t="str">
        <x:v>Minor</x:v>
      </x:c>
      <x:c r="T130" s="26"/>
      <x:c r="U130" s="26"/>
      <x:c r="V130" s="26"/>
      <x:c r="W130" s="32"/>
      <x:c r="X130" s="27" t="b">
        <x:v>1</x:v>
      </x:c>
      <x:c r="Y130" s="34" t="n">
        <x:v>46220.017222222225</x:v>
      </x:c>
      <x:c r="Z130" s="26"/>
      <x:c r="AA130" s="26" t="str">
        <x:v>RAHIMNAGARTHANDA  (Mini) (36701020208)</x:v>
      </x:c>
      <x:c r="AB130" s="26" t="str">
        <x:v>Enriched from Mulugu project JSON</x:v>
      </x:c>
    </x:row>
    <x:row r="131">
      <x:c r="A131" s="26" t="n">
        <x:v>128</x:v>
      </x:c>
      <x:c r="B131" s="26" t="n">
        <x:v>276</x:v>
      </x:c>
      <x:c r="C131" s="26" t="str">
        <x:v>Mulugu</x:v>
      </x:c>
      <x:c r="D131" s="26" t="n">
        <x:v>10716</x:v>
      </x:c>
      <x:c r="E131" s="26" t="str">
        <x:v>PRJ-2026-0010716</x:v>
      </x:c>
      <x:c r="F131" s="26" t="str">
        <x:v>AWC Ramihnagarthanda</x:v>
      </x:c>
      <x:c r="G131" s="26" t="n">
        <x:v>813</x:v>
      </x:c>
      <x:c r="H131" s="26" t="n">
        <x:v>41002</x:v>
      </x:c>
      <x:c r="I131" s="26" t="str">
        <x:v>Chairs</x:v>
      </x:c>
      <x:c r="J131" s="26" t="str">
        <x:v>Number</x:v>
      </x:c>
      <x:c r="K131" s="26" t="n">
        <x:v>3</x:v>
      </x:c>
      <x:c r="L131" s="26" t="n">
        <x:v>3</x:v>
      </x:c>
      <x:c r="M131" s="26" t="n">
        <x:v>3</x:v>
      </x:c>
      <x:c r="N131" s="26" t="n">
        <x:v>0</x:v>
      </x:c>
      <x:c r="O131" s="26" t="n">
        <x:f>MAX(M131-N131,0)</x:f>
        <x:v>3</x:v>
      </x:c>
      <x:c r="P131" s="38" t="n">
        <x:f>IFERROR(N131/M131,0)</x:f>
        <x:v>0</x:v>
      </x:c>
      <x:c r="Q131" s="26" t="str">
        <x:v>Material/Assets/Equipment</x:v>
      </x:c>
      <x:c r="R131" s="26" t="str">
        <x:v>Office Needs</x:v>
      </x:c>
      <x:c r="S131" s="26" t="str">
        <x:v>Minor</x:v>
      </x:c>
      <x:c r="T131" s="26"/>
      <x:c r="U131" s="26"/>
      <x:c r="V131" s="26"/>
      <x:c r="W131" s="32"/>
      <x:c r="X131" s="27" t="b">
        <x:v>1</x:v>
      </x:c>
      <x:c r="Y131" s="34" t="n">
        <x:v>46220.017222222225</x:v>
      </x:c>
      <x:c r="Z131" s="26"/>
      <x:c r="AA131" s="26" t="str">
        <x:v>RAHIMNAGARTHANDA  (Mini) (36701020208)</x:v>
      </x:c>
      <x:c r="AB131" s="26" t="str">
        <x:v>Enriched from Mulugu project JSON</x:v>
      </x:c>
    </x:row>
    <x:row r="132">
      <x:c r="A132" s="26" t="n">
        <x:v>129</x:v>
      </x:c>
      <x:c r="B132" s="26" t="n">
        <x:v>273</x:v>
      </x:c>
      <x:c r="C132" s="26" t="str">
        <x:v>Mulugu</x:v>
      </x:c>
      <x:c r="D132" s="26" t="n">
        <x:v>11291</x:v>
      </x:c>
      <x:c r="E132" s="26" t="str">
        <x:v>PRJ-2026-0011291</x:v>
      </x:c>
      <x:c r="F132" s="26" t="str">
        <x:v>AWC Narsingapur</x:v>
      </x:c>
      <x:c r="G132" s="26" t="n">
        <x:v>785</x:v>
      </x:c>
      <x:c r="H132" s="26" t="n">
        <x:v>43559</x:v>
      </x:c>
      <x:c r="I132" s="26" t="str">
        <x:v>Toys</x:v>
      </x:c>
      <x:c r="J132" s="26" t="str">
        <x:v>Number</x:v>
      </x:c>
      <x:c r="K132" s="26" t="n">
        <x:v>10</x:v>
      </x:c>
      <x:c r="L132" s="26" t="n">
        <x:v>10</x:v>
      </x:c>
      <x:c r="M132" s="26" t="n">
        <x:v>10</x:v>
      </x:c>
      <x:c r="N132" s="26" t="n">
        <x:v>0</x:v>
      </x:c>
      <x:c r="O132" s="26" t="n">
        <x:f>MAX(M132-N132,0)</x:f>
        <x:v>10</x:v>
      </x:c>
      <x:c r="P132" s="38" t="n">
        <x:f>IFERROR(N132/M132,0)</x:f>
        <x:v>0</x:v>
      </x:c>
      <x:c r="Q132" s="26" t="str">
        <x:v>Material/Assets/Equipment</x:v>
      </x:c>
      <x:c r="R132" s="26" t="str">
        <x:v>ECCE Equipment</x:v>
      </x:c>
      <x:c r="S132" s="26" t="str">
        <x:v>Minor</x:v>
      </x:c>
      <x:c r="T132" s="26"/>
      <x:c r="U132" s="26"/>
      <x:c r="V132" s="26"/>
      <x:c r="W132" s="32"/>
      <x:c r="X132" s="27" t="b">
        <x:v>1</x:v>
      </x:c>
      <x:c r="Y132" s="34" t="n">
        <x:v>46220.01721064815</x:v>
      </x:c>
      <x:c r="Z132" s="26"/>
      <x:c r="AA132" s="26" t="str">
        <x:v>Narsingapur (36701020614)</x:v>
      </x:c>
      <x:c r="AB132" s="26" t="str">
        <x:v>Enriched from Mulugu project JSON</x:v>
      </x:c>
    </x:row>
    <x:row r="133">
      <x:c r="A133" s="26" t="n">
        <x:v>130</x:v>
      </x:c>
      <x:c r="B133" s="26" t="n">
        <x:v>273</x:v>
      </x:c>
      <x:c r="C133" s="26" t="str">
        <x:v>Mulugu</x:v>
      </x:c>
      <x:c r="D133" s="26" t="n">
        <x:v>11291</x:v>
      </x:c>
      <x:c r="E133" s="26" t="str">
        <x:v>PRJ-2026-0011291</x:v>
      </x:c>
      <x:c r="F133" s="26" t="str">
        <x:v>AWC Narsingapur</x:v>
      </x:c>
      <x:c r="G133" s="26" t="n">
        <x:v>786</x:v>
      </x:c>
      <x:c r="H133" s="26" t="n">
        <x:v>43560</x:v>
      </x:c>
      <x:c r="I133" s="26" t="str">
        <x:v>Swing sets</x:v>
      </x:c>
      <x:c r="J133" s="26" t="str">
        <x:v>Number</x:v>
      </x:c>
      <x:c r="K133" s="26" t="n">
        <x:v>10</x:v>
      </x:c>
      <x:c r="L133" s="26" t="n">
        <x:v>10</x:v>
      </x:c>
      <x:c r="M133" s="26" t="n">
        <x:v>10</x:v>
      </x:c>
      <x:c r="N133" s="26" t="n">
        <x:v>0</x:v>
      </x:c>
      <x:c r="O133" s="26" t="n">
        <x:f>MAX(M133-N133,0)</x:f>
        <x:v>10</x:v>
      </x:c>
      <x:c r="P133" s="38" t="n">
        <x:f>IFERROR(N133/M133,0)</x:f>
        <x:v>0</x:v>
      </x:c>
      <x:c r="Q133" s="26" t="str">
        <x:v>Material/Assets/Equipment</x:v>
      </x:c>
      <x:c r="R133" s="26" t="str">
        <x:v>ECCE Equipment</x:v>
      </x:c>
      <x:c r="S133" s="26" t="str">
        <x:v>Minor</x:v>
      </x:c>
      <x:c r="T133" s="26"/>
      <x:c r="U133" s="26"/>
      <x:c r="V133" s="26"/>
      <x:c r="W133" s="32"/>
      <x:c r="X133" s="27" t="b">
        <x:v>1</x:v>
      </x:c>
      <x:c r="Y133" s="34" t="n">
        <x:v>46220.01721064815</x:v>
      </x:c>
      <x:c r="Z133" s="26"/>
      <x:c r="AA133" s="26" t="str">
        <x:v>Narsingapur (36701020614)</x:v>
      </x:c>
      <x:c r="AB133" s="26" t="str">
        <x:v>Enriched from Mulugu project JSON</x:v>
      </x:c>
    </x:row>
    <x:row r="134">
      <x:c r="A134" s="26" t="n">
        <x:v>131</x:v>
      </x:c>
      <x:c r="B134" s="26" t="n">
        <x:v>273</x:v>
      </x:c>
      <x:c r="C134" s="26" t="str">
        <x:v>Mulugu</x:v>
      </x:c>
      <x:c r="D134" s="26" t="n">
        <x:v>11291</x:v>
      </x:c>
      <x:c r="E134" s="26" t="str">
        <x:v>PRJ-2026-0011291</x:v>
      </x:c>
      <x:c r="F134" s="26" t="str">
        <x:v>AWC Narsingapur</x:v>
      </x:c>
      <x:c r="G134" s="26" t="n">
        <x:v>787</x:v>
      </x:c>
      <x:c r="H134" s="26" t="n">
        <x:v>43561</x:v>
      </x:c>
      <x:c r="I134" s="26" t="str">
        <x:v>Chairs/Benches</x:v>
      </x:c>
      <x:c r="J134" s="26" t="str">
        <x:v>Number</x:v>
      </x:c>
      <x:c r="K134" s="26" t="n">
        <x:v>10</x:v>
      </x:c>
      <x:c r="L134" s="26" t="n">
        <x:v>10</x:v>
      </x:c>
      <x:c r="M134" s="26" t="n">
        <x:v>10</x:v>
      </x:c>
      <x:c r="N134" s="26" t="n">
        <x:v>0</x:v>
      </x:c>
      <x:c r="O134" s="26" t="n">
        <x:f>MAX(M134-N134,0)</x:f>
        <x:v>10</x:v>
      </x:c>
      <x:c r="P134" s="38" t="n">
        <x:f>IFERROR(N134/M134,0)</x:f>
        <x:v>0</x:v>
      </x:c>
      <x:c r="Q134" s="26" t="str">
        <x:v>Material/Assets/Equipment</x:v>
      </x:c>
      <x:c r="R134" s="26" t="str">
        <x:v>Educational Needs</x:v>
      </x:c>
      <x:c r="S134" s="26" t="str">
        <x:v>Minor</x:v>
      </x:c>
      <x:c r="T134" s="26"/>
      <x:c r="U134" s="26"/>
      <x:c r="V134" s="26"/>
      <x:c r="W134" s="32"/>
      <x:c r="X134" s="27" t="b">
        <x:v>1</x:v>
      </x:c>
      <x:c r="Y134" s="34" t="n">
        <x:v>46220.01721064815</x:v>
      </x:c>
      <x:c r="Z134" s="26"/>
      <x:c r="AA134" s="26" t="str">
        <x:v>Narsingapur (36701020614)</x:v>
      </x:c>
      <x:c r="AB134" s="26" t="str">
        <x:v>Enriched from Mulugu project JSON</x:v>
      </x:c>
    </x:row>
    <x:row r="135">
      <x:c r="A135" s="26" t="n">
        <x:v>132</x:v>
      </x:c>
      <x:c r="B135" s="26" t="n">
        <x:v>273</x:v>
      </x:c>
      <x:c r="C135" s="26" t="str">
        <x:v>Mulugu</x:v>
      </x:c>
      <x:c r="D135" s="26" t="n">
        <x:v>11291</x:v>
      </x:c>
      <x:c r="E135" s="26" t="str">
        <x:v>PRJ-2026-0011291</x:v>
      </x:c>
      <x:c r="F135" s="26" t="str">
        <x:v>AWC Narsingapur</x:v>
      </x:c>
      <x:c r="G135" s="26" t="n">
        <x:v>788</x:v>
      </x:c>
      <x:c r="H135" s="26" t="n">
        <x:v>43562</x:v>
      </x:c>
      <x:c r="I135" s="26" t="str">
        <x:v>Tube Lights</x:v>
      </x:c>
      <x:c r="J135" s="26" t="str">
        <x:v>Number</x:v>
      </x:c>
      <x:c r="K135" s="26" t="n">
        <x:v>2</x:v>
      </x:c>
      <x:c r="L135" s="26" t="n">
        <x:v>2</x:v>
      </x:c>
      <x:c r="M135" s="26" t="n">
        <x:v>2</x:v>
      </x:c>
      <x:c r="N135" s="26" t="n">
        <x:v>0</x:v>
      </x:c>
      <x:c r="O135" s="26" t="n">
        <x:f>MAX(M135-N135,0)</x:f>
        <x:v>2</x:v>
      </x:c>
      <x:c r="P135" s="38" t="n">
        <x:f>IFERROR(N135/M135,0)</x:f>
        <x:v>0</x:v>
      </x:c>
      <x:c r="Q135" s="26" t="str">
        <x:v>Material/Assets/Equipment</x:v>
      </x:c>
      <x:c r="R135" s="26" t="str">
        <x:v>Electrical Infrastructure</x:v>
      </x:c>
      <x:c r="S135" s="26" t="str">
        <x:v>Medium</x:v>
      </x:c>
      <x:c r="T135" s="26"/>
      <x:c r="U135" s="26"/>
      <x:c r="V135" s="26"/>
      <x:c r="W135" s="32"/>
      <x:c r="X135" s="27" t="b">
        <x:v>1</x:v>
      </x:c>
      <x:c r="Y135" s="34" t="n">
        <x:v>46220.01721064815</x:v>
      </x:c>
      <x:c r="Z135" s="26"/>
      <x:c r="AA135" s="26" t="str">
        <x:v>Narsingapur (36701020614)</x:v>
      </x:c>
      <x:c r="AB135" s="26" t="str">
        <x:v>Enriched from Mulugu project JSON</x:v>
      </x:c>
    </x:row>
    <x:row r="136">
      <x:c r="A136" s="26" t="n">
        <x:v>133</x:v>
      </x:c>
      <x:c r="B136" s="26" t="n">
        <x:v>273</x:v>
      </x:c>
      <x:c r="C136" s="26" t="str">
        <x:v>Mulugu</x:v>
      </x:c>
      <x:c r="D136" s="26" t="n">
        <x:v>11291</x:v>
      </x:c>
      <x:c r="E136" s="26" t="str">
        <x:v>PRJ-2026-0011291</x:v>
      </x:c>
      <x:c r="F136" s="26" t="str">
        <x:v>AWC Narsingapur</x:v>
      </x:c>
      <x:c r="G136" s="26" t="n">
        <x:v>789</x:v>
      </x:c>
      <x:c r="H136" s="26" t="n">
        <x:v>43563</x:v>
      </x:c>
      <x:c r="I136" s="26" t="str">
        <x:v>Solar Panel</x:v>
      </x:c>
      <x:c r="J136" s="26" t="str">
        <x:v>Number</x:v>
      </x:c>
      <x:c r="K136" s="26" t="n">
        <x:v>1</x:v>
      </x:c>
      <x:c r="L136" s="26" t="n">
        <x:v>1</x:v>
      </x:c>
      <x:c r="M136" s="26" t="n">
        <x:v>1</x:v>
      </x:c>
      <x:c r="N136" s="26" t="n">
        <x:v>0</x:v>
      </x:c>
      <x:c r="O136" s="26" t="n">
        <x:f>MAX(M136-N136,0)</x:f>
        <x:v>1</x:v>
      </x:c>
      <x:c r="P136" s="38" t="n">
        <x:f>IFERROR(N136/M136,0)</x:f>
        <x:v>0</x:v>
      </x:c>
      <x:c r="Q136" s="26" t="str">
        <x:v>Material/Assets/Equipment</x:v>
      </x:c>
      <x:c r="R136" s="26" t="str">
        <x:v>Electrical Infrastructure</x:v>
      </x:c>
      <x:c r="S136" s="26" t="str">
        <x:v>Medium</x:v>
      </x:c>
      <x:c r="T136" s="26"/>
      <x:c r="U136" s="26"/>
      <x:c r="V136" s="26"/>
      <x:c r="W136" s="32"/>
      <x:c r="X136" s="27" t="b">
        <x:v>1</x:v>
      </x:c>
      <x:c r="Y136" s="34" t="n">
        <x:v>46220.01721064815</x:v>
      </x:c>
      <x:c r="Z136" s="26"/>
      <x:c r="AA136" s="26" t="str">
        <x:v>Narsingapur (36701020614)</x:v>
      </x:c>
      <x:c r="AB136" s="26" t="str">
        <x:v>Enriched from Mulugu project JSON</x:v>
      </x:c>
    </x:row>
    <x:row r="137">
      <x:c r="A137" s="26" t="n">
        <x:v>134</x:v>
      </x:c>
      <x:c r="B137" s="26" t="n">
        <x:v>273</x:v>
      </x:c>
      <x:c r="C137" s="26" t="str">
        <x:v>Mulugu</x:v>
      </x:c>
      <x:c r="D137" s="26" t="n">
        <x:v>11291</x:v>
      </x:c>
      <x:c r="E137" s="26" t="str">
        <x:v>PRJ-2026-0011291</x:v>
      </x:c>
      <x:c r="F137" s="26" t="str">
        <x:v>AWC Narsingapur</x:v>
      </x:c>
      <x:c r="G137" s="26" t="n">
        <x:v>790</x:v>
      </x:c>
      <x:c r="H137" s="26" t="n">
        <x:v>43564</x:v>
      </x:c>
      <x:c r="I137" s="26" t="str">
        <x:v>Water Purifier</x:v>
      </x:c>
      <x:c r="J137" s="26" t="str">
        <x:v>Number</x:v>
      </x:c>
      <x:c r="K137" s="26" t="n">
        <x:v>1</x:v>
      </x:c>
      <x:c r="L137" s="26" t="n">
        <x:v>1</x:v>
      </x:c>
      <x:c r="M137" s="26" t="n">
        <x:v>1</x:v>
      </x:c>
      <x:c r="N137" s="26" t="n">
        <x:v>0</x:v>
      </x:c>
      <x:c r="O137" s="26" t="n">
        <x:f>MAX(M137-N137,0)</x:f>
        <x:v>1</x:v>
      </x:c>
      <x:c r="P137" s="38" t="n">
        <x:f>IFERROR(N137/M137,0)</x:f>
        <x:v>0</x:v>
      </x:c>
      <x:c r="Q137" s="26" t="str">
        <x:v>Material/Assets/Equipment</x:v>
      </x:c>
      <x:c r="R137" s="26" t="str">
        <x:v>Health and Safety aids</x:v>
      </x:c>
      <x:c r="S137" s="26" t="str">
        <x:v>Minor</x:v>
      </x:c>
      <x:c r="T137" s="26"/>
      <x:c r="U137" s="26"/>
      <x:c r="V137" s="26"/>
      <x:c r="W137" s="32"/>
      <x:c r="X137" s="27" t="b">
        <x:v>1</x:v>
      </x:c>
      <x:c r="Y137" s="34" t="n">
        <x:v>46220.01721064815</x:v>
      </x:c>
      <x:c r="Z137" s="26"/>
      <x:c r="AA137" s="26" t="str">
        <x:v>Narsingapur (36701020614)</x:v>
      </x:c>
      <x:c r="AB137" s="26" t="str">
        <x:v>Enriched from Mulugu project JSON</x:v>
      </x:c>
    </x:row>
    <x:row r="138">
      <x:c r="A138" s="26" t="n">
        <x:v>135</x:v>
      </x:c>
      <x:c r="B138" s="26" t="n">
        <x:v>273</x:v>
      </x:c>
      <x:c r="C138" s="26" t="str">
        <x:v>Mulugu</x:v>
      </x:c>
      <x:c r="D138" s="26" t="n">
        <x:v>11291</x:v>
      </x:c>
      <x:c r="E138" s="26" t="str">
        <x:v>PRJ-2026-0011291</x:v>
      </x:c>
      <x:c r="F138" s="26" t="str">
        <x:v>AWC Narsingapur</x:v>
      </x:c>
      <x:c r="G138" s="26" t="n">
        <x:v>791</x:v>
      </x:c>
      <x:c r="H138" s="26" t="n">
        <x:v>43565</x:v>
      </x:c>
      <x:c r="I138" s="26" t="str">
        <x:v>Chairs</x:v>
      </x:c>
      <x:c r="J138" s="26" t="str">
        <x:v>Number</x:v>
      </x:c>
      <x:c r="K138" s="26" t="n">
        <x:v>3</x:v>
      </x:c>
      <x:c r="L138" s="26" t="n">
        <x:v>3</x:v>
      </x:c>
      <x:c r="M138" s="26" t="n">
        <x:v>3</x:v>
      </x:c>
      <x:c r="N138" s="26" t="n">
        <x:v>0</x:v>
      </x:c>
      <x:c r="O138" s="26" t="n">
        <x:f>MAX(M138-N138,0)</x:f>
        <x:v>3</x:v>
      </x:c>
      <x:c r="P138" s="38" t="n">
        <x:f>IFERROR(N138/M138,0)</x:f>
        <x:v>0</x:v>
      </x:c>
      <x:c r="Q138" s="26" t="str">
        <x:v>Material/Assets/Equipment</x:v>
      </x:c>
      <x:c r="R138" s="26" t="str">
        <x:v>Office Needs</x:v>
      </x:c>
      <x:c r="S138" s="26" t="str">
        <x:v>Minor</x:v>
      </x:c>
      <x:c r="T138" s="26"/>
      <x:c r="U138" s="26"/>
      <x:c r="V138" s="26"/>
      <x:c r="W138" s="32"/>
      <x:c r="X138" s="27" t="b">
        <x:v>1</x:v>
      </x:c>
      <x:c r="Y138" s="34" t="n">
        <x:v>46220.01721064815</x:v>
      </x:c>
      <x:c r="Z138" s="26"/>
      <x:c r="AA138" s="26" t="str">
        <x:v>Narsingapur (36701020614)</x:v>
      </x:c>
      <x:c r="AB138" s="26" t="str">
        <x:v>Enriched from Mulugu project JSON</x:v>
      </x:c>
    </x:row>
    <x:row r="139">
      <x:c r="A139" s="26" t="n">
        <x:v>136</x:v>
      </x:c>
      <x:c r="B139" s="26" t="n">
        <x:v>274</x:v>
      </x:c>
      <x:c r="C139" s="26" t="str">
        <x:v>Mulugu</x:v>
      </x:c>
      <x:c r="D139" s="26" t="n">
        <x:v>10963</x:v>
      </x:c>
      <x:c r="E139" s="26" t="str">
        <x:v>PRJ-2026-0010963</x:v>
      </x:c>
      <x:c r="F139" s="26" t="str">
        <x:v>AWC Andugulamani</x:v>
      </x:c>
      <x:c r="G139" s="26" t="n">
        <x:v>792</x:v>
      </x:c>
      <x:c r="H139" s="26" t="n">
        <x:v>42041</x:v>
      </x:c>
      <x:c r="I139" s="26" t="str">
        <x:v>Toys</x:v>
      </x:c>
      <x:c r="J139" s="26" t="str">
        <x:v>Number</x:v>
      </x:c>
      <x:c r="K139" s="26" t="n">
        <x:v>10</x:v>
      </x:c>
      <x:c r="L139" s="26" t="n">
        <x:v>10</x:v>
      </x:c>
      <x:c r="M139" s="26" t="n">
        <x:v>10</x:v>
      </x:c>
      <x:c r="N139" s="26" t="n">
        <x:v>0</x:v>
      </x:c>
      <x:c r="O139" s="26" t="n">
        <x:f>MAX(M139-N139,0)</x:f>
        <x:v>10</x:v>
      </x:c>
      <x:c r="P139" s="38" t="n">
        <x:f>IFERROR(N139/M139,0)</x:f>
        <x:v>0</x:v>
      </x:c>
      <x:c r="Q139" s="26" t="str">
        <x:v>Material/Assets/Equipment</x:v>
      </x:c>
      <x:c r="R139" s="26" t="str">
        <x:v>ECCE Equipment</x:v>
      </x:c>
      <x:c r="S139" s="26" t="str">
        <x:v>Minor</x:v>
      </x:c>
      <x:c r="T139" s="26"/>
      <x:c r="U139" s="26"/>
      <x:c r="V139" s="26"/>
      <x:c r="W139" s="32"/>
      <x:c r="X139" s="27" t="b">
        <x:v>1</x:v>
      </x:c>
      <x:c r="Y139" s="34" t="n">
        <x:v>46220.01721064815</x:v>
      </x:c>
      <x:c r="Z139" s="26"/>
      <x:c r="AA139" s="26" t="str">
        <x:v>Andugulamani (36701020625)</x:v>
      </x:c>
      <x:c r="AB139" s="26" t="str">
        <x:v>Enriched from Mulugu project JSON</x:v>
      </x:c>
    </x:row>
    <x:row r="140">
      <x:c r="A140" s="26" t="n">
        <x:v>137</x:v>
      </x:c>
      <x:c r="B140" s="26" t="n">
        <x:v>274</x:v>
      </x:c>
      <x:c r="C140" s="26" t="str">
        <x:v>Mulugu</x:v>
      </x:c>
      <x:c r="D140" s="26" t="n">
        <x:v>10963</x:v>
      </x:c>
      <x:c r="E140" s="26" t="str">
        <x:v>PRJ-2026-0010963</x:v>
      </x:c>
      <x:c r="F140" s="26" t="str">
        <x:v>AWC Andugulamani</x:v>
      </x:c>
      <x:c r="G140" s="26" t="n">
        <x:v>793</x:v>
      </x:c>
      <x:c r="H140" s="26" t="n">
        <x:v>42042</x:v>
      </x:c>
      <x:c r="I140" s="26" t="str">
        <x:v>Games</x:v>
      </x:c>
      <x:c r="J140" s="26" t="str">
        <x:v>Number</x:v>
      </x:c>
      <x:c r="K140" s="26" t="n">
        <x:v>10</x:v>
      </x:c>
      <x:c r="L140" s="26" t="n">
        <x:v>10</x:v>
      </x:c>
      <x:c r="M140" s="26" t="n">
        <x:v>10</x:v>
      </x:c>
      <x:c r="N140" s="26" t="n">
        <x:v>0</x:v>
      </x:c>
      <x:c r="O140" s="26" t="n">
        <x:f>MAX(M140-N140,0)</x:f>
        <x:v>10</x:v>
      </x:c>
      <x:c r="P140" s="38" t="n">
        <x:f>IFERROR(N140/M140,0)</x:f>
        <x:v>0</x:v>
      </x:c>
      <x:c r="Q140" s="26" t="str">
        <x:v>Material/Assets/Equipment</x:v>
      </x:c>
      <x:c r="R140" s="26" t="str">
        <x:v>ECCE Equipment</x:v>
      </x:c>
      <x:c r="S140" s="26" t="str">
        <x:v>Minor</x:v>
      </x:c>
      <x:c r="T140" s="26"/>
      <x:c r="U140" s="26"/>
      <x:c r="V140" s="26"/>
      <x:c r="W140" s="32"/>
      <x:c r="X140" s="27" t="b">
        <x:v>1</x:v>
      </x:c>
      <x:c r="Y140" s="34" t="n">
        <x:v>46220.01721064815</x:v>
      </x:c>
      <x:c r="Z140" s="26"/>
      <x:c r="AA140" s="26" t="str">
        <x:v>Andugulamani (36701020625)</x:v>
      </x:c>
      <x:c r="AB140" s="26" t="str">
        <x:v>Enriched from Mulugu project JSON</x:v>
      </x:c>
    </x:row>
    <x:row r="141">
      <x:c r="A141" s="26" t="n">
        <x:v>138</x:v>
      </x:c>
      <x:c r="B141" s="26" t="n">
        <x:v>274</x:v>
      </x:c>
      <x:c r="C141" s="26" t="str">
        <x:v>Mulugu</x:v>
      </x:c>
      <x:c r="D141" s="26" t="n">
        <x:v>10963</x:v>
      </x:c>
      <x:c r="E141" s="26" t="str">
        <x:v>PRJ-2026-0010963</x:v>
      </x:c>
      <x:c r="F141" s="26" t="str">
        <x:v>AWC Andugulamani</x:v>
      </x:c>
      <x:c r="G141" s="26" t="n">
        <x:v>794</x:v>
      </x:c>
      <x:c r="H141" s="26" t="n">
        <x:v>42043</x:v>
      </x:c>
      <x:c r="I141" s="26" t="str">
        <x:v>Chairs/Benches</x:v>
      </x:c>
      <x:c r="J141" s="26" t="str">
        <x:v>Number</x:v>
      </x:c>
      <x:c r="K141" s="26" t="n">
        <x:v>10</x:v>
      </x:c>
      <x:c r="L141" s="26" t="n">
        <x:v>10</x:v>
      </x:c>
      <x:c r="M141" s="26" t="n">
        <x:v>10</x:v>
      </x:c>
      <x:c r="N141" s="26" t="n">
        <x:v>0</x:v>
      </x:c>
      <x:c r="O141" s="26" t="n">
        <x:f>MAX(M141-N141,0)</x:f>
        <x:v>10</x:v>
      </x:c>
      <x:c r="P141" s="38" t="n">
        <x:f>IFERROR(N141/M141,0)</x:f>
        <x:v>0</x:v>
      </x:c>
      <x:c r="Q141" s="26" t="str">
        <x:v>Material/Assets/Equipment</x:v>
      </x:c>
      <x:c r="R141" s="26" t="str">
        <x:v>Educational Needs</x:v>
      </x:c>
      <x:c r="S141" s="26" t="str">
        <x:v>Minor</x:v>
      </x:c>
      <x:c r="T141" s="26"/>
      <x:c r="U141" s="26"/>
      <x:c r="V141" s="26"/>
      <x:c r="W141" s="32"/>
      <x:c r="X141" s="27" t="b">
        <x:v>1</x:v>
      </x:c>
      <x:c r="Y141" s="34" t="n">
        <x:v>46220.01721064815</x:v>
      </x:c>
      <x:c r="Z141" s="26"/>
      <x:c r="AA141" s="26" t="str">
        <x:v>Andugulamani (36701020625)</x:v>
      </x:c>
      <x:c r="AB141" s="26" t="str">
        <x:v>Enriched from Mulugu project JSON</x:v>
      </x:c>
    </x:row>
    <x:row r="142">
      <x:c r="A142" s="26" t="n">
        <x:v>139</x:v>
      </x:c>
      <x:c r="B142" s="26" t="n">
        <x:v>274</x:v>
      </x:c>
      <x:c r="C142" s="26" t="str">
        <x:v>Mulugu</x:v>
      </x:c>
      <x:c r="D142" s="26" t="n">
        <x:v>10963</x:v>
      </x:c>
      <x:c r="E142" s="26" t="str">
        <x:v>PRJ-2026-0010963</x:v>
      </x:c>
      <x:c r="F142" s="26" t="str">
        <x:v>AWC Andugulamani</x:v>
      </x:c>
      <x:c r="G142" s="26" t="n">
        <x:v>795</x:v>
      </x:c>
      <x:c r="H142" s="26" t="n">
        <x:v>42044</x:v>
      </x:c>
      <x:c r="I142" s="26" t="str">
        <x:v>Tube Lights</x:v>
      </x:c>
      <x:c r="J142" s="26" t="str">
        <x:v>Number</x:v>
      </x:c>
      <x:c r="K142" s="26" t="n">
        <x:v>2</x:v>
      </x:c>
      <x:c r="L142" s="26" t="n">
        <x:v>2</x:v>
      </x:c>
      <x:c r="M142" s="26" t="n">
        <x:v>2</x:v>
      </x:c>
      <x:c r="N142" s="26" t="n">
        <x:v>0</x:v>
      </x:c>
      <x:c r="O142" s="26" t="n">
        <x:f>MAX(M142-N142,0)</x:f>
        <x:v>2</x:v>
      </x:c>
      <x:c r="P142" s="38" t="n">
        <x:f>IFERROR(N142/M142,0)</x:f>
        <x:v>0</x:v>
      </x:c>
      <x:c r="Q142" s="26" t="str">
        <x:v>Material/Assets/Equipment</x:v>
      </x:c>
      <x:c r="R142" s="26" t="str">
        <x:v>Electrical Infrastructure</x:v>
      </x:c>
      <x:c r="S142" s="26" t="str">
        <x:v>Medium</x:v>
      </x:c>
      <x:c r="T142" s="26"/>
      <x:c r="U142" s="26"/>
      <x:c r="V142" s="26"/>
      <x:c r="W142" s="32"/>
      <x:c r="X142" s="27" t="b">
        <x:v>1</x:v>
      </x:c>
      <x:c r="Y142" s="34" t="n">
        <x:v>46220.01721064815</x:v>
      </x:c>
      <x:c r="Z142" s="26"/>
      <x:c r="AA142" s="26" t="str">
        <x:v>Andugulamani (36701020625)</x:v>
      </x:c>
      <x:c r="AB142" s="26" t="str">
        <x:v>Enriched from Mulugu project JSON</x:v>
      </x:c>
    </x:row>
    <x:row r="143">
      <x:c r="A143" s="26" t="n">
        <x:v>140</x:v>
      </x:c>
      <x:c r="B143" s="26" t="n">
        <x:v>274</x:v>
      </x:c>
      <x:c r="C143" s="26" t="str">
        <x:v>Mulugu</x:v>
      </x:c>
      <x:c r="D143" s="26" t="n">
        <x:v>10963</x:v>
      </x:c>
      <x:c r="E143" s="26" t="str">
        <x:v>PRJ-2026-0010963</x:v>
      </x:c>
      <x:c r="F143" s="26" t="str">
        <x:v>AWC Andugulamani</x:v>
      </x:c>
      <x:c r="G143" s="26" t="n">
        <x:v>796</x:v>
      </x:c>
      <x:c r="H143" s="26" t="n">
        <x:v>42045</x:v>
      </x:c>
      <x:c r="I143" s="26" t="str">
        <x:v>Cooking Equipments</x:v>
      </x:c>
      <x:c r="J143" s="26" t="str">
        <x:v>Number</x:v>
      </x:c>
      <x:c r="K143" s="26" t="n">
        <x:v>1</x:v>
      </x:c>
      <x:c r="L143" s="26" t="n">
        <x:v>1</x:v>
      </x:c>
      <x:c r="M143" s="26" t="n">
        <x:v>1</x:v>
      </x:c>
      <x:c r="N143" s="26" t="n">
        <x:v>0</x:v>
      </x:c>
      <x:c r="O143" s="26" t="n">
        <x:f>MAX(M143-N143,0)</x:f>
        <x:v>1</x:v>
      </x:c>
      <x:c r="P143" s="38" t="n">
        <x:f>IFERROR(N143/M143,0)</x:f>
        <x:v>0</x:v>
      </x:c>
      <x:c r="Q143" s="26" t="str">
        <x:v>Material/Assets/Equipment</x:v>
      </x:c>
      <x:c r="R143" s="26" t="str">
        <x:v>Electrical Infrastructure</x:v>
      </x:c>
      <x:c r="S143" s="26" t="str">
        <x:v>Medium</x:v>
      </x:c>
      <x:c r="T143" s="26"/>
      <x:c r="U143" s="26"/>
      <x:c r="V143" s="26"/>
      <x:c r="W143" s="32"/>
      <x:c r="X143" s="27" t="b">
        <x:v>1</x:v>
      </x:c>
      <x:c r="Y143" s="34" t="n">
        <x:v>46220.01721064815</x:v>
      </x:c>
      <x:c r="Z143" s="26"/>
      <x:c r="AA143" s="26" t="str">
        <x:v>Andugulamani (36701020625)</x:v>
      </x:c>
      <x:c r="AB143" s="26" t="str">
        <x:v>Enriched from Mulugu project JSON</x:v>
      </x:c>
    </x:row>
    <x:row r="144">
      <x:c r="A144" s="26" t="n">
        <x:v>141</x:v>
      </x:c>
      <x:c r="B144" s="26" t="n">
        <x:v>274</x:v>
      </x:c>
      <x:c r="C144" s="26" t="str">
        <x:v>Mulugu</x:v>
      </x:c>
      <x:c r="D144" s="26" t="n">
        <x:v>10963</x:v>
      </x:c>
      <x:c r="E144" s="26" t="str">
        <x:v>PRJ-2026-0010963</x:v>
      </x:c>
      <x:c r="F144" s="26" t="str">
        <x:v>AWC Andugulamani</x:v>
      </x:c>
      <x:c r="G144" s="26" t="n">
        <x:v>797</x:v>
      </x:c>
      <x:c r="H144" s="26" t="n">
        <x:v>42046</x:v>
      </x:c>
      <x:c r="I144" s="26" t="str">
        <x:v>Water Purifier</x:v>
      </x:c>
      <x:c r="J144" s="26" t="str">
        <x:v>Number</x:v>
      </x:c>
      <x:c r="K144" s="26" t="n">
        <x:v>1</x:v>
      </x:c>
      <x:c r="L144" s="26" t="n">
        <x:v>1</x:v>
      </x:c>
      <x:c r="M144" s="26" t="n">
        <x:v>1</x:v>
      </x:c>
      <x:c r="N144" s="26" t="n">
        <x:v>0</x:v>
      </x:c>
      <x:c r="O144" s="26" t="n">
        <x:f>MAX(M144-N144,0)</x:f>
        <x:v>1</x:v>
      </x:c>
      <x:c r="P144" s="38" t="n">
        <x:f>IFERROR(N144/M144,0)</x:f>
        <x:v>0</x:v>
      </x:c>
      <x:c r="Q144" s="26" t="str">
        <x:v>Material/Assets/Equipment</x:v>
      </x:c>
      <x:c r="R144" s="26" t="str">
        <x:v>Health and Safety aids</x:v>
      </x:c>
      <x:c r="S144" s="26" t="str">
        <x:v>Minor</x:v>
      </x:c>
      <x:c r="T144" s="26"/>
      <x:c r="U144" s="26"/>
      <x:c r="V144" s="26"/>
      <x:c r="W144" s="32"/>
      <x:c r="X144" s="27" t="b">
        <x:v>1</x:v>
      </x:c>
      <x:c r="Y144" s="34" t="n">
        <x:v>46220.01721064815</x:v>
      </x:c>
      <x:c r="Z144" s="26"/>
      <x:c r="AA144" s="26" t="str">
        <x:v>Andugulamani (36701020625)</x:v>
      </x:c>
      <x:c r="AB144" s="26" t="str">
        <x:v>Enriched from Mulugu project JSON</x:v>
      </x:c>
    </x:row>
    <x:row r="145">
      <x:c r="A145" s="26" t="n">
        <x:v>142</x:v>
      </x:c>
      <x:c r="B145" s="26" t="n">
        <x:v>274</x:v>
      </x:c>
      <x:c r="C145" s="26" t="str">
        <x:v>Mulugu</x:v>
      </x:c>
      <x:c r="D145" s="26" t="n">
        <x:v>10963</x:v>
      </x:c>
      <x:c r="E145" s="26" t="str">
        <x:v>PRJ-2026-0010963</x:v>
      </x:c>
      <x:c r="F145" s="26" t="str">
        <x:v>AWC Andugulamani</x:v>
      </x:c>
      <x:c r="G145" s="26" t="n">
        <x:v>798</x:v>
      </x:c>
      <x:c r="H145" s="26" t="n">
        <x:v>42047</x:v>
      </x:c>
      <x:c r="I145" s="26" t="str">
        <x:v>Chairs</x:v>
      </x:c>
      <x:c r="J145" s="26" t="str">
        <x:v>Number</x:v>
      </x:c>
      <x:c r="K145" s="26" t="n">
        <x:v>3</x:v>
      </x:c>
      <x:c r="L145" s="26" t="n">
        <x:v>3</x:v>
      </x:c>
      <x:c r="M145" s="26" t="n">
        <x:v>3</x:v>
      </x:c>
      <x:c r="N145" s="26" t="n">
        <x:v>0</x:v>
      </x:c>
      <x:c r="O145" s="26" t="n">
        <x:f>MAX(M145-N145,0)</x:f>
        <x:v>3</x:v>
      </x:c>
      <x:c r="P145" s="38" t="n">
        <x:f>IFERROR(N145/M145,0)</x:f>
        <x:v>0</x:v>
      </x:c>
      <x:c r="Q145" s="26" t="str">
        <x:v>Material/Assets/Equipment</x:v>
      </x:c>
      <x:c r="R145" s="26" t="str">
        <x:v>Office Needs</x:v>
      </x:c>
      <x:c r="S145" s="26" t="str">
        <x:v>Minor</x:v>
      </x:c>
      <x:c r="T145" s="26"/>
      <x:c r="U145" s="26"/>
      <x:c r="V145" s="26"/>
      <x:c r="W145" s="32"/>
      <x:c r="X145" s="27" t="b">
        <x:v>1</x:v>
      </x:c>
      <x:c r="Y145" s="34" t="n">
        <x:v>46220.01721064815</x:v>
      </x:c>
      <x:c r="Z145" s="26"/>
      <x:c r="AA145" s="26" t="str">
        <x:v>Andugulamani (36701020625)</x:v>
      </x:c>
      <x:c r="AB145" s="26" t="str">
        <x:v>Enriched from Mulugu project JSON</x:v>
      </x:c>
    </x:row>
    <x:row r="146">
      <x:c r="A146" s="26" t="n">
        <x:v>143</x:v>
      </x:c>
      <x:c r="B146" s="26" t="n">
        <x:v>274</x:v>
      </x:c>
      <x:c r="C146" s="26" t="str">
        <x:v>Mulugu</x:v>
      </x:c>
      <x:c r="D146" s="26" t="n">
        <x:v>10963</x:v>
      </x:c>
      <x:c r="E146" s="26" t="str">
        <x:v>PRJ-2026-0010963</x:v>
      </x:c>
      <x:c r="F146" s="26" t="str">
        <x:v>AWC Andugulamani</x:v>
      </x:c>
      <x:c r="G146" s="26" t="n">
        <x:v>799</x:v>
      </x:c>
      <x:c r="H146" s="26" t="n">
        <x:v>42048</x:v>
      </x:c>
      <x:c r="I146" s="26" t="str">
        <x:v>Solar Panel</x:v>
      </x:c>
      <x:c r="J146" s="26" t="str">
        <x:v>Number</x:v>
      </x:c>
      <x:c r="K146" s="26" t="n">
        <x:v>1</x:v>
      </x:c>
      <x:c r="L146" s="26" t="n">
        <x:v>1</x:v>
      </x:c>
      <x:c r="M146" s="26" t="n">
        <x:v>1</x:v>
      </x:c>
      <x:c r="N146" s="26" t="n">
        <x:v>0</x:v>
      </x:c>
      <x:c r="O146" s="26" t="n">
        <x:f>MAX(M146-N146,0)</x:f>
        <x:v>1</x:v>
      </x:c>
      <x:c r="P146" s="38" t="n">
        <x:f>IFERROR(N146/M146,0)</x:f>
        <x:v>0</x:v>
      </x:c>
      <x:c r="Q146" s="26" t="str">
        <x:v>Material/Assets/Equipment</x:v>
      </x:c>
      <x:c r="R146" s="26" t="str">
        <x:v>Electrical Infrastructure</x:v>
      </x:c>
      <x:c r="S146" s="26" t="str">
        <x:v>Medium</x:v>
      </x:c>
      <x:c r="T146" s="26"/>
      <x:c r="U146" s="26"/>
      <x:c r="V146" s="26"/>
      <x:c r="W146" s="32"/>
      <x:c r="X146" s="27" t="b">
        <x:v>1</x:v>
      </x:c>
      <x:c r="Y146" s="34" t="n">
        <x:v>46220.01721064815</x:v>
      </x:c>
      <x:c r="Z146" s="26"/>
      <x:c r="AA146" s="26" t="str">
        <x:v>Andugulamani (36701020625)</x:v>
      </x:c>
      <x:c r="AB146" s="26" t="str">
        <x:v>Enriched from Mulugu project JSON</x:v>
      </x:c>
    </x:row>
    <x:row r="147">
      <x:c r="A147" s="26" t="n">
        <x:v>144</x:v>
      </x:c>
      <x:c r="B147" s="26" t="n">
        <x:v>271</x:v>
      </x:c>
      <x:c r="C147" s="26" t="str">
        <x:v>Mulugu</x:v>
      </x:c>
      <x:c r="D147" s="26" t="n">
        <x:v>11328</x:v>
      </x:c>
      <x:c r="E147" s="26" t="str">
        <x:v>PRJ-2026-0011328</x:v>
      </x:c>
      <x:c r="F147" s="26" t="str">
        <x:v>AWC Lingapur</x:v>
      </x:c>
      <x:c r="G147" s="26" t="n">
        <x:v>772</x:v>
      </x:c>
      <x:c r="H147" s="26" t="n">
        <x:v>43731</x:v>
      </x:c>
      <x:c r="I147" s="26" t="str">
        <x:v>Toys</x:v>
      </x:c>
      <x:c r="J147" s="26" t="str">
        <x:v>Number</x:v>
      </x:c>
      <x:c r="K147" s="26" t="n">
        <x:v>10</x:v>
      </x:c>
      <x:c r="L147" s="26" t="n">
        <x:v>10</x:v>
      </x:c>
      <x:c r="M147" s="26" t="n">
        <x:v>10</x:v>
      </x:c>
      <x:c r="N147" s="26" t="n">
        <x:v>0</x:v>
      </x:c>
      <x:c r="O147" s="26" t="n">
        <x:f>MAX(M147-N147,0)</x:f>
        <x:v>10</x:v>
      </x:c>
      <x:c r="P147" s="38" t="n">
        <x:f>IFERROR(N147/M147,0)</x:f>
        <x:v>0</x:v>
      </x:c>
      <x:c r="Q147" s="26" t="str">
        <x:v>Material/Assets/Equipment</x:v>
      </x:c>
      <x:c r="R147" s="26" t="str">
        <x:v>ECCE Equipment</x:v>
      </x:c>
      <x:c r="S147" s="26" t="str">
        <x:v>Minor</x:v>
      </x:c>
      <x:c r="T147" s="26"/>
      <x:c r="U147" s="26"/>
      <x:c r="V147" s="26"/>
      <x:c r="W147" s="32"/>
      <x:c r="X147" s="27" t="b">
        <x:v>1</x:v>
      </x:c>
      <x:c r="Y147" s="34" t="n">
        <x:v>46220.01719907407</x:v>
      </x:c>
      <x:c r="Z147" s="26"/>
      <x:c r="AA147" s="26" t="str">
        <x:v>Lingapur (36701020618)</x:v>
      </x:c>
      <x:c r="AB147" s="26" t="str">
        <x:v>Enriched from Mulugu project JSON</x:v>
      </x:c>
    </x:row>
    <x:row r="148">
      <x:c r="A148" s="26" t="n">
        <x:v>145</x:v>
      </x:c>
      <x:c r="B148" s="26" t="n">
        <x:v>271</x:v>
      </x:c>
      <x:c r="C148" s="26" t="str">
        <x:v>Mulugu</x:v>
      </x:c>
      <x:c r="D148" s="26" t="n">
        <x:v>11328</x:v>
      </x:c>
      <x:c r="E148" s="26" t="str">
        <x:v>PRJ-2026-0011328</x:v>
      </x:c>
      <x:c r="F148" s="26" t="str">
        <x:v>AWC Lingapur</x:v>
      </x:c>
      <x:c r="G148" s="26" t="n">
        <x:v>773</x:v>
      </x:c>
      <x:c r="H148" s="26" t="n">
        <x:v>43732</x:v>
      </x:c>
      <x:c r="I148" s="26" t="str">
        <x:v>Games</x:v>
      </x:c>
      <x:c r="J148" s="26" t="str">
        <x:v>Number</x:v>
      </x:c>
      <x:c r="K148" s="26" t="n">
        <x:v>10</x:v>
      </x:c>
      <x:c r="L148" s="26" t="n">
        <x:v>10</x:v>
      </x:c>
      <x:c r="M148" s="26" t="n">
        <x:v>10</x:v>
      </x:c>
      <x:c r="N148" s="26" t="n">
        <x:v>0</x:v>
      </x:c>
      <x:c r="O148" s="26" t="n">
        <x:f>MAX(M148-N148,0)</x:f>
        <x:v>10</x:v>
      </x:c>
      <x:c r="P148" s="38" t="n">
        <x:f>IFERROR(N148/M148,0)</x:f>
        <x:v>0</x:v>
      </x:c>
      <x:c r="Q148" s="26" t="str">
        <x:v>Material/Assets/Equipment</x:v>
      </x:c>
      <x:c r="R148" s="26" t="str">
        <x:v>ECCE Equipment</x:v>
      </x:c>
      <x:c r="S148" s="26" t="str">
        <x:v>Minor</x:v>
      </x:c>
      <x:c r="T148" s="26"/>
      <x:c r="U148" s="26"/>
      <x:c r="V148" s="26"/>
      <x:c r="W148" s="32"/>
      <x:c r="X148" s="27" t="b">
        <x:v>1</x:v>
      </x:c>
      <x:c r="Y148" s="34" t="n">
        <x:v>46220.01719907407</x:v>
      </x:c>
      <x:c r="Z148" s="26"/>
      <x:c r="AA148" s="26" t="str">
        <x:v>Lingapur (36701020618)</x:v>
      </x:c>
      <x:c r="AB148" s="26" t="str">
        <x:v>Enriched from Mulugu project JSON</x:v>
      </x:c>
    </x:row>
    <x:row r="149">
      <x:c r="A149" s="26" t="n">
        <x:v>146</x:v>
      </x:c>
      <x:c r="B149" s="26" t="n">
        <x:v>271</x:v>
      </x:c>
      <x:c r="C149" s="26" t="str">
        <x:v>Mulugu</x:v>
      </x:c>
      <x:c r="D149" s="26" t="n">
        <x:v>11328</x:v>
      </x:c>
      <x:c r="E149" s="26" t="str">
        <x:v>PRJ-2026-0011328</x:v>
      </x:c>
      <x:c r="F149" s="26" t="str">
        <x:v>AWC Lingapur</x:v>
      </x:c>
      <x:c r="G149" s="26" t="n">
        <x:v>774</x:v>
      </x:c>
      <x:c r="H149" s="26" t="n">
        <x:v>43733</x:v>
      </x:c>
      <x:c r="I149" s="26" t="str">
        <x:v>Chairs/Benches</x:v>
      </x:c>
      <x:c r="J149" s="26" t="str">
        <x:v>Number</x:v>
      </x:c>
      <x:c r="K149" s="26" t="n">
        <x:v>10</x:v>
      </x:c>
      <x:c r="L149" s="26" t="n">
        <x:v>10</x:v>
      </x:c>
      <x:c r="M149" s="26" t="n">
        <x:v>10</x:v>
      </x:c>
      <x:c r="N149" s="26" t="n">
        <x:v>0</x:v>
      </x:c>
      <x:c r="O149" s="26" t="n">
        <x:f>MAX(M149-N149,0)</x:f>
        <x:v>10</x:v>
      </x:c>
      <x:c r="P149" s="38" t="n">
        <x:f>IFERROR(N149/M149,0)</x:f>
        <x:v>0</x:v>
      </x:c>
      <x:c r="Q149" s="26" t="str">
        <x:v>Material/Assets/Equipment</x:v>
      </x:c>
      <x:c r="R149" s="26" t="str">
        <x:v>Educational Needs</x:v>
      </x:c>
      <x:c r="S149" s="26" t="str">
        <x:v>Minor</x:v>
      </x:c>
      <x:c r="T149" s="26"/>
      <x:c r="U149" s="26"/>
      <x:c r="V149" s="26"/>
      <x:c r="W149" s="32"/>
      <x:c r="X149" s="27" t="b">
        <x:v>1</x:v>
      </x:c>
      <x:c r="Y149" s="34" t="n">
        <x:v>46220.01719907407</x:v>
      </x:c>
      <x:c r="Z149" s="26"/>
      <x:c r="AA149" s="26" t="str">
        <x:v>Lingapur (36701020618)</x:v>
      </x:c>
      <x:c r="AB149" s="26" t="str">
        <x:v>Enriched from Mulugu project JSON</x:v>
      </x:c>
    </x:row>
    <x:row r="150">
      <x:c r="A150" s="26" t="n">
        <x:v>147</x:v>
      </x:c>
      <x:c r="B150" s="26" t="n">
        <x:v>271</x:v>
      </x:c>
      <x:c r="C150" s="26" t="str">
        <x:v>Mulugu</x:v>
      </x:c>
      <x:c r="D150" s="26" t="n">
        <x:v>11328</x:v>
      </x:c>
      <x:c r="E150" s="26" t="str">
        <x:v>PRJ-2026-0011328</x:v>
      </x:c>
      <x:c r="F150" s="26" t="str">
        <x:v>AWC Lingapur</x:v>
      </x:c>
      <x:c r="G150" s="26" t="n">
        <x:v>775</x:v>
      </x:c>
      <x:c r="H150" s="26" t="n">
        <x:v>43734</x:v>
      </x:c>
      <x:c r="I150" s="26" t="str">
        <x:v>Tube Lights</x:v>
      </x:c>
      <x:c r="J150" s="26" t="str">
        <x:v>Number</x:v>
      </x:c>
      <x:c r="K150" s="26" t="n">
        <x:v>2</x:v>
      </x:c>
      <x:c r="L150" s="26" t="n">
        <x:v>2</x:v>
      </x:c>
      <x:c r="M150" s="26" t="n">
        <x:v>2</x:v>
      </x:c>
      <x:c r="N150" s="26" t="n">
        <x:v>0</x:v>
      </x:c>
      <x:c r="O150" s="26" t="n">
        <x:f>MAX(M150-N150,0)</x:f>
        <x:v>2</x:v>
      </x:c>
      <x:c r="P150" s="38" t="n">
        <x:f>IFERROR(N150/M150,0)</x:f>
        <x:v>0</x:v>
      </x:c>
      <x:c r="Q150" s="26" t="str">
        <x:v>Material/Assets/Equipment</x:v>
      </x:c>
      <x:c r="R150" s="26" t="str">
        <x:v>Electrical Infrastructure</x:v>
      </x:c>
      <x:c r="S150" s="26" t="str">
        <x:v>Medium</x:v>
      </x:c>
      <x:c r="T150" s="26"/>
      <x:c r="U150" s="26"/>
      <x:c r="V150" s="26"/>
      <x:c r="W150" s="32"/>
      <x:c r="X150" s="27" t="b">
        <x:v>1</x:v>
      </x:c>
      <x:c r="Y150" s="34" t="n">
        <x:v>46220.01719907407</x:v>
      </x:c>
      <x:c r="Z150" s="26"/>
      <x:c r="AA150" s="26" t="str">
        <x:v>Lingapur (36701020618)</x:v>
      </x:c>
      <x:c r="AB150" s="26" t="str">
        <x:v>Enriched from Mulugu project JSON</x:v>
      </x:c>
    </x:row>
    <x:row r="151">
      <x:c r="A151" s="26" t="n">
        <x:v>148</x:v>
      </x:c>
      <x:c r="B151" s="26" t="n">
        <x:v>271</x:v>
      </x:c>
      <x:c r="C151" s="26" t="str">
        <x:v>Mulugu</x:v>
      </x:c>
      <x:c r="D151" s="26" t="n">
        <x:v>11328</x:v>
      </x:c>
      <x:c r="E151" s="26" t="str">
        <x:v>PRJ-2026-0011328</x:v>
      </x:c>
      <x:c r="F151" s="26" t="str">
        <x:v>AWC Lingapur</x:v>
      </x:c>
      <x:c r="G151" s="26" t="n">
        <x:v>776</x:v>
      </x:c>
      <x:c r="H151" s="26" t="n">
        <x:v>43735</x:v>
      </x:c>
      <x:c r="I151" s="26" t="str">
        <x:v>Cooking Equipments</x:v>
      </x:c>
      <x:c r="J151" s="26" t="str">
        <x:v>Number</x:v>
      </x:c>
      <x:c r="K151" s="26" t="n">
        <x:v>1</x:v>
      </x:c>
      <x:c r="L151" s="26" t="n">
        <x:v>1</x:v>
      </x:c>
      <x:c r="M151" s="26" t="n">
        <x:v>1</x:v>
      </x:c>
      <x:c r="N151" s="26" t="n">
        <x:v>0</x:v>
      </x:c>
      <x:c r="O151" s="26" t="n">
        <x:f>MAX(M151-N151,0)</x:f>
        <x:v>1</x:v>
      </x:c>
      <x:c r="P151" s="38" t="n">
        <x:f>IFERROR(N151/M151,0)</x:f>
        <x:v>0</x:v>
      </x:c>
      <x:c r="Q151" s="26" t="str">
        <x:v>Material/Assets/Equipment</x:v>
      </x:c>
      <x:c r="R151" s="26" t="str">
        <x:v>Electrical Infrastructure</x:v>
      </x:c>
      <x:c r="S151" s="26" t="str">
        <x:v>Medium</x:v>
      </x:c>
      <x:c r="T151" s="26"/>
      <x:c r="U151" s="26"/>
      <x:c r="V151" s="26"/>
      <x:c r="W151" s="32"/>
      <x:c r="X151" s="27" t="b">
        <x:v>1</x:v>
      </x:c>
      <x:c r="Y151" s="34" t="n">
        <x:v>46220.01719907407</x:v>
      </x:c>
      <x:c r="Z151" s="26"/>
      <x:c r="AA151" s="26" t="str">
        <x:v>Lingapur (36701020618)</x:v>
      </x:c>
      <x:c r="AB151" s="26" t="str">
        <x:v>Enriched from Mulugu project JSON</x:v>
      </x:c>
    </x:row>
    <x:row r="152">
      <x:c r="A152" s="26" t="n">
        <x:v>149</x:v>
      </x:c>
      <x:c r="B152" s="26" t="n">
        <x:v>271</x:v>
      </x:c>
      <x:c r="C152" s="26" t="str">
        <x:v>Mulugu</x:v>
      </x:c>
      <x:c r="D152" s="26" t="n">
        <x:v>11328</x:v>
      </x:c>
      <x:c r="E152" s="26" t="str">
        <x:v>PRJ-2026-0011328</x:v>
      </x:c>
      <x:c r="F152" s="26" t="str">
        <x:v>AWC Lingapur</x:v>
      </x:c>
      <x:c r="G152" s="26" t="n">
        <x:v>777</x:v>
      </x:c>
      <x:c r="H152" s="26" t="n">
        <x:v>43736</x:v>
      </x:c>
      <x:c r="I152" s="26" t="str">
        <x:v>Water Purifier</x:v>
      </x:c>
      <x:c r="J152" s="26" t="str">
        <x:v>Number</x:v>
      </x:c>
      <x:c r="K152" s="26" t="n">
        <x:v>1</x:v>
      </x:c>
      <x:c r="L152" s="26" t="n">
        <x:v>1</x:v>
      </x:c>
      <x:c r="M152" s="26" t="n">
        <x:v>1</x:v>
      </x:c>
      <x:c r="N152" s="26" t="n">
        <x:v>0</x:v>
      </x:c>
      <x:c r="O152" s="26" t="n">
        <x:f>MAX(M152-N152,0)</x:f>
        <x:v>1</x:v>
      </x:c>
      <x:c r="P152" s="38" t="n">
        <x:f>IFERROR(N152/M152,0)</x:f>
        <x:v>0</x:v>
      </x:c>
      <x:c r="Q152" s="26" t="str">
        <x:v>Material/Assets/Equipment</x:v>
      </x:c>
      <x:c r="R152" s="26" t="str">
        <x:v>Health and Safety aids</x:v>
      </x:c>
      <x:c r="S152" s="26" t="str">
        <x:v>Minor</x:v>
      </x:c>
      <x:c r="T152" s="26"/>
      <x:c r="U152" s="26"/>
      <x:c r="V152" s="26"/>
      <x:c r="W152" s="32"/>
      <x:c r="X152" s="27" t="b">
        <x:v>1</x:v>
      </x:c>
      <x:c r="Y152" s="34" t="n">
        <x:v>46220.01719907407</x:v>
      </x:c>
      <x:c r="Z152" s="26"/>
      <x:c r="AA152" s="26" t="str">
        <x:v>Lingapur (36701020618)</x:v>
      </x:c>
      <x:c r="AB152" s="26" t="str">
        <x:v>Enriched from Mulugu project JSON</x:v>
      </x:c>
    </x:row>
    <x:row r="153">
      <x:c r="A153" s="26" t="n">
        <x:v>150</x:v>
      </x:c>
      <x:c r="B153" s="26" t="n">
        <x:v>271</x:v>
      </x:c>
      <x:c r="C153" s="26" t="str">
        <x:v>Mulugu</x:v>
      </x:c>
      <x:c r="D153" s="26" t="n">
        <x:v>11328</x:v>
      </x:c>
      <x:c r="E153" s="26" t="str">
        <x:v>PRJ-2026-0011328</x:v>
      </x:c>
      <x:c r="F153" s="26" t="str">
        <x:v>AWC Lingapur</x:v>
      </x:c>
      <x:c r="G153" s="26" t="n">
        <x:v>778</x:v>
      </x:c>
      <x:c r="H153" s="26" t="n">
        <x:v>43737</x:v>
      </x:c>
      <x:c r="I153" s="26" t="str">
        <x:v>Chairs</x:v>
      </x:c>
      <x:c r="J153" s="26" t="str">
        <x:v>Number</x:v>
      </x:c>
      <x:c r="K153" s="26" t="n">
        <x:v>3</x:v>
      </x:c>
      <x:c r="L153" s="26" t="n">
        <x:v>3</x:v>
      </x:c>
      <x:c r="M153" s="26" t="n">
        <x:v>3</x:v>
      </x:c>
      <x:c r="N153" s="26" t="n">
        <x:v>0</x:v>
      </x:c>
      <x:c r="O153" s="26" t="n">
        <x:f>MAX(M153-N153,0)</x:f>
        <x:v>3</x:v>
      </x:c>
      <x:c r="P153" s="38" t="n">
        <x:f>IFERROR(N153/M153,0)</x:f>
        <x:v>0</x:v>
      </x:c>
      <x:c r="Q153" s="26" t="str">
        <x:v>Material/Assets/Equipment</x:v>
      </x:c>
      <x:c r="R153" s="26" t="str">
        <x:v>Office Needs</x:v>
      </x:c>
      <x:c r="S153" s="26" t="str">
        <x:v>Minor</x:v>
      </x:c>
      <x:c r="T153" s="26"/>
      <x:c r="U153" s="26"/>
      <x:c r="V153" s="26"/>
      <x:c r="W153" s="32"/>
      <x:c r="X153" s="27" t="b">
        <x:v>1</x:v>
      </x:c>
      <x:c r="Y153" s="34" t="n">
        <x:v>46220.01719907407</x:v>
      </x:c>
      <x:c r="Z153" s="26"/>
      <x:c r="AA153" s="26" t="str">
        <x:v>Lingapur (36701020618)</x:v>
      </x:c>
      <x:c r="AB153" s="26" t="str">
        <x:v>Enriched from Mulugu project JSON</x:v>
      </x:c>
    </x:row>
    <x:row r="154">
      <x:c r="A154" s="26" t="n">
        <x:v>151</x:v>
      </x:c>
      <x:c r="B154" s="26" t="n">
        <x:v>272</x:v>
      </x:c>
      <x:c r="C154" s="26" t="str">
        <x:v>Mulugu</x:v>
      </x:c>
      <x:c r="D154" s="26" t="n">
        <x:v>11378</x:v>
      </x:c>
      <x:c r="E154" s="26" t="str">
        <x:v>PRJ-2026-0011378</x:v>
      </x:c>
      <x:c r="F154" s="26" t="str">
        <x:v>Muppanapally-I.</x:v>
      </x:c>
      <x:c r="G154" s="26" t="n">
        <x:v>779</x:v>
      </x:c>
      <x:c r="H154" s="26" t="n">
        <x:v>43974</x:v>
      </x:c>
      <x:c r="I154" s="26" t="str">
        <x:v>Toys</x:v>
      </x:c>
      <x:c r="J154" s="26" t="str">
        <x:v>Number</x:v>
      </x:c>
      <x:c r="K154" s="26" t="n">
        <x:v>16</x:v>
      </x:c>
      <x:c r="L154" s="26" t="n">
        <x:v>16</x:v>
      </x:c>
      <x:c r="M154" s="26" t="n">
        <x:v>16</x:v>
      </x:c>
      <x:c r="N154" s="26" t="n">
        <x:v>0</x:v>
      </x:c>
      <x:c r="O154" s="26" t="n">
        <x:f>MAX(M154-N154,0)</x:f>
        <x:v>16</x:v>
      </x:c>
      <x:c r="P154" s="38" t="n">
        <x:f>IFERROR(N154/M154,0)</x:f>
        <x:v>0</x:v>
      </x:c>
      <x:c r="Q154" s="26" t="str">
        <x:v>Material/Assets/Equipment</x:v>
      </x:c>
      <x:c r="R154" s="26" t="str">
        <x:v>ECCE Equipment</x:v>
      </x:c>
      <x:c r="S154" s="26" t="str">
        <x:v>Minor</x:v>
      </x:c>
      <x:c r="T154" s="26"/>
      <x:c r="U154" s="26"/>
      <x:c r="V154" s="26"/>
      <x:c r="W154" s="32"/>
      <x:c r="X154" s="27" t="b">
        <x:v>1</x:v>
      </x:c>
      <x:c r="Y154" s="34" t="n">
        <x:v>46220.01719907407</x:v>
      </x:c>
      <x:c r="Z154" s="26"/>
      <x:c r="AA154" s="26" t="str">
        <x:v>Muppanapally - I (36701010509)</x:v>
      </x:c>
      <x:c r="AB154" s="26" t="str">
        <x:v>Enriched from Mulugu project JSON</x:v>
      </x:c>
    </x:row>
    <x:row r="155">
      <x:c r="A155" s="26" t="n">
        <x:v>152</x:v>
      </x:c>
      <x:c r="B155" s="26" t="n">
        <x:v>272</x:v>
      </x:c>
      <x:c r="C155" s="26" t="str">
        <x:v>Mulugu</x:v>
      </x:c>
      <x:c r="D155" s="26" t="n">
        <x:v>11378</x:v>
      </x:c>
      <x:c r="E155" s="26" t="str">
        <x:v>PRJ-2026-0011378</x:v>
      </x:c>
      <x:c r="F155" s="26" t="str">
        <x:v>Muppanapally-I.</x:v>
      </x:c>
      <x:c r="G155" s="26" t="n">
        <x:v>780</x:v>
      </x:c>
      <x:c r="H155" s="26" t="n">
        <x:v>43975</x:v>
      </x:c>
      <x:c r="I155" s="26" t="str">
        <x:v>Balls</x:v>
      </x:c>
      <x:c r="J155" s="26" t="str">
        <x:v>Number</x:v>
      </x:c>
      <x:c r="K155" s="26" t="n">
        <x:v>16</x:v>
      </x:c>
      <x:c r="L155" s="26" t="n">
        <x:v>16</x:v>
      </x:c>
      <x:c r="M155" s="26" t="n">
        <x:v>16</x:v>
      </x:c>
      <x:c r="N155" s="26" t="n">
        <x:v>0</x:v>
      </x:c>
      <x:c r="O155" s="26" t="n">
        <x:f>MAX(M155-N155,0)</x:f>
        <x:v>16</x:v>
      </x:c>
      <x:c r="P155" s="38" t="n">
        <x:f>IFERROR(N155/M155,0)</x:f>
        <x:v>0</x:v>
      </x:c>
      <x:c r="Q155" s="26" t="str">
        <x:v>Material/Assets/Equipment</x:v>
      </x:c>
      <x:c r="R155" s="26" t="str">
        <x:v>ECCE Equipment</x:v>
      </x:c>
      <x:c r="S155" s="26" t="str">
        <x:v>Minor</x:v>
      </x:c>
      <x:c r="T155" s="26"/>
      <x:c r="U155" s="26"/>
      <x:c r="V155" s="26"/>
      <x:c r="W155" s="32"/>
      <x:c r="X155" s="27" t="b">
        <x:v>1</x:v>
      </x:c>
      <x:c r="Y155" s="34" t="n">
        <x:v>46220.01719907407</x:v>
      </x:c>
      <x:c r="Z155" s="26"/>
      <x:c r="AA155" s="26" t="str">
        <x:v>Muppanapally - I (36701010509)</x:v>
      </x:c>
      <x:c r="AB155" s="26" t="str">
        <x:v>Enriched from Mulugu project JSON</x:v>
      </x:c>
    </x:row>
    <x:row r="156">
      <x:c r="A156" s="26" t="n">
        <x:v>153</x:v>
      </x:c>
      <x:c r="B156" s="26" t="n">
        <x:v>272</x:v>
      </x:c>
      <x:c r="C156" s="26" t="str">
        <x:v>Mulugu</x:v>
      </x:c>
      <x:c r="D156" s="26" t="n">
        <x:v>11378</x:v>
      </x:c>
      <x:c r="E156" s="26" t="str">
        <x:v>PRJ-2026-0011378</x:v>
      </x:c>
      <x:c r="F156" s="26" t="str">
        <x:v>Muppanapally-I.</x:v>
      </x:c>
      <x:c r="G156" s="26" t="n">
        <x:v>781</x:v>
      </x:c>
      <x:c r="H156" s="26" t="n">
        <x:v>43976</x:v>
      </x:c>
      <x:c r="I156" s="26" t="str">
        <x:v>Bats</x:v>
      </x:c>
      <x:c r="J156" s="26" t="str">
        <x:v>Number</x:v>
      </x:c>
      <x:c r="K156" s="26" t="n">
        <x:v>16</x:v>
      </x:c>
      <x:c r="L156" s="26" t="n">
        <x:v>16</x:v>
      </x:c>
      <x:c r="M156" s="26" t="n">
        <x:v>16</x:v>
      </x:c>
      <x:c r="N156" s="26" t="n">
        <x:v>0</x:v>
      </x:c>
      <x:c r="O156" s="26" t="n">
        <x:f>MAX(M156-N156,0)</x:f>
        <x:v>16</x:v>
      </x:c>
      <x:c r="P156" s="38" t="n">
        <x:f>IFERROR(N156/M156,0)</x:f>
        <x:v>0</x:v>
      </x:c>
      <x:c r="Q156" s="26" t="str">
        <x:v>Material/Assets/Equipment</x:v>
      </x:c>
      <x:c r="R156" s="26" t="str">
        <x:v>ECCE Equipment</x:v>
      </x:c>
      <x:c r="S156" s="26" t="str">
        <x:v>Minor</x:v>
      </x:c>
      <x:c r="T156" s="26"/>
      <x:c r="U156" s="26"/>
      <x:c r="V156" s="26"/>
      <x:c r="W156" s="32"/>
      <x:c r="X156" s="27" t="b">
        <x:v>1</x:v>
      </x:c>
      <x:c r="Y156" s="34" t="n">
        <x:v>46220.01719907407</x:v>
      </x:c>
      <x:c r="Z156" s="26"/>
      <x:c r="AA156" s="26" t="str">
        <x:v>Muppanapally - I (36701010509)</x:v>
      </x:c>
      <x:c r="AB156" s="26" t="str">
        <x:v>Enriched from Mulugu project JSON</x:v>
      </x:c>
    </x:row>
    <x:row r="157">
      <x:c r="A157" s="26" t="n">
        <x:v>154</x:v>
      </x:c>
      <x:c r="B157" s="26" t="n">
        <x:v>272</x:v>
      </x:c>
      <x:c r="C157" s="26" t="str">
        <x:v>Mulugu</x:v>
      </x:c>
      <x:c r="D157" s="26" t="n">
        <x:v>11378</x:v>
      </x:c>
      <x:c r="E157" s="26" t="str">
        <x:v>PRJ-2026-0011378</x:v>
      </x:c>
      <x:c r="F157" s="26" t="str">
        <x:v>Muppanapally-I.</x:v>
      </x:c>
      <x:c r="G157" s="26" t="n">
        <x:v>782</x:v>
      </x:c>
      <x:c r="H157" s="26" t="n">
        <x:v>43977</x:v>
      </x:c>
      <x:c r="I157" s="26" t="str">
        <x:v>Water Purifier</x:v>
      </x:c>
      <x:c r="J157" s="26" t="str">
        <x:v>Number</x:v>
      </x:c>
      <x:c r="K157" s="26" t="n">
        <x:v>1</x:v>
      </x:c>
      <x:c r="L157" s="26" t="n">
        <x:v>1</x:v>
      </x:c>
      <x:c r="M157" s="26" t="n">
        <x:v>1</x:v>
      </x:c>
      <x:c r="N157" s="26" t="n">
        <x:v>0</x:v>
      </x:c>
      <x:c r="O157" s="26" t="n">
        <x:f>MAX(M157-N157,0)</x:f>
        <x:v>1</x:v>
      </x:c>
      <x:c r="P157" s="38" t="n">
        <x:f>IFERROR(N157/M157,0)</x:f>
        <x:v>0</x:v>
      </x:c>
      <x:c r="Q157" s="26" t="str">
        <x:v>Material/Assets/Equipment</x:v>
      </x:c>
      <x:c r="R157" s="26" t="str">
        <x:v>Health and Safety aids</x:v>
      </x:c>
      <x:c r="S157" s="26" t="str">
        <x:v>Minor</x:v>
      </x:c>
      <x:c r="T157" s="26"/>
      <x:c r="U157" s="26"/>
      <x:c r="V157" s="26"/>
      <x:c r="W157" s="32"/>
      <x:c r="X157" s="27" t="b">
        <x:v>1</x:v>
      </x:c>
      <x:c r="Y157" s="34" t="n">
        <x:v>46220.01719907407</x:v>
      </x:c>
      <x:c r="Z157" s="26"/>
      <x:c r="AA157" s="26" t="str">
        <x:v>Muppanapally - I (36701010509)</x:v>
      </x:c>
      <x:c r="AB157" s="26" t="str">
        <x:v>Enriched from Mulugu project JSON</x:v>
      </x:c>
    </x:row>
    <x:row r="158">
      <x:c r="A158" s="26" t="n">
        <x:v>155</x:v>
      </x:c>
      <x:c r="B158" s="26" t="n">
        <x:v>272</x:v>
      </x:c>
      <x:c r="C158" s="26" t="str">
        <x:v>Mulugu</x:v>
      </x:c>
      <x:c r="D158" s="26" t="n">
        <x:v>11378</x:v>
      </x:c>
      <x:c r="E158" s="26" t="str">
        <x:v>PRJ-2026-0011378</x:v>
      </x:c>
      <x:c r="F158" s="26" t="str">
        <x:v>Muppanapally-I.</x:v>
      </x:c>
      <x:c r="G158" s="26" t="n">
        <x:v>783</x:v>
      </x:c>
      <x:c r="H158" s="26" t="n">
        <x:v>43978</x:v>
      </x:c>
      <x:c r="I158" s="26" t="str">
        <x:v>Tube Lights</x:v>
      </x:c>
      <x:c r="J158" s="26" t="str">
        <x:v>Number</x:v>
      </x:c>
      <x:c r="K158" s="26" t="n">
        <x:v>3</x:v>
      </x:c>
      <x:c r="L158" s="26" t="n">
        <x:v>3</x:v>
      </x:c>
      <x:c r="M158" s="26" t="n">
        <x:v>3</x:v>
      </x:c>
      <x:c r="N158" s="26" t="n">
        <x:v>0</x:v>
      </x:c>
      <x:c r="O158" s="26" t="n">
        <x:f>MAX(M158-N158,0)</x:f>
        <x:v>3</x:v>
      </x:c>
      <x:c r="P158" s="38" t="n">
        <x:f>IFERROR(N158/M158,0)</x:f>
        <x:v>0</x:v>
      </x:c>
      <x:c r="Q158" s="26" t="str">
        <x:v>Material/Assets/Equipment</x:v>
      </x:c>
      <x:c r="R158" s="26" t="str">
        <x:v>Electrical Infrastructure</x:v>
      </x:c>
      <x:c r="S158" s="26" t="str">
        <x:v>Medium</x:v>
      </x:c>
      <x:c r="T158" s="26"/>
      <x:c r="U158" s="26"/>
      <x:c r="V158" s="26"/>
      <x:c r="W158" s="32"/>
      <x:c r="X158" s="27" t="b">
        <x:v>1</x:v>
      </x:c>
      <x:c r="Y158" s="34" t="n">
        <x:v>46220.01719907407</x:v>
      </x:c>
      <x:c r="Z158" s="26"/>
      <x:c r="AA158" s="26" t="str">
        <x:v>Muppanapally - I (36701010509)</x:v>
      </x:c>
      <x:c r="AB158" s="26" t="str">
        <x:v>Enriched from Mulugu project JSON</x:v>
      </x:c>
    </x:row>
    <x:row r="159">
      <x:c r="A159" s="26" t="n">
        <x:v>156</x:v>
      </x:c>
      <x:c r="B159" s="26" t="n">
        <x:v>272</x:v>
      </x:c>
      <x:c r="C159" s="26" t="str">
        <x:v>Mulugu</x:v>
      </x:c>
      <x:c r="D159" s="26" t="n">
        <x:v>11378</x:v>
      </x:c>
      <x:c r="E159" s="26" t="str">
        <x:v>PRJ-2026-0011378</x:v>
      </x:c>
      <x:c r="F159" s="26" t="str">
        <x:v>Muppanapally-I.</x:v>
      </x:c>
      <x:c r="G159" s="26" t="n">
        <x:v>784</x:v>
      </x:c>
      <x:c r="H159" s="26" t="n">
        <x:v>43979</x:v>
      </x:c>
      <x:c r="I159" s="26" t="str">
        <x:v>White/Green Boards</x:v>
      </x:c>
      <x:c r="J159" s="26" t="str">
        <x:v>Number</x:v>
      </x:c>
      <x:c r="K159" s="26" t="n">
        <x:v>1</x:v>
      </x:c>
      <x:c r="L159" s="26" t="n">
        <x:v>1</x:v>
      </x:c>
      <x:c r="M159" s="26" t="n">
        <x:v>1</x:v>
      </x:c>
      <x:c r="N159" s="26" t="n">
        <x:v>0</x:v>
      </x:c>
      <x:c r="O159" s="26" t="n">
        <x:f>MAX(M159-N159,0)</x:f>
        <x:v>1</x:v>
      </x:c>
      <x:c r="P159" s="38" t="n">
        <x:f>IFERROR(N159/M159,0)</x:f>
        <x:v>0</x:v>
      </x:c>
      <x:c r="Q159" s="26" t="str">
        <x:v>Material/Assets/Equipment</x:v>
      </x:c>
      <x:c r="R159" s="26" t="str">
        <x:v>Educational Needs</x:v>
      </x:c>
      <x:c r="S159" s="26" t="str">
        <x:v>Minor</x:v>
      </x:c>
      <x:c r="T159" s="26"/>
      <x:c r="U159" s="26"/>
      <x:c r="V159" s="26"/>
      <x:c r="W159" s="32"/>
      <x:c r="X159" s="27" t="b">
        <x:v>1</x:v>
      </x:c>
      <x:c r="Y159" s="34" t="n">
        <x:v>46220.01719907407</x:v>
      </x:c>
      <x:c r="Z159" s="26"/>
      <x:c r="AA159" s="26" t="str">
        <x:v>Muppanapally - I (36701010509)</x:v>
      </x:c>
      <x:c r="AB159" s="26" t="str">
        <x:v>Enriched from Mulugu project JSON</x:v>
      </x:c>
    </x:row>
    <x:row r="160">
      <x:c r="A160" s="26" t="n">
        <x:v>157</x:v>
      </x:c>
      <x:c r="B160" s="26" t="n">
        <x:v>269</x:v>
      </x:c>
      <x:c r="C160" s="26" t="str">
        <x:v>Mulugu</x:v>
      </x:c>
      <x:c r="D160" s="26" t="n">
        <x:v>11743</x:v>
      </x:c>
      <x:c r="E160" s="26" t="str">
        <x:v>PRJ-2026-0011743</x:v>
      </x:c>
      <x:c r="F160" s="26" t="str">
        <x:v>AWC Thimmapur I</x:v>
      </x:c>
      <x:c r="G160" s="26" t="n">
        <x:v>758</x:v>
      </x:c>
      <x:c r="H160" s="26" t="n">
        <x:v>45657</x:v>
      </x:c>
      <x:c r="I160" s="26" t="str">
        <x:v>Toys</x:v>
      </x:c>
      <x:c r="J160" s="26" t="str">
        <x:v>Number</x:v>
      </x:c>
      <x:c r="K160" s="26" t="n">
        <x:v>10</x:v>
      </x:c>
      <x:c r="L160" s="26" t="n">
        <x:v>10</x:v>
      </x:c>
      <x:c r="M160" s="26" t="n">
        <x:v>10</x:v>
      </x:c>
      <x:c r="N160" s="26" t="n">
        <x:v>0</x:v>
      </x:c>
      <x:c r="O160" s="26" t="n">
        <x:f>MAX(M160-N160,0)</x:f>
        <x:v>10</x:v>
      </x:c>
      <x:c r="P160" s="38" t="n">
        <x:f>IFERROR(N160/M160,0)</x:f>
        <x:v>0</x:v>
      </x:c>
      <x:c r="Q160" s="26" t="str">
        <x:v>Material/Assets/Equipment</x:v>
      </x:c>
      <x:c r="R160" s="26" t="str">
        <x:v>ECCE Equipment</x:v>
      </x:c>
      <x:c r="S160" s="26" t="str">
        <x:v>Minor</x:v>
      </x:c>
      <x:c r="T160" s="26"/>
      <x:c r="U160" s="26"/>
      <x:c r="V160" s="26"/>
      <x:c r="W160" s="32"/>
      <x:c r="X160" s="27" t="b">
        <x:v>1</x:v>
      </x:c>
      <x:c r="Y160" s="34" t="n">
        <x:v>46220.0171875</x:v>
      </x:c>
      <x:c r="Z160" s="26"/>
      <x:c r="AA160" s="26" t="str">
        <x:v>Thimmapur-1 (36701020608)</x:v>
      </x:c>
      <x:c r="AB160" s="26" t="str">
        <x:v>Enriched from Mulugu project JSON</x:v>
      </x:c>
    </x:row>
    <x:row r="161">
      <x:c r="A161" s="26" t="n">
        <x:v>158</x:v>
      </x:c>
      <x:c r="B161" s="26" t="n">
        <x:v>269</x:v>
      </x:c>
      <x:c r="C161" s="26" t="str">
        <x:v>Mulugu</x:v>
      </x:c>
      <x:c r="D161" s="26" t="n">
        <x:v>11743</x:v>
      </x:c>
      <x:c r="E161" s="26" t="str">
        <x:v>PRJ-2026-0011743</x:v>
      </x:c>
      <x:c r="F161" s="26" t="str">
        <x:v>AWC Thimmapur I</x:v>
      </x:c>
      <x:c r="G161" s="26" t="n">
        <x:v>759</x:v>
      </x:c>
      <x:c r="H161" s="26" t="n">
        <x:v>45658</x:v>
      </x:c>
      <x:c r="I161" s="26" t="str">
        <x:v>Games</x:v>
      </x:c>
      <x:c r="J161" s="26" t="str">
        <x:v>Number</x:v>
      </x:c>
      <x:c r="K161" s="26" t="n">
        <x:v>10</x:v>
      </x:c>
      <x:c r="L161" s="26" t="n">
        <x:v>10</x:v>
      </x:c>
      <x:c r="M161" s="26" t="n">
        <x:v>10</x:v>
      </x:c>
      <x:c r="N161" s="26" t="n">
        <x:v>0</x:v>
      </x:c>
      <x:c r="O161" s="26" t="n">
        <x:f>MAX(M161-N161,0)</x:f>
        <x:v>10</x:v>
      </x:c>
      <x:c r="P161" s="38" t="n">
        <x:f>IFERROR(N161/M161,0)</x:f>
        <x:v>0</x:v>
      </x:c>
      <x:c r="Q161" s="26" t="str">
        <x:v>Material/Assets/Equipment</x:v>
      </x:c>
      <x:c r="R161" s="26" t="str">
        <x:v>ECCE Equipment</x:v>
      </x:c>
      <x:c r="S161" s="26" t="str">
        <x:v>Minor</x:v>
      </x:c>
      <x:c r="T161" s="26"/>
      <x:c r="U161" s="26"/>
      <x:c r="V161" s="26"/>
      <x:c r="W161" s="32"/>
      <x:c r="X161" s="27" t="b">
        <x:v>1</x:v>
      </x:c>
      <x:c r="Y161" s="34" t="n">
        <x:v>46220.0171875</x:v>
      </x:c>
      <x:c r="Z161" s="26"/>
      <x:c r="AA161" s="26" t="str">
        <x:v>Thimmapur-1 (36701020608)</x:v>
      </x:c>
      <x:c r="AB161" s="26" t="str">
        <x:v>Enriched from Mulugu project JSON</x:v>
      </x:c>
    </x:row>
    <x:row r="162">
      <x:c r="A162" s="26" t="n">
        <x:v>159</x:v>
      </x:c>
      <x:c r="B162" s="26" t="n">
        <x:v>269</x:v>
      </x:c>
      <x:c r="C162" s="26" t="str">
        <x:v>Mulugu</x:v>
      </x:c>
      <x:c r="D162" s="26" t="n">
        <x:v>11743</x:v>
      </x:c>
      <x:c r="E162" s="26" t="str">
        <x:v>PRJ-2026-0011743</x:v>
      </x:c>
      <x:c r="F162" s="26" t="str">
        <x:v>AWC Thimmapur I</x:v>
      </x:c>
      <x:c r="G162" s="26" t="n">
        <x:v>760</x:v>
      </x:c>
      <x:c r="H162" s="26" t="n">
        <x:v>45659</x:v>
      </x:c>
      <x:c r="I162" s="26" t="str">
        <x:v>Tube Lights</x:v>
      </x:c>
      <x:c r="J162" s="26" t="str">
        <x:v>Number</x:v>
      </x:c>
      <x:c r="K162" s="26" t="n">
        <x:v>2</x:v>
      </x:c>
      <x:c r="L162" s="26" t="n">
        <x:v>2</x:v>
      </x:c>
      <x:c r="M162" s="26" t="n">
        <x:v>2</x:v>
      </x:c>
      <x:c r="N162" s="26" t="n">
        <x:v>0</x:v>
      </x:c>
      <x:c r="O162" s="26" t="n">
        <x:f>MAX(M162-N162,0)</x:f>
        <x:v>2</x:v>
      </x:c>
      <x:c r="P162" s="38" t="n">
        <x:f>IFERROR(N162/M162,0)</x:f>
        <x:v>0</x:v>
      </x:c>
      <x:c r="Q162" s="26" t="str">
        <x:v>Material/Assets/Equipment</x:v>
      </x:c>
      <x:c r="R162" s="26" t="str">
        <x:v>Electrical Infrastructure</x:v>
      </x:c>
      <x:c r="S162" s="26" t="str">
        <x:v>Medium</x:v>
      </x:c>
      <x:c r="T162" s="26"/>
      <x:c r="U162" s="26"/>
      <x:c r="V162" s="26"/>
      <x:c r="W162" s="32"/>
      <x:c r="X162" s="27" t="b">
        <x:v>1</x:v>
      </x:c>
      <x:c r="Y162" s="34" t="n">
        <x:v>46220.0171875</x:v>
      </x:c>
      <x:c r="Z162" s="26"/>
      <x:c r="AA162" s="26" t="str">
        <x:v>Thimmapur-1 (36701020608)</x:v>
      </x:c>
      <x:c r="AB162" s="26" t="str">
        <x:v>Enriched from Mulugu project JSON</x:v>
      </x:c>
    </x:row>
    <x:row r="163">
      <x:c r="A163" s="26" t="n">
        <x:v>160</x:v>
      </x:c>
      <x:c r="B163" s="26" t="n">
        <x:v>269</x:v>
      </x:c>
      <x:c r="C163" s="26" t="str">
        <x:v>Mulugu</x:v>
      </x:c>
      <x:c r="D163" s="26" t="n">
        <x:v>11743</x:v>
      </x:c>
      <x:c r="E163" s="26" t="str">
        <x:v>PRJ-2026-0011743</x:v>
      </x:c>
      <x:c r="F163" s="26" t="str">
        <x:v>AWC Thimmapur I</x:v>
      </x:c>
      <x:c r="G163" s="26" t="n">
        <x:v>761</x:v>
      </x:c>
      <x:c r="H163" s="26" t="n">
        <x:v>45660</x:v>
      </x:c>
      <x:c r="I163" s="26" t="str">
        <x:v>Cooking Equipments</x:v>
      </x:c>
      <x:c r="J163" s="26" t="str">
        <x:v>Number</x:v>
      </x:c>
      <x:c r="K163" s="26" t="n">
        <x:v>1</x:v>
      </x:c>
      <x:c r="L163" s="26" t="n">
        <x:v>1</x:v>
      </x:c>
      <x:c r="M163" s="26" t="n">
        <x:v>1</x:v>
      </x:c>
      <x:c r="N163" s="26" t="n">
        <x:v>0</x:v>
      </x:c>
      <x:c r="O163" s="26" t="n">
        <x:f>MAX(M163-N163,0)</x:f>
        <x:v>1</x:v>
      </x:c>
      <x:c r="P163" s="38" t="n">
        <x:f>IFERROR(N163/M163,0)</x:f>
        <x:v>0</x:v>
      </x:c>
      <x:c r="Q163" s="26" t="str">
        <x:v>Material/Assets/Equipment</x:v>
      </x:c>
      <x:c r="R163" s="26" t="str">
        <x:v>Electrical Infrastructure</x:v>
      </x:c>
      <x:c r="S163" s="26" t="str">
        <x:v>Medium</x:v>
      </x:c>
      <x:c r="T163" s="26"/>
      <x:c r="U163" s="26"/>
      <x:c r="V163" s="26"/>
      <x:c r="W163" s="32"/>
      <x:c r="X163" s="27" t="b">
        <x:v>1</x:v>
      </x:c>
      <x:c r="Y163" s="34" t="n">
        <x:v>46220.0171875</x:v>
      </x:c>
      <x:c r="Z163" s="26"/>
      <x:c r="AA163" s="26" t="str">
        <x:v>Thimmapur-1 (36701020608)</x:v>
      </x:c>
      <x:c r="AB163" s="26" t="str">
        <x:v>Enriched from Mulugu project JSON</x:v>
      </x:c>
    </x:row>
    <x:row r="164">
      <x:c r="A164" s="26" t="n">
        <x:v>161</x:v>
      </x:c>
      <x:c r="B164" s="26" t="n">
        <x:v>269</x:v>
      </x:c>
      <x:c r="C164" s="26" t="str">
        <x:v>Mulugu</x:v>
      </x:c>
      <x:c r="D164" s="26" t="n">
        <x:v>11743</x:v>
      </x:c>
      <x:c r="E164" s="26" t="str">
        <x:v>PRJ-2026-0011743</x:v>
      </x:c>
      <x:c r="F164" s="26" t="str">
        <x:v>AWC Thimmapur I</x:v>
      </x:c>
      <x:c r="G164" s="26" t="n">
        <x:v>762</x:v>
      </x:c>
      <x:c r="H164" s="26" t="n">
        <x:v>45661</x:v>
      </x:c>
      <x:c r="I164" s="26" t="str">
        <x:v>Water Purifier</x:v>
      </x:c>
      <x:c r="J164" s="26" t="str">
        <x:v>Number</x:v>
      </x:c>
      <x:c r="K164" s="26" t="n">
        <x:v>1</x:v>
      </x:c>
      <x:c r="L164" s="26" t="n">
        <x:v>1</x:v>
      </x:c>
      <x:c r="M164" s="26" t="n">
        <x:v>1</x:v>
      </x:c>
      <x:c r="N164" s="26" t="n">
        <x:v>0</x:v>
      </x:c>
      <x:c r="O164" s="26" t="n">
        <x:f>MAX(M164-N164,0)</x:f>
        <x:v>1</x:v>
      </x:c>
      <x:c r="P164" s="38" t="n">
        <x:f>IFERROR(N164/M164,0)</x:f>
        <x:v>0</x:v>
      </x:c>
      <x:c r="Q164" s="26" t="str">
        <x:v>Material/Assets/Equipment</x:v>
      </x:c>
      <x:c r="R164" s="26" t="str">
        <x:v>Health and Safety aids</x:v>
      </x:c>
      <x:c r="S164" s="26" t="str">
        <x:v>Minor</x:v>
      </x:c>
      <x:c r="T164" s="26"/>
      <x:c r="U164" s="26"/>
      <x:c r="V164" s="26"/>
      <x:c r="W164" s="32"/>
      <x:c r="X164" s="27" t="b">
        <x:v>1</x:v>
      </x:c>
      <x:c r="Y164" s="34" t="n">
        <x:v>46220.0171875</x:v>
      </x:c>
      <x:c r="Z164" s="26"/>
      <x:c r="AA164" s="26" t="str">
        <x:v>Thimmapur-1 (36701020608)</x:v>
      </x:c>
      <x:c r="AB164" s="26" t="str">
        <x:v>Enriched from Mulugu project JSON</x:v>
      </x:c>
    </x:row>
    <x:row r="165">
      <x:c r="A165" s="26" t="n">
        <x:v>162</x:v>
      </x:c>
      <x:c r="B165" s="26" t="n">
        <x:v>269</x:v>
      </x:c>
      <x:c r="C165" s="26" t="str">
        <x:v>Mulugu</x:v>
      </x:c>
      <x:c r="D165" s="26" t="n">
        <x:v>11743</x:v>
      </x:c>
      <x:c r="E165" s="26" t="str">
        <x:v>PRJ-2026-0011743</x:v>
      </x:c>
      <x:c r="F165" s="26" t="str">
        <x:v>AWC Thimmapur I</x:v>
      </x:c>
      <x:c r="G165" s="26" t="n">
        <x:v>763</x:v>
      </x:c>
      <x:c r="H165" s="26" t="n">
        <x:v>45662</x:v>
      </x:c>
      <x:c r="I165" s="26" t="str">
        <x:v>Chairs</x:v>
      </x:c>
      <x:c r="J165" s="26" t="str">
        <x:v>Number</x:v>
      </x:c>
      <x:c r="K165" s="26" t="n">
        <x:v>2</x:v>
      </x:c>
      <x:c r="L165" s="26" t="n">
        <x:v>2</x:v>
      </x:c>
      <x:c r="M165" s="26" t="n">
        <x:v>2</x:v>
      </x:c>
      <x:c r="N165" s="26" t="n">
        <x:v>0</x:v>
      </x:c>
      <x:c r="O165" s="26" t="n">
        <x:f>MAX(M165-N165,0)</x:f>
        <x:v>2</x:v>
      </x:c>
      <x:c r="P165" s="38" t="n">
        <x:f>IFERROR(N165/M165,0)</x:f>
        <x:v>0</x:v>
      </x:c>
      <x:c r="Q165" s="26" t="str">
        <x:v>Material/Assets/Equipment</x:v>
      </x:c>
      <x:c r="R165" s="26" t="str">
        <x:v>Office Needs</x:v>
      </x:c>
      <x:c r="S165" s="26" t="str">
        <x:v>Minor</x:v>
      </x:c>
      <x:c r="T165" s="26"/>
      <x:c r="U165" s="26"/>
      <x:c r="V165" s="26"/>
      <x:c r="W165" s="32"/>
      <x:c r="X165" s="27" t="b">
        <x:v>1</x:v>
      </x:c>
      <x:c r="Y165" s="34" t="n">
        <x:v>46220.0171875</x:v>
      </x:c>
      <x:c r="Z165" s="26"/>
      <x:c r="AA165" s="26" t="str">
        <x:v>Thimmapur-1 (36701020608)</x:v>
      </x:c>
      <x:c r="AB165" s="26" t="str">
        <x:v>Enriched from Mulugu project JSON</x:v>
      </x:c>
    </x:row>
    <x:row r="166">
      <x:c r="A166" s="26" t="n">
        <x:v>163</x:v>
      </x:c>
      <x:c r="B166" s="26" t="n">
        <x:v>269</x:v>
      </x:c>
      <x:c r="C166" s="26" t="str">
        <x:v>Mulugu</x:v>
      </x:c>
      <x:c r="D166" s="26" t="n">
        <x:v>11743</x:v>
      </x:c>
      <x:c r="E166" s="26" t="str">
        <x:v>PRJ-2026-0011743</x:v>
      </x:c>
      <x:c r="F166" s="26" t="str">
        <x:v>AWC Thimmapur I</x:v>
      </x:c>
      <x:c r="G166" s="26" t="n">
        <x:v>764</x:v>
      </x:c>
      <x:c r="H166" s="26" t="n">
        <x:v>45663</x:v>
      </x:c>
      <x:c r="I166" s="26" t="str">
        <x:v>Chairs/Benches</x:v>
      </x:c>
      <x:c r="J166" s="26" t="str">
        <x:v>Number</x:v>
      </x:c>
      <x:c r="K166" s="26" t="n">
        <x:v>10</x:v>
      </x:c>
      <x:c r="L166" s="26" t="n">
        <x:v>10</x:v>
      </x:c>
      <x:c r="M166" s="26" t="n">
        <x:v>10</x:v>
      </x:c>
      <x:c r="N166" s="26" t="n">
        <x:v>0</x:v>
      </x:c>
      <x:c r="O166" s="26" t="n">
        <x:f>MAX(M166-N166,0)</x:f>
        <x:v>10</x:v>
      </x:c>
      <x:c r="P166" s="38" t="n">
        <x:f>IFERROR(N166/M166,0)</x:f>
        <x:v>0</x:v>
      </x:c>
      <x:c r="Q166" s="26" t="str">
        <x:v>Material/Assets/Equipment</x:v>
      </x:c>
      <x:c r="R166" s="26" t="str">
        <x:v>Educational Needs</x:v>
      </x:c>
      <x:c r="S166" s="26" t="str">
        <x:v>Minor</x:v>
      </x:c>
      <x:c r="T166" s="26"/>
      <x:c r="U166" s="26"/>
      <x:c r="V166" s="26"/>
      <x:c r="W166" s="32"/>
      <x:c r="X166" s="27" t="b">
        <x:v>1</x:v>
      </x:c>
      <x:c r="Y166" s="34" t="n">
        <x:v>46220.0171875</x:v>
      </x:c>
      <x:c r="Z166" s="26"/>
      <x:c r="AA166" s="26" t="str">
        <x:v>Thimmapur-1 (36701020608)</x:v>
      </x:c>
      <x:c r="AB166" s="26" t="str">
        <x:v>Enriched from Mulugu project JSON</x:v>
      </x:c>
    </x:row>
    <x:row r="167">
      <x:c r="A167" s="26" t="n">
        <x:v>164</x:v>
      </x:c>
      <x:c r="B167" s="26" t="n">
        <x:v>270</x:v>
      </x:c>
      <x:c r="C167" s="26" t="str">
        <x:v>Mulugu</x:v>
      </x:c>
      <x:c r="D167" s="26" t="n">
        <x:v>11421</x:v>
      </x:c>
      <x:c r="E167" s="26" t="str">
        <x:v>PRJ-2026-0011421</x:v>
      </x:c>
      <x:c r="F167" s="26" t="str">
        <x:v>AWC YellareddyPalli</x:v>
      </x:c>
      <x:c r="G167" s="26" t="n">
        <x:v>765</x:v>
      </x:c>
      <x:c r="H167" s="26" t="n">
        <x:v>44194</x:v>
      </x:c>
      <x:c r="I167" s="26" t="str">
        <x:v>Toys</x:v>
      </x:c>
      <x:c r="J167" s="26" t="str">
        <x:v>Number</x:v>
      </x:c>
      <x:c r="K167" s="26" t="n">
        <x:v>10</x:v>
      </x:c>
      <x:c r="L167" s="26" t="n">
        <x:v>10</x:v>
      </x:c>
      <x:c r="M167" s="26" t="n">
        <x:v>10</x:v>
      </x:c>
      <x:c r="N167" s="26" t="n">
        <x:v>0</x:v>
      </x:c>
      <x:c r="O167" s="26" t="n">
        <x:f>MAX(M167-N167,0)</x:f>
        <x:v>10</x:v>
      </x:c>
      <x:c r="P167" s="38" t="n">
        <x:f>IFERROR(N167/M167,0)</x:f>
        <x:v>0</x:v>
      </x:c>
      <x:c r="Q167" s="26" t="str">
        <x:v>Material/Assets/Equipment</x:v>
      </x:c>
      <x:c r="R167" s="26" t="str">
        <x:v>ECCE Equipment</x:v>
      </x:c>
      <x:c r="S167" s="26" t="str">
        <x:v>Minor</x:v>
      </x:c>
      <x:c r="T167" s="26"/>
      <x:c r="U167" s="26"/>
      <x:c r="V167" s="26"/>
      <x:c r="W167" s="32"/>
      <x:c r="X167" s="27" t="b">
        <x:v>1</x:v>
      </x:c>
      <x:c r="Y167" s="34" t="n">
        <x:v>46220.0171875</x:v>
      </x:c>
      <x:c r="Z167" s="26"/>
      <x:c r="AA167" s="26" t="str">
        <x:v>Yellareddypalli (36701020601)</x:v>
      </x:c>
      <x:c r="AB167" s="26" t="str">
        <x:v>Enriched from Mulugu project JSON</x:v>
      </x:c>
    </x:row>
    <x:row r="168">
      <x:c r="A168" s="26" t="n">
        <x:v>165</x:v>
      </x:c>
      <x:c r="B168" s="26" t="n">
        <x:v>270</x:v>
      </x:c>
      <x:c r="C168" s="26" t="str">
        <x:v>Mulugu</x:v>
      </x:c>
      <x:c r="D168" s="26" t="n">
        <x:v>11421</x:v>
      </x:c>
      <x:c r="E168" s="26" t="str">
        <x:v>PRJ-2026-0011421</x:v>
      </x:c>
      <x:c r="F168" s="26" t="str">
        <x:v>AWC YellareddyPalli</x:v>
      </x:c>
      <x:c r="G168" s="26" t="n">
        <x:v>766</x:v>
      </x:c>
      <x:c r="H168" s="26" t="n">
        <x:v>44195</x:v>
      </x:c>
      <x:c r="I168" s="26" t="str">
        <x:v>Games</x:v>
      </x:c>
      <x:c r="J168" s="26" t="str">
        <x:v>Number</x:v>
      </x:c>
      <x:c r="K168" s="26" t="n">
        <x:v>10</x:v>
      </x:c>
      <x:c r="L168" s="26" t="n">
        <x:v>10</x:v>
      </x:c>
      <x:c r="M168" s="26" t="n">
        <x:v>10</x:v>
      </x:c>
      <x:c r="N168" s="26" t="n">
        <x:v>0</x:v>
      </x:c>
      <x:c r="O168" s="26" t="n">
        <x:f>MAX(M168-N168,0)</x:f>
        <x:v>10</x:v>
      </x:c>
      <x:c r="P168" s="38" t="n">
        <x:f>IFERROR(N168/M168,0)</x:f>
        <x:v>0</x:v>
      </x:c>
      <x:c r="Q168" s="26" t="str">
        <x:v>Material/Assets/Equipment</x:v>
      </x:c>
      <x:c r="R168" s="26" t="str">
        <x:v>ECCE Equipment</x:v>
      </x:c>
      <x:c r="S168" s="26" t="str">
        <x:v>Minor</x:v>
      </x:c>
      <x:c r="T168" s="26"/>
      <x:c r="U168" s="26"/>
      <x:c r="V168" s="26"/>
      <x:c r="W168" s="32"/>
      <x:c r="X168" s="27" t="b">
        <x:v>1</x:v>
      </x:c>
      <x:c r="Y168" s="34" t="n">
        <x:v>46220.0171875</x:v>
      </x:c>
      <x:c r="Z168" s="26"/>
      <x:c r="AA168" s="26" t="str">
        <x:v>Yellareddypalli (36701020601)</x:v>
      </x:c>
      <x:c r="AB168" s="26" t="str">
        <x:v>Enriched from Mulugu project JSON</x:v>
      </x:c>
    </x:row>
    <x:row r="169">
      <x:c r="A169" s="26" t="n">
        <x:v>166</x:v>
      </x:c>
      <x:c r="B169" s="26" t="n">
        <x:v>270</x:v>
      </x:c>
      <x:c r="C169" s="26" t="str">
        <x:v>Mulugu</x:v>
      </x:c>
      <x:c r="D169" s="26" t="n">
        <x:v>11421</x:v>
      </x:c>
      <x:c r="E169" s="26" t="str">
        <x:v>PRJ-2026-0011421</x:v>
      </x:c>
      <x:c r="F169" s="26" t="str">
        <x:v>AWC YellareddyPalli</x:v>
      </x:c>
      <x:c r="G169" s="26" t="n">
        <x:v>767</x:v>
      </x:c>
      <x:c r="H169" s="26" t="n">
        <x:v>44196</x:v>
      </x:c>
      <x:c r="I169" s="26" t="str">
        <x:v>Chairs/Benches</x:v>
      </x:c>
      <x:c r="J169" s="26" t="str">
        <x:v>Number</x:v>
      </x:c>
      <x:c r="K169" s="26" t="n">
        <x:v>10</x:v>
      </x:c>
      <x:c r="L169" s="26" t="n">
        <x:v>10</x:v>
      </x:c>
      <x:c r="M169" s="26" t="n">
        <x:v>10</x:v>
      </x:c>
      <x:c r="N169" s="26" t="n">
        <x:v>0</x:v>
      </x:c>
      <x:c r="O169" s="26" t="n">
        <x:f>MAX(M169-N169,0)</x:f>
        <x:v>10</x:v>
      </x:c>
      <x:c r="P169" s="38" t="n">
        <x:f>IFERROR(N169/M169,0)</x:f>
        <x:v>0</x:v>
      </x:c>
      <x:c r="Q169" s="26" t="str">
        <x:v>Material/Assets/Equipment</x:v>
      </x:c>
      <x:c r="R169" s="26" t="str">
        <x:v>Educational Needs</x:v>
      </x:c>
      <x:c r="S169" s="26" t="str">
        <x:v>Minor</x:v>
      </x:c>
      <x:c r="T169" s="26"/>
      <x:c r="U169" s="26"/>
      <x:c r="V169" s="26"/>
      <x:c r="W169" s="32"/>
      <x:c r="X169" s="27" t="b">
        <x:v>1</x:v>
      </x:c>
      <x:c r="Y169" s="34" t="n">
        <x:v>46220.0171875</x:v>
      </x:c>
      <x:c r="Z169" s="26"/>
      <x:c r="AA169" s="26" t="str">
        <x:v>Yellareddypalli (36701020601)</x:v>
      </x:c>
      <x:c r="AB169" s="26" t="str">
        <x:v>Enriched from Mulugu project JSON</x:v>
      </x:c>
    </x:row>
    <x:row r="170">
      <x:c r="A170" s="26" t="n">
        <x:v>167</x:v>
      </x:c>
      <x:c r="B170" s="26" t="n">
        <x:v>270</x:v>
      </x:c>
      <x:c r="C170" s="26" t="str">
        <x:v>Mulugu</x:v>
      </x:c>
      <x:c r="D170" s="26" t="n">
        <x:v>11421</x:v>
      </x:c>
      <x:c r="E170" s="26" t="str">
        <x:v>PRJ-2026-0011421</x:v>
      </x:c>
      <x:c r="F170" s="26" t="str">
        <x:v>AWC YellareddyPalli</x:v>
      </x:c>
      <x:c r="G170" s="26" t="n">
        <x:v>768</x:v>
      </x:c>
      <x:c r="H170" s="26" t="n">
        <x:v>44197</x:v>
      </x:c>
      <x:c r="I170" s="26" t="str">
        <x:v>Tube Lights</x:v>
      </x:c>
      <x:c r="J170" s="26" t="str">
        <x:v>Number</x:v>
      </x:c>
      <x:c r="K170" s="26" t="n">
        <x:v>2</x:v>
      </x:c>
      <x:c r="L170" s="26" t="n">
        <x:v>2</x:v>
      </x:c>
      <x:c r="M170" s="26" t="n">
        <x:v>2</x:v>
      </x:c>
      <x:c r="N170" s="26" t="n">
        <x:v>0</x:v>
      </x:c>
      <x:c r="O170" s="26" t="n">
        <x:f>MAX(M170-N170,0)</x:f>
        <x:v>2</x:v>
      </x:c>
      <x:c r="P170" s="38" t="n">
        <x:f>IFERROR(N170/M170,0)</x:f>
        <x:v>0</x:v>
      </x:c>
      <x:c r="Q170" s="26" t="str">
        <x:v>Material/Assets/Equipment</x:v>
      </x:c>
      <x:c r="R170" s="26" t="str">
        <x:v>Electrical Infrastructure</x:v>
      </x:c>
      <x:c r="S170" s="26" t="str">
        <x:v>Medium</x:v>
      </x:c>
      <x:c r="T170" s="26"/>
      <x:c r="U170" s="26"/>
      <x:c r="V170" s="26"/>
      <x:c r="W170" s="32"/>
      <x:c r="X170" s="27" t="b">
        <x:v>1</x:v>
      </x:c>
      <x:c r="Y170" s="34" t="n">
        <x:v>46220.0171875</x:v>
      </x:c>
      <x:c r="Z170" s="26"/>
      <x:c r="AA170" s="26" t="str">
        <x:v>Yellareddypalli (36701020601)</x:v>
      </x:c>
      <x:c r="AB170" s="26" t="str">
        <x:v>Enriched from Mulugu project JSON</x:v>
      </x:c>
    </x:row>
    <x:row r="171">
      <x:c r="A171" s="26" t="n">
        <x:v>168</x:v>
      </x:c>
      <x:c r="B171" s="26" t="n">
        <x:v>270</x:v>
      </x:c>
      <x:c r="C171" s="26" t="str">
        <x:v>Mulugu</x:v>
      </x:c>
      <x:c r="D171" s="26" t="n">
        <x:v>11421</x:v>
      </x:c>
      <x:c r="E171" s="26" t="str">
        <x:v>PRJ-2026-0011421</x:v>
      </x:c>
      <x:c r="F171" s="26" t="str">
        <x:v>AWC YellareddyPalli</x:v>
      </x:c>
      <x:c r="G171" s="26" t="n">
        <x:v>769</x:v>
      </x:c>
      <x:c r="H171" s="26" t="n">
        <x:v>44198</x:v>
      </x:c>
      <x:c r="I171" s="26" t="str">
        <x:v>Cooking Equipments</x:v>
      </x:c>
      <x:c r="J171" s="26" t="str">
        <x:v>Number</x:v>
      </x:c>
      <x:c r="K171" s="26" t="n">
        <x:v>1</x:v>
      </x:c>
      <x:c r="L171" s="26" t="n">
        <x:v>1</x:v>
      </x:c>
      <x:c r="M171" s="26" t="n">
        <x:v>1</x:v>
      </x:c>
      <x:c r="N171" s="26" t="n">
        <x:v>0</x:v>
      </x:c>
      <x:c r="O171" s="26" t="n">
        <x:f>MAX(M171-N171,0)</x:f>
        <x:v>1</x:v>
      </x:c>
      <x:c r="P171" s="38" t="n">
        <x:f>IFERROR(N171/M171,0)</x:f>
        <x:v>0</x:v>
      </x:c>
      <x:c r="Q171" s="26" t="str">
        <x:v>Material/Assets/Equipment</x:v>
      </x:c>
      <x:c r="R171" s="26" t="str">
        <x:v>Electrical Infrastructure</x:v>
      </x:c>
      <x:c r="S171" s="26" t="str">
        <x:v>Medium</x:v>
      </x:c>
      <x:c r="T171" s="26"/>
      <x:c r="U171" s="26"/>
      <x:c r="V171" s="26"/>
      <x:c r="W171" s="32"/>
      <x:c r="X171" s="27" t="b">
        <x:v>1</x:v>
      </x:c>
      <x:c r="Y171" s="34" t="n">
        <x:v>46220.0171875</x:v>
      </x:c>
      <x:c r="Z171" s="26"/>
      <x:c r="AA171" s="26" t="str">
        <x:v>Yellareddypalli (36701020601)</x:v>
      </x:c>
      <x:c r="AB171" s="26" t="str">
        <x:v>Enriched from Mulugu project JSON</x:v>
      </x:c>
    </x:row>
    <x:row r="172">
      <x:c r="A172" s="26" t="n">
        <x:v>169</x:v>
      </x:c>
      <x:c r="B172" s="26" t="n">
        <x:v>270</x:v>
      </x:c>
      <x:c r="C172" s="26" t="str">
        <x:v>Mulugu</x:v>
      </x:c>
      <x:c r="D172" s="26" t="n">
        <x:v>11421</x:v>
      </x:c>
      <x:c r="E172" s="26" t="str">
        <x:v>PRJ-2026-0011421</x:v>
      </x:c>
      <x:c r="F172" s="26" t="str">
        <x:v>AWC YellareddyPalli</x:v>
      </x:c>
      <x:c r="G172" s="26" t="n">
        <x:v>770</x:v>
      </x:c>
      <x:c r="H172" s="26" t="n">
        <x:v>44199</x:v>
      </x:c>
      <x:c r="I172" s="26" t="str">
        <x:v>Water Purifier</x:v>
      </x:c>
      <x:c r="J172" s="26" t="str">
        <x:v>Number</x:v>
      </x:c>
      <x:c r="K172" s="26" t="n">
        <x:v>1</x:v>
      </x:c>
      <x:c r="L172" s="26" t="n">
        <x:v>1</x:v>
      </x:c>
      <x:c r="M172" s="26" t="n">
        <x:v>1</x:v>
      </x:c>
      <x:c r="N172" s="26" t="n">
        <x:v>0</x:v>
      </x:c>
      <x:c r="O172" s="26" t="n">
        <x:f>MAX(M172-N172,0)</x:f>
        <x:v>1</x:v>
      </x:c>
      <x:c r="P172" s="38" t="n">
        <x:f>IFERROR(N172/M172,0)</x:f>
        <x:v>0</x:v>
      </x:c>
      <x:c r="Q172" s="26" t="str">
        <x:v>Material/Assets/Equipment</x:v>
      </x:c>
      <x:c r="R172" s="26" t="str">
        <x:v>Health and Safety aids</x:v>
      </x:c>
      <x:c r="S172" s="26" t="str">
        <x:v>Minor</x:v>
      </x:c>
      <x:c r="T172" s="26"/>
      <x:c r="U172" s="26"/>
      <x:c r="V172" s="26"/>
      <x:c r="W172" s="32"/>
      <x:c r="X172" s="27" t="b">
        <x:v>1</x:v>
      </x:c>
      <x:c r="Y172" s="34" t="n">
        <x:v>46220.0171875</x:v>
      </x:c>
      <x:c r="Z172" s="26"/>
      <x:c r="AA172" s="26" t="str">
        <x:v>Yellareddypalli (36701020601)</x:v>
      </x:c>
      <x:c r="AB172" s="26" t="str">
        <x:v>Enriched from Mulugu project JSON</x:v>
      </x:c>
    </x:row>
    <x:row r="173">
      <x:c r="A173" s="26" t="n">
        <x:v>170</x:v>
      </x:c>
      <x:c r="B173" s="26" t="n">
        <x:v>270</x:v>
      </x:c>
      <x:c r="C173" s="26" t="str">
        <x:v>Mulugu</x:v>
      </x:c>
      <x:c r="D173" s="26" t="n">
        <x:v>11421</x:v>
      </x:c>
      <x:c r="E173" s="26" t="str">
        <x:v>PRJ-2026-0011421</x:v>
      </x:c>
      <x:c r="F173" s="26" t="str">
        <x:v>AWC YellareddyPalli</x:v>
      </x:c>
      <x:c r="G173" s="26" t="n">
        <x:v>771</x:v>
      </x:c>
      <x:c r="H173" s="26" t="n">
        <x:v>44200</x:v>
      </x:c>
      <x:c r="I173" s="26" t="str">
        <x:v>Chairs</x:v>
      </x:c>
      <x:c r="J173" s="26" t="str">
        <x:v>Number</x:v>
      </x:c>
      <x:c r="K173" s="26" t="n">
        <x:v>2</x:v>
      </x:c>
      <x:c r="L173" s="26" t="n">
        <x:v>2</x:v>
      </x:c>
      <x:c r="M173" s="26" t="n">
        <x:v>2</x:v>
      </x:c>
      <x:c r="N173" s="26" t="n">
        <x:v>0</x:v>
      </x:c>
      <x:c r="O173" s="26" t="n">
        <x:f>MAX(M173-N173,0)</x:f>
        <x:v>2</x:v>
      </x:c>
      <x:c r="P173" s="38" t="n">
        <x:f>IFERROR(N173/M173,0)</x:f>
        <x:v>0</x:v>
      </x:c>
      <x:c r="Q173" s="26" t="str">
        <x:v>Material/Assets/Equipment</x:v>
      </x:c>
      <x:c r="R173" s="26" t="str">
        <x:v>Office Needs</x:v>
      </x:c>
      <x:c r="S173" s="26" t="str">
        <x:v>Minor</x:v>
      </x:c>
      <x:c r="T173" s="26"/>
      <x:c r="U173" s="26"/>
      <x:c r="V173" s="26"/>
      <x:c r="W173" s="32"/>
      <x:c r="X173" s="27" t="b">
        <x:v>1</x:v>
      </x:c>
      <x:c r="Y173" s="34" t="n">
        <x:v>46220.0171875</x:v>
      </x:c>
      <x:c r="Z173" s="26"/>
      <x:c r="AA173" s="26" t="str">
        <x:v>Yellareddypalli (36701020601)</x:v>
      </x:c>
      <x:c r="AB173" s="26" t="str">
        <x:v>Enriched from Mulugu project JSON</x:v>
      </x:c>
    </x:row>
    <x:row r="174">
      <x:c r="A174" s="26" t="n">
        <x:v>171</x:v>
      </x:c>
      <x:c r="B174" s="26" t="n">
        <x:v>268</x:v>
      </x:c>
      <x:c r="C174" s="26" t="str">
        <x:v>Mulugu</x:v>
      </x:c>
      <x:c r="D174" s="26" t="n">
        <x:v>11841</x:v>
      </x:c>
      <x:c r="E174" s="26" t="str">
        <x:v>PRJ-2026-0011841</x:v>
      </x:c>
      <x:c r="F174" s="26" t="str">
        <x:v>AWC  Lambadipally</x:v>
      </x:c>
      <x:c r="G174" s="26" t="n">
        <x:v>752</x:v>
      </x:c>
      <x:c r="H174" s="26" t="n">
        <x:v>46165</x:v>
      </x:c>
      <x:c r="I174" s="26" t="str">
        <x:v>Toys</x:v>
      </x:c>
      <x:c r="J174" s="26" t="str">
        <x:v>Number</x:v>
      </x:c>
      <x:c r="K174" s="26" t="n">
        <x:v>10</x:v>
      </x:c>
      <x:c r="L174" s="26" t="n">
        <x:v>10</x:v>
      </x:c>
      <x:c r="M174" s="26" t="n">
        <x:v>10</x:v>
      </x:c>
      <x:c r="N174" s="26" t="n">
        <x:v>0</x:v>
      </x:c>
      <x:c r="O174" s="26" t="n">
        <x:f>MAX(M174-N174,0)</x:f>
        <x:v>10</x:v>
      </x:c>
      <x:c r="P174" s="38" t="n">
        <x:f>IFERROR(N174/M174,0)</x:f>
        <x:v>0</x:v>
      </x:c>
      <x:c r="Q174" s="26" t="str">
        <x:v>Material/Assets/Equipment</x:v>
      </x:c>
      <x:c r="R174" s="26" t="str">
        <x:v>ECCE Equipment</x:v>
      </x:c>
      <x:c r="S174" s="26" t="str">
        <x:v>Minor</x:v>
      </x:c>
      <x:c r="T174" s="26"/>
      <x:c r="U174" s="26"/>
      <x:c r="V174" s="26"/>
      <x:c r="W174" s="32"/>
      <x:c r="X174" s="27" t="b">
        <x:v>1</x:v>
      </x:c>
      <x:c r="Y174" s="34" t="n">
        <x:v>46220.017175925925</x:v>
      </x:c>
      <x:c r="Z174" s="26"/>
      <x:c r="AA174" s="26" t="str">
        <x:v>Lambadpally (36701020620)</x:v>
      </x:c>
      <x:c r="AB174" s="26" t="str">
        <x:v>Enriched from Mulugu project JSON</x:v>
      </x:c>
    </x:row>
    <x:row r="175">
      <x:c r="A175" s="26" t="n">
        <x:v>172</x:v>
      </x:c>
      <x:c r="B175" s="26" t="n">
        <x:v>268</x:v>
      </x:c>
      <x:c r="C175" s="26" t="str">
        <x:v>Mulugu</x:v>
      </x:c>
      <x:c r="D175" s="26" t="n">
        <x:v>11841</x:v>
      </x:c>
      <x:c r="E175" s="26" t="str">
        <x:v>PRJ-2026-0011841</x:v>
      </x:c>
      <x:c r="F175" s="26" t="str">
        <x:v>AWC  Lambadipally</x:v>
      </x:c>
      <x:c r="G175" s="26" t="n">
        <x:v>753</x:v>
      </x:c>
      <x:c r="H175" s="26" t="n">
        <x:v>46166</x:v>
      </x:c>
      <x:c r="I175" s="26" t="str">
        <x:v>Games</x:v>
      </x:c>
      <x:c r="J175" s="26" t="str">
        <x:v>Number</x:v>
      </x:c>
      <x:c r="K175" s="26" t="n">
        <x:v>10</x:v>
      </x:c>
      <x:c r="L175" s="26" t="n">
        <x:v>10</x:v>
      </x:c>
      <x:c r="M175" s="26" t="n">
        <x:v>10</x:v>
      </x:c>
      <x:c r="N175" s="26" t="n">
        <x:v>0</x:v>
      </x:c>
      <x:c r="O175" s="26" t="n">
        <x:f>MAX(M175-N175,0)</x:f>
        <x:v>10</x:v>
      </x:c>
      <x:c r="P175" s="38" t="n">
        <x:f>IFERROR(N175/M175,0)</x:f>
        <x:v>0</x:v>
      </x:c>
      <x:c r="Q175" s="26" t="str">
        <x:v>Material/Assets/Equipment</x:v>
      </x:c>
      <x:c r="R175" s="26" t="str">
        <x:v>ECCE Equipment</x:v>
      </x:c>
      <x:c r="S175" s="26" t="str">
        <x:v>Minor</x:v>
      </x:c>
      <x:c r="T175" s="26"/>
      <x:c r="U175" s="26"/>
      <x:c r="V175" s="26"/>
      <x:c r="W175" s="32"/>
      <x:c r="X175" s="27" t="b">
        <x:v>1</x:v>
      </x:c>
      <x:c r="Y175" s="34" t="n">
        <x:v>46220.017175925925</x:v>
      </x:c>
      <x:c r="Z175" s="26"/>
      <x:c r="AA175" s="26" t="str">
        <x:v>Lambadpally (36701020620)</x:v>
      </x:c>
      <x:c r="AB175" s="26" t="str">
        <x:v>Enriched from Mulugu project JSON</x:v>
      </x:c>
    </x:row>
    <x:row r="176">
      <x:c r="A176" s="26" t="n">
        <x:v>173</x:v>
      </x:c>
      <x:c r="B176" s="26" t="n">
        <x:v>268</x:v>
      </x:c>
      <x:c r="C176" s="26" t="str">
        <x:v>Mulugu</x:v>
      </x:c>
      <x:c r="D176" s="26" t="n">
        <x:v>11841</x:v>
      </x:c>
      <x:c r="E176" s="26" t="str">
        <x:v>PRJ-2026-0011841</x:v>
      </x:c>
      <x:c r="F176" s="26" t="str">
        <x:v>AWC  Lambadipally</x:v>
      </x:c>
      <x:c r="G176" s="26" t="n">
        <x:v>754</x:v>
      </x:c>
      <x:c r="H176" s="26" t="n">
        <x:v>46167</x:v>
      </x:c>
      <x:c r="I176" s="26" t="str">
        <x:v>Tube Lights</x:v>
      </x:c>
      <x:c r="J176" s="26" t="str">
        <x:v>Number</x:v>
      </x:c>
      <x:c r="K176" s="26" t="n">
        <x:v>2</x:v>
      </x:c>
      <x:c r="L176" s="26" t="n">
        <x:v>2</x:v>
      </x:c>
      <x:c r="M176" s="26" t="n">
        <x:v>2</x:v>
      </x:c>
      <x:c r="N176" s="26" t="n">
        <x:v>0</x:v>
      </x:c>
      <x:c r="O176" s="26" t="n">
        <x:f>MAX(M176-N176,0)</x:f>
        <x:v>2</x:v>
      </x:c>
      <x:c r="P176" s="38" t="n">
        <x:f>IFERROR(N176/M176,0)</x:f>
        <x:v>0</x:v>
      </x:c>
      <x:c r="Q176" s="26" t="str">
        <x:v>Material/Assets/Equipment</x:v>
      </x:c>
      <x:c r="R176" s="26" t="str">
        <x:v>Electrical Infrastructure</x:v>
      </x:c>
      <x:c r="S176" s="26" t="str">
        <x:v>Medium</x:v>
      </x:c>
      <x:c r="T176" s="26"/>
      <x:c r="U176" s="26"/>
      <x:c r="V176" s="26"/>
      <x:c r="W176" s="32"/>
      <x:c r="X176" s="27" t="b">
        <x:v>1</x:v>
      </x:c>
      <x:c r="Y176" s="34" t="n">
        <x:v>46220.017175925925</x:v>
      </x:c>
      <x:c r="Z176" s="26"/>
      <x:c r="AA176" s="26" t="str">
        <x:v>Lambadpally (36701020620)</x:v>
      </x:c>
      <x:c r="AB176" s="26" t="str">
        <x:v>Enriched from Mulugu project JSON</x:v>
      </x:c>
    </x:row>
    <x:row r="177">
      <x:c r="A177" s="26" t="n">
        <x:v>174</x:v>
      </x:c>
      <x:c r="B177" s="26" t="n">
        <x:v>268</x:v>
      </x:c>
      <x:c r="C177" s="26" t="str">
        <x:v>Mulugu</x:v>
      </x:c>
      <x:c r="D177" s="26" t="n">
        <x:v>11841</x:v>
      </x:c>
      <x:c r="E177" s="26" t="str">
        <x:v>PRJ-2026-0011841</x:v>
      </x:c>
      <x:c r="F177" s="26" t="str">
        <x:v>AWC  Lambadipally</x:v>
      </x:c>
      <x:c r="G177" s="26" t="n">
        <x:v>755</x:v>
      </x:c>
      <x:c r="H177" s="26" t="n">
        <x:v>46168</x:v>
      </x:c>
      <x:c r="I177" s="26" t="str">
        <x:v>Cooking Equipments</x:v>
      </x:c>
      <x:c r="J177" s="26" t="str">
        <x:v>Number</x:v>
      </x:c>
      <x:c r="K177" s="26" t="n">
        <x:v>1</x:v>
      </x:c>
      <x:c r="L177" s="26" t="n">
        <x:v>1</x:v>
      </x:c>
      <x:c r="M177" s="26" t="n">
        <x:v>1</x:v>
      </x:c>
      <x:c r="N177" s="26" t="n">
        <x:v>0</x:v>
      </x:c>
      <x:c r="O177" s="26" t="n">
        <x:f>MAX(M177-N177,0)</x:f>
        <x:v>1</x:v>
      </x:c>
      <x:c r="P177" s="38" t="n">
        <x:f>IFERROR(N177/M177,0)</x:f>
        <x:v>0</x:v>
      </x:c>
      <x:c r="Q177" s="26" t="str">
        <x:v>Material/Assets/Equipment</x:v>
      </x:c>
      <x:c r="R177" s="26" t="str">
        <x:v>Electrical Infrastructure</x:v>
      </x:c>
      <x:c r="S177" s="26" t="str">
        <x:v>Medium</x:v>
      </x:c>
      <x:c r="T177" s="26"/>
      <x:c r="U177" s="26"/>
      <x:c r="V177" s="26"/>
      <x:c r="W177" s="32"/>
      <x:c r="X177" s="27" t="b">
        <x:v>1</x:v>
      </x:c>
      <x:c r="Y177" s="34" t="n">
        <x:v>46220.017175925925</x:v>
      </x:c>
      <x:c r="Z177" s="26"/>
      <x:c r="AA177" s="26" t="str">
        <x:v>Lambadpally (36701020620)</x:v>
      </x:c>
      <x:c r="AB177" s="26" t="str">
        <x:v>Enriched from Mulugu project JSON</x:v>
      </x:c>
    </x:row>
    <x:row r="178">
      <x:c r="A178" s="26" t="n">
        <x:v>175</x:v>
      </x:c>
      <x:c r="B178" s="26" t="n">
        <x:v>268</x:v>
      </x:c>
      <x:c r="C178" s="26" t="str">
        <x:v>Mulugu</x:v>
      </x:c>
      <x:c r="D178" s="26" t="n">
        <x:v>11841</x:v>
      </x:c>
      <x:c r="E178" s="26" t="str">
        <x:v>PRJ-2026-0011841</x:v>
      </x:c>
      <x:c r="F178" s="26" t="str">
        <x:v>AWC  Lambadipally</x:v>
      </x:c>
      <x:c r="G178" s="26" t="n">
        <x:v>756</x:v>
      </x:c>
      <x:c r="H178" s="26" t="n">
        <x:v>46169</x:v>
      </x:c>
      <x:c r="I178" s="26" t="str">
        <x:v>Water Purifier</x:v>
      </x:c>
      <x:c r="J178" s="26" t="str">
        <x:v>Number</x:v>
      </x:c>
      <x:c r="K178" s="26" t="n">
        <x:v>1</x:v>
      </x:c>
      <x:c r="L178" s="26" t="n">
        <x:v>1</x:v>
      </x:c>
      <x:c r="M178" s="26" t="n">
        <x:v>1</x:v>
      </x:c>
      <x:c r="N178" s="26" t="n">
        <x:v>0</x:v>
      </x:c>
      <x:c r="O178" s="26" t="n">
        <x:f>MAX(M178-N178,0)</x:f>
        <x:v>1</x:v>
      </x:c>
      <x:c r="P178" s="38" t="n">
        <x:f>IFERROR(N178/M178,0)</x:f>
        <x:v>0</x:v>
      </x:c>
      <x:c r="Q178" s="26" t="str">
        <x:v>Material/Assets/Equipment</x:v>
      </x:c>
      <x:c r="R178" s="26" t="str">
        <x:v>Health and Safety aids</x:v>
      </x:c>
      <x:c r="S178" s="26" t="str">
        <x:v>Minor</x:v>
      </x:c>
      <x:c r="T178" s="26"/>
      <x:c r="U178" s="26"/>
      <x:c r="V178" s="26"/>
      <x:c r="W178" s="32"/>
      <x:c r="X178" s="27" t="b">
        <x:v>1</x:v>
      </x:c>
      <x:c r="Y178" s="34" t="n">
        <x:v>46220.017175925925</x:v>
      </x:c>
      <x:c r="Z178" s="26"/>
      <x:c r="AA178" s="26" t="str">
        <x:v>Lambadpally (36701020620)</x:v>
      </x:c>
      <x:c r="AB178" s="26" t="str">
        <x:v>Enriched from Mulugu project JSON</x:v>
      </x:c>
    </x:row>
    <x:row r="179">
      <x:c r="A179" s="26" t="n">
        <x:v>176</x:v>
      </x:c>
      <x:c r="B179" s="26" t="n">
        <x:v>268</x:v>
      </x:c>
      <x:c r="C179" s="26" t="str">
        <x:v>Mulugu</x:v>
      </x:c>
      <x:c r="D179" s="26" t="n">
        <x:v>11841</x:v>
      </x:c>
      <x:c r="E179" s="26" t="str">
        <x:v>PRJ-2026-0011841</x:v>
      </x:c>
      <x:c r="F179" s="26" t="str">
        <x:v>AWC  Lambadipally</x:v>
      </x:c>
      <x:c r="G179" s="26" t="n">
        <x:v>757</x:v>
      </x:c>
      <x:c r="H179" s="26" t="n">
        <x:v>46170</x:v>
      </x:c>
      <x:c r="I179" s="26" t="str">
        <x:v>Chairs</x:v>
      </x:c>
      <x:c r="J179" s="26" t="str">
        <x:v>Number</x:v>
      </x:c>
      <x:c r="K179" s="26" t="n">
        <x:v>3</x:v>
      </x:c>
      <x:c r="L179" s="26" t="n">
        <x:v>3</x:v>
      </x:c>
      <x:c r="M179" s="26" t="n">
        <x:v>3</x:v>
      </x:c>
      <x:c r="N179" s="26" t="n">
        <x:v>0</x:v>
      </x:c>
      <x:c r="O179" s="26" t="n">
        <x:f>MAX(M179-N179,0)</x:f>
        <x:v>3</x:v>
      </x:c>
      <x:c r="P179" s="38" t="n">
        <x:f>IFERROR(N179/M179,0)</x:f>
        <x:v>0</x:v>
      </x:c>
      <x:c r="Q179" s="26" t="str">
        <x:v>Material/Assets/Equipment</x:v>
      </x:c>
      <x:c r="R179" s="26" t="str">
        <x:v>Office Needs</x:v>
      </x:c>
      <x:c r="S179" s="26" t="str">
        <x:v>Minor</x:v>
      </x:c>
      <x:c r="T179" s="26"/>
      <x:c r="U179" s="26"/>
      <x:c r="V179" s="26"/>
      <x:c r="W179" s="32"/>
      <x:c r="X179" s="27" t="b">
        <x:v>1</x:v>
      </x:c>
      <x:c r="Y179" s="34" t="n">
        <x:v>46220.017175925925</x:v>
      </x:c>
      <x:c r="Z179" s="26"/>
      <x:c r="AA179" s="26" t="str">
        <x:v>Lambadpally (36701020620)</x:v>
      </x:c>
      <x:c r="AB179" s="26" t="str">
        <x:v>Enriched from Mulugu project JSON</x:v>
      </x:c>
    </x:row>
    <x:row r="180">
      <x:c r="A180" s="26" t="n">
        <x:v>177</x:v>
      </x:c>
      <x:c r="B180" s="26" t="n">
        <x:v>266</x:v>
      </x:c>
      <x:c r="C180" s="26" t="str">
        <x:v>Mulugu</x:v>
      </x:c>
      <x:c r="D180" s="26" t="n">
        <x:v>13054</x:v>
      </x:c>
      <x:c r="E180" s="26" t="str">
        <x:v>PRJ-2026-0013054</x:v>
      </x:c>
      <x:c r="F180" s="26" t="str">
        <x:v>AWC Infrastructure</x:v>
      </x:c>
      <x:c r="G180" s="26" t="n">
        <x:v>749</x:v>
      </x:c>
      <x:c r="H180" s="26" t="n">
        <x:v>52152</x:v>
      </x:c>
      <x:c r="I180" s="26" t="str">
        <x:v>Smart devices</x:v>
      </x:c>
      <x:c r="J180" s="26" t="str">
        <x:v>Number</x:v>
      </x:c>
      <x:c r="K180" s="26" t="n">
        <x:v>1</x:v>
      </x:c>
      <x:c r="L180" s="26" t="n">
        <x:v>1</x:v>
      </x:c>
      <x:c r="M180" s="26" t="n">
        <x:v>1</x:v>
      </x:c>
      <x:c r="N180" s="26" t="n">
        <x:v>0</x:v>
      </x:c>
      <x:c r="O180" s="26" t="n">
        <x:f>MAX(M180-N180,0)</x:f>
        <x:v>1</x:v>
      </x:c>
      <x:c r="P180" s="38" t="n">
        <x:f>IFERROR(N180/M180,0)</x:f>
        <x:v>0</x:v>
      </x:c>
      <x:c r="Q180" s="26" t="str">
        <x:v>Material/Assets/Equipment</x:v>
      </x:c>
      <x:c r="R180" s="26" t="str">
        <x:v>Digital Infrastructure</x:v>
      </x:c>
      <x:c r="S180" s="26" t="str">
        <x:v>Medium</x:v>
      </x:c>
      <x:c r="T180" s="26"/>
      <x:c r="U180" s="26"/>
      <x:c r="V180" s="26"/>
      <x:c r="W180" s="32"/>
      <x:c r="X180" s="27" t="b">
        <x:v>1</x:v>
      </x:c>
      <x:c r="Y180" s="34" t="n">
        <x:v>46220.017164351855</x:v>
      </x:c>
      <x:c r="Z180" s="26"/>
      <x:c r="AA180" s="26" t="str">
        <x:v>Churchipeta (Mini) (36701040619)</x:v>
      </x:c>
      <x:c r="AB180" s="26" t="str">
        <x:v>Enriched from Mulugu project JSON</x:v>
      </x:c>
    </x:row>
    <x:row r="181">
      <x:c r="A181" s="26" t="n">
        <x:v>178</x:v>
      </x:c>
      <x:c r="B181" s="26" t="n">
        <x:v>266</x:v>
      </x:c>
      <x:c r="C181" s="26" t="str">
        <x:v>Mulugu</x:v>
      </x:c>
      <x:c r="D181" s="26" t="n">
        <x:v>13054</x:v>
      </x:c>
      <x:c r="E181" s="26" t="str">
        <x:v>PRJ-2026-0013054</x:v>
      </x:c>
      <x:c r="F181" s="26" t="str">
        <x:v>AWC Infrastructure</x:v>
      </x:c>
      <x:c r="G181" s="26" t="n">
        <x:v>750</x:v>
      </x:c>
      <x:c r="H181" s="26" t="n">
        <x:v>52153</x:v>
      </x:c>
      <x:c r="I181" s="26" t="str">
        <x:v>Water Purifier</x:v>
      </x:c>
      <x:c r="J181" s="26" t="str">
        <x:v>Number</x:v>
      </x:c>
      <x:c r="K181" s="26" t="n">
        <x:v>1</x:v>
      </x:c>
      <x:c r="L181" s="26" t="n">
        <x:v>1</x:v>
      </x:c>
      <x:c r="M181" s="26" t="n">
        <x:v>1</x:v>
      </x:c>
      <x:c r="N181" s="26" t="n">
        <x:v>0</x:v>
      </x:c>
      <x:c r="O181" s="26" t="n">
        <x:f>MAX(M181-N181,0)</x:f>
        <x:v>1</x:v>
      </x:c>
      <x:c r="P181" s="38" t="n">
        <x:f>IFERROR(N181/M181,0)</x:f>
        <x:v>0</x:v>
      </x:c>
      <x:c r="Q181" s="26" t="str">
        <x:v>Material/Assets/Equipment</x:v>
      </x:c>
      <x:c r="R181" s="26" t="str">
        <x:v>Health and Safety aids</x:v>
      </x:c>
      <x:c r="S181" s="26" t="str">
        <x:v>Minor</x:v>
      </x:c>
      <x:c r="T181" s="26"/>
      <x:c r="U181" s="26"/>
      <x:c r="V181" s="26"/>
      <x:c r="W181" s="32"/>
      <x:c r="X181" s="27" t="b">
        <x:v>1</x:v>
      </x:c>
      <x:c r="Y181" s="34" t="n">
        <x:v>46220.017164351855</x:v>
      </x:c>
      <x:c r="Z181" s="26"/>
      <x:c r="AA181" s="26" t="str">
        <x:v>Churchipeta (Mini) (36701040619)</x:v>
      </x:c>
      <x:c r="AB181" s="26" t="str">
        <x:v>Enriched from Mulugu project JSON</x:v>
      </x:c>
    </x:row>
    <x:row r="182">
      <x:c r="A182" s="26" t="n">
        <x:v>179</x:v>
      </x:c>
      <x:c r="B182" s="26" t="n">
        <x:v>267</x:v>
      </x:c>
      <x:c r="C182" s="26" t="str">
        <x:v>Mulugu</x:v>
      </x:c>
      <x:c r="D182" s="26" t="n">
        <x:v>13051</x:v>
      </x:c>
      <x:c r="E182" s="26" t="str">
        <x:v>PRJ-2026-0013051</x:v>
      </x:c>
      <x:c r="F182" s="26" t="str">
        <x:v>AWC Infrastructure</x:v>
      </x:c>
      <x:c r="G182" s="26" t="n">
        <x:v>751</x:v>
      </x:c>
      <x:c r="H182" s="26" t="n">
        <x:v>52148</x:v>
      </x:c>
      <x:c r="I182" s="26" t="str">
        <x:v>Rainwater Harvesting</x:v>
      </x:c>
      <x:c r="J182" s="26" t="str">
        <x:v>Sq. Feet</x:v>
      </x:c>
      <x:c r="K182" s="26" t="n">
        <x:v>1</x:v>
      </x:c>
      <x:c r="L182" s="26" t="n">
        <x:v>1</x:v>
      </x:c>
      <x:c r="M182" s="26" t="n">
        <x:v>1</x:v>
      </x:c>
      <x:c r="N182" s="26" t="n">
        <x:v>0</x:v>
      </x:c>
      <x:c r="O182" s="26" t="n">
        <x:f>MAX(M182-N182,0)</x:f>
        <x:v>1</x:v>
      </x:c>
      <x:c r="P182" s="38" t="n">
        <x:f>IFERROR(N182/M182,0)</x:f>
        <x:v>0</x:v>
      </x:c>
      <x:c r="Q182" s="26" t="str">
        <x:v>Material/Assets/Equipment</x:v>
      </x:c>
      <x:c r="R182" s="26" t="str">
        <x:v>Civil Infrastructure</x:v>
      </x:c>
      <x:c r="S182" s="26" t="str">
        <x:v>Complex</x:v>
      </x:c>
      <x:c r="T182" s="26"/>
      <x:c r="U182" s="26"/>
      <x:c r="V182" s="26"/>
      <x:c r="W182" s="32"/>
      <x:c r="X182" s="27" t="b">
        <x:v>1</x:v>
      </x:c>
      <x:c r="Y182" s="34" t="n">
        <x:v>46220.017164351855</x:v>
      </x:c>
      <x:c r="Z182" s="26"/>
      <x:c r="AA182" s="26" t="str">
        <x:v>Jakkulavaari veedhi (36701040616)</x:v>
      </x:c>
      <x:c r="AB182" s="26" t="str">
        <x:v>Enriched from Mulugu project JSON</x:v>
      </x:c>
    </x:row>
    <x:row r="183">
      <x:c r="A183" s="26" t="n">
        <x:v>180</x:v>
      </x:c>
      <x:c r="B183" s="26" t="n">
        <x:v>264</x:v>
      </x:c>
      <x:c r="C183" s="26" t="str">
        <x:v>Mulugu</x:v>
      </x:c>
      <x:c r="D183" s="26" t="n">
        <x:v>13066</x:v>
      </x:c>
      <x:c r="E183" s="26" t="str">
        <x:v>PRJ-2026-0013066</x:v>
      </x:c>
      <x:c r="F183" s="26" t="str">
        <x:v>AWC Infrastructure</x:v>
      </x:c>
      <x:c r="G183" s="26" t="n">
        <x:v>747</x:v>
      </x:c>
      <x:c r="H183" s="26" t="n">
        <x:v>52181</x:v>
      </x:c>
      <x:c r="I183" s="26" t="str">
        <x:v>Rainwater Harvesting</x:v>
      </x:c>
      <x:c r="J183" s="26" t="str">
        <x:v>Sq. Feet</x:v>
      </x:c>
      <x:c r="K183" s="26" t="n">
        <x:v>1</x:v>
      </x:c>
      <x:c r="L183" s="26" t="n">
        <x:v>1</x:v>
      </x:c>
      <x:c r="M183" s="26" t="n">
        <x:v>1</x:v>
      </x:c>
      <x:c r="N183" s="26" t="n">
        <x:v>0</x:v>
      </x:c>
      <x:c r="O183" s="26" t="n">
        <x:f>MAX(M183-N183,0)</x:f>
        <x:v>1</x:v>
      </x:c>
      <x:c r="P183" s="38" t="n">
        <x:f>IFERROR(N183/M183,0)</x:f>
        <x:v>0</x:v>
      </x:c>
      <x:c r="Q183" s="26" t="str">
        <x:v>Material/Assets/Equipment</x:v>
      </x:c>
      <x:c r="R183" s="26" t="str">
        <x:v>Civil Infrastructure</x:v>
      </x:c>
      <x:c r="S183" s="26" t="str">
        <x:v>Complex</x:v>
      </x:c>
      <x:c r="T183" s="26"/>
      <x:c r="U183" s="26"/>
      <x:c r="V183" s="26"/>
      <x:c r="W183" s="32"/>
      <x:c r="X183" s="27" t="b">
        <x:v>1</x:v>
      </x:c>
      <x:c r="Y183" s="34" t="n">
        <x:v>46220.01715277778</x:v>
      </x:c>
      <x:c r="Z183" s="26"/>
      <x:c r="AA183" s="26" t="str">
        <x:v>BC Marrigudem (Mini) (36701040624)</x:v>
      </x:c>
      <x:c r="AB183" s="26" t="str">
        <x:v>Enriched from Mulugu project JSON</x:v>
      </x:c>
    </x:row>
    <x:row r="184">
      <x:c r="A184" s="26" t="n">
        <x:v>181</x:v>
      </x:c>
      <x:c r="B184" s="26" t="n">
        <x:v>265</x:v>
      </x:c>
      <x:c r="C184" s="26" t="str">
        <x:v>Mulugu</x:v>
      </x:c>
      <x:c r="D184" s="26" t="n">
        <x:v>13063</x:v>
      </x:c>
      <x:c r="E184" s="26" t="str">
        <x:v>PRJ-2026-0013063</x:v>
      </x:c>
      <x:c r="F184" s="26" t="str">
        <x:v>AWC Infrastructure</x:v>
      </x:c>
      <x:c r="G184" s="26" t="n">
        <x:v>748</x:v>
      </x:c>
      <x:c r="H184" s="26" t="n">
        <x:v>52175</x:v>
      </x:c>
      <x:c r="I184" s="26" t="str">
        <x:v>Kitchen</x:v>
      </x:c>
      <x:c r="J184" s="26" t="str">
        <x:v>Sq. Feet</x:v>
      </x:c>
      <x:c r="K184" s="26" t="n">
        <x:v>1</x:v>
      </x:c>
      <x:c r="L184" s="26" t="n">
        <x:v>1</x:v>
      </x:c>
      <x:c r="M184" s="26" t="n">
        <x:v>1</x:v>
      </x:c>
      <x:c r="N184" s="26" t="n">
        <x:v>0</x:v>
      </x:c>
      <x:c r="O184" s="26" t="n">
        <x:f>MAX(M184-N184,0)</x:f>
        <x:v>1</x:v>
      </x:c>
      <x:c r="P184" s="38" t="n">
        <x:f>IFERROR(N184/M184,0)</x:f>
        <x:v>0</x:v>
      </x:c>
      <x:c r="Q184" s="26" t="str">
        <x:v>Material/Assets/Equipment</x:v>
      </x:c>
      <x:c r="R184" s="26" t="str">
        <x:v>Civil Infrastructure</x:v>
      </x:c>
      <x:c r="S184" s="26" t="str">
        <x:v>Complex</x:v>
      </x:c>
      <x:c r="T184" s="26"/>
      <x:c r="U184" s="26"/>
      <x:c r="V184" s="26"/>
      <x:c r="W184" s="32"/>
      <x:c r="X184" s="27" t="b">
        <x:v>1</x:v>
      </x:c>
      <x:c r="Y184" s="34" t="n">
        <x:v>46220.01715277778</x:v>
      </x:c>
      <x:c r="Z184" s="26"/>
      <x:c r="AA184" s="26" t="str">
        <x:v>Chokkala-1 (36701040623)</x:v>
      </x:c>
      <x:c r="AB184" s="26" t="str">
        <x:v>Enriched from Mulugu project JSON</x:v>
      </x:c>
    </x:row>
    <x:row r="185">
      <x:c r="A185" s="26" t="n">
        <x:v>182</x:v>
      </x:c>
      <x:c r="B185" s="26" t="n">
        <x:v>263</x:v>
      </x:c>
      <x:c r="C185" s="26" t="str">
        <x:v>Mulugu</x:v>
      </x:c>
      <x:c r="D185" s="26" t="n">
        <x:v>13084</x:v>
      </x:c>
      <x:c r="E185" s="26" t="str">
        <x:v>PRJ-2026-0013084</x:v>
      </x:c>
      <x:c r="F185" s="26" t="str">
        <x:v>AWC Porkapally</x:v>
      </x:c>
      <x:c r="G185" s="26" t="n">
        <x:v>739</x:v>
      </x:c>
      <x:c r="H185" s="26" t="n">
        <x:v>52234</x:v>
      </x:c>
      <x:c r="I185" s="26" t="str">
        <x:v>Toys</x:v>
      </x:c>
      <x:c r="J185" s="26" t="str">
        <x:v>Number</x:v>
      </x:c>
      <x:c r="K185" s="26" t="n">
        <x:v>10</x:v>
      </x:c>
      <x:c r="L185" s="26" t="n">
        <x:v>10</x:v>
      </x:c>
      <x:c r="M185" s="26" t="n">
        <x:v>10</x:v>
      </x:c>
      <x:c r="N185" s="26" t="n">
        <x:v>0</x:v>
      </x:c>
      <x:c r="O185" s="26" t="n">
        <x:f>MAX(M185-N185,0)</x:f>
        <x:v>10</x:v>
      </x:c>
      <x:c r="P185" s="38" t="n">
        <x:f>IFERROR(N185/M185,0)</x:f>
        <x:v>0</x:v>
      </x:c>
      <x:c r="Q185" s="26" t="str">
        <x:v>Material/Assets/Equipment</x:v>
      </x:c>
      <x:c r="R185" s="26" t="str">
        <x:v>ECCE Equipment</x:v>
      </x:c>
      <x:c r="S185" s="26" t="str">
        <x:v>Minor</x:v>
      </x:c>
      <x:c r="T185" s="26"/>
      <x:c r="U185" s="26"/>
      <x:c r="V185" s="26"/>
      <x:c r="W185" s="32"/>
      <x:c r="X185" s="27" t="b">
        <x:v>1</x:v>
      </x:c>
      <x:c r="Y185" s="34" t="n">
        <x:v>46220.0171412037</x:v>
      </x:c>
      <x:c r="Z185" s="26"/>
      <x:c r="AA185" s="26" t="str">
        <x:v>Porkapally (36701020611)</x:v>
      </x:c>
      <x:c r="AB185" s="26" t="str">
        <x:v>Enriched from Mulugu project JSON</x:v>
      </x:c>
    </x:row>
    <x:row r="186">
      <x:c r="A186" s="26" t="n">
        <x:v>183</x:v>
      </x:c>
      <x:c r="B186" s="26" t="n">
        <x:v>263</x:v>
      </x:c>
      <x:c r="C186" s="26" t="str">
        <x:v>Mulugu</x:v>
      </x:c>
      <x:c r="D186" s="26" t="n">
        <x:v>13084</x:v>
      </x:c>
      <x:c r="E186" s="26" t="str">
        <x:v>PRJ-2026-0013084</x:v>
      </x:c>
      <x:c r="F186" s="26" t="str">
        <x:v>AWC Porkapally</x:v>
      </x:c>
      <x:c r="G186" s="26" t="n">
        <x:v>740</x:v>
      </x:c>
      <x:c r="H186" s="26" t="n">
        <x:v>52235</x:v>
      </x:c>
      <x:c r="I186" s="26" t="str">
        <x:v>Games</x:v>
      </x:c>
      <x:c r="J186" s="26" t="str">
        <x:v>Number</x:v>
      </x:c>
      <x:c r="K186" s="26" t="n">
        <x:v>10</x:v>
      </x:c>
      <x:c r="L186" s="26" t="n">
        <x:v>10</x:v>
      </x:c>
      <x:c r="M186" s="26" t="n">
        <x:v>10</x:v>
      </x:c>
      <x:c r="N186" s="26" t="n">
        <x:v>0</x:v>
      </x:c>
      <x:c r="O186" s="26" t="n">
        <x:f>MAX(M186-N186,0)</x:f>
        <x:v>10</x:v>
      </x:c>
      <x:c r="P186" s="38" t="n">
        <x:f>IFERROR(N186/M186,0)</x:f>
        <x:v>0</x:v>
      </x:c>
      <x:c r="Q186" s="26" t="str">
        <x:v>Material/Assets/Equipment</x:v>
      </x:c>
      <x:c r="R186" s="26" t="str">
        <x:v>ECCE Equipment</x:v>
      </x:c>
      <x:c r="S186" s="26" t="str">
        <x:v>Minor</x:v>
      </x:c>
      <x:c r="T186" s="26"/>
      <x:c r="U186" s="26"/>
      <x:c r="V186" s="26"/>
      <x:c r="W186" s="32"/>
      <x:c r="X186" s="27" t="b">
        <x:v>1</x:v>
      </x:c>
      <x:c r="Y186" s="34" t="n">
        <x:v>46220.0171412037</x:v>
      </x:c>
      <x:c r="Z186" s="26"/>
      <x:c r="AA186" s="26" t="str">
        <x:v>Porkapally (36701020611)</x:v>
      </x:c>
      <x:c r="AB186" s="26" t="str">
        <x:v>Enriched from Mulugu project JSON</x:v>
      </x:c>
    </x:row>
    <x:row r="187">
      <x:c r="A187" s="26" t="n">
        <x:v>184</x:v>
      </x:c>
      <x:c r="B187" s="26" t="n">
        <x:v>263</x:v>
      </x:c>
      <x:c r="C187" s="26" t="str">
        <x:v>Mulugu</x:v>
      </x:c>
      <x:c r="D187" s="26" t="n">
        <x:v>13084</x:v>
      </x:c>
      <x:c r="E187" s="26" t="str">
        <x:v>PRJ-2026-0013084</x:v>
      </x:c>
      <x:c r="F187" s="26" t="str">
        <x:v>AWC Porkapally</x:v>
      </x:c>
      <x:c r="G187" s="26" t="n">
        <x:v>741</x:v>
      </x:c>
      <x:c r="H187" s="26" t="n">
        <x:v>52236</x:v>
      </x:c>
      <x:c r="I187" s="26" t="str">
        <x:v>Chairs/Benches</x:v>
      </x:c>
      <x:c r="J187" s="26" t="str">
        <x:v>Number</x:v>
      </x:c>
      <x:c r="K187" s="26" t="n">
        <x:v>10</x:v>
      </x:c>
      <x:c r="L187" s="26" t="n">
        <x:v>10</x:v>
      </x:c>
      <x:c r="M187" s="26" t="n">
        <x:v>10</x:v>
      </x:c>
      <x:c r="N187" s="26" t="n">
        <x:v>0</x:v>
      </x:c>
      <x:c r="O187" s="26" t="n">
        <x:f>MAX(M187-N187,0)</x:f>
        <x:v>10</x:v>
      </x:c>
      <x:c r="P187" s="38" t="n">
        <x:f>IFERROR(N187/M187,0)</x:f>
        <x:v>0</x:v>
      </x:c>
      <x:c r="Q187" s="26" t="str">
        <x:v>Material/Assets/Equipment</x:v>
      </x:c>
      <x:c r="R187" s="26" t="str">
        <x:v>Educational Needs</x:v>
      </x:c>
      <x:c r="S187" s="26" t="str">
        <x:v>Minor</x:v>
      </x:c>
      <x:c r="T187" s="26"/>
      <x:c r="U187" s="26"/>
      <x:c r="V187" s="26"/>
      <x:c r="W187" s="32"/>
      <x:c r="X187" s="27" t="b">
        <x:v>1</x:v>
      </x:c>
      <x:c r="Y187" s="34" t="n">
        <x:v>46220.0171412037</x:v>
      </x:c>
      <x:c r="Z187" s="26"/>
      <x:c r="AA187" s="26" t="str">
        <x:v>Porkapally (36701020611)</x:v>
      </x:c>
      <x:c r="AB187" s="26" t="str">
        <x:v>Enriched from Mulugu project JSON</x:v>
      </x:c>
    </x:row>
    <x:row r="188">
      <x:c r="A188" s="26" t="n">
        <x:v>185</x:v>
      </x:c>
      <x:c r="B188" s="26" t="n">
        <x:v>263</x:v>
      </x:c>
      <x:c r="C188" s="26" t="str">
        <x:v>Mulugu</x:v>
      </x:c>
      <x:c r="D188" s="26" t="n">
        <x:v>13084</x:v>
      </x:c>
      <x:c r="E188" s="26" t="str">
        <x:v>PRJ-2026-0013084</x:v>
      </x:c>
      <x:c r="F188" s="26" t="str">
        <x:v>AWC Porkapally</x:v>
      </x:c>
      <x:c r="G188" s="26" t="n">
        <x:v>742</x:v>
      </x:c>
      <x:c r="H188" s="26" t="n">
        <x:v>52237</x:v>
      </x:c>
      <x:c r="I188" s="26" t="str">
        <x:v>Tube Lights</x:v>
      </x:c>
      <x:c r="J188" s="26" t="str">
        <x:v>Number</x:v>
      </x:c>
      <x:c r="K188" s="26" t="n">
        <x:v>2</x:v>
      </x:c>
      <x:c r="L188" s="26" t="n">
        <x:v>2</x:v>
      </x:c>
      <x:c r="M188" s="26" t="n">
        <x:v>2</x:v>
      </x:c>
      <x:c r="N188" s="26" t="n">
        <x:v>0</x:v>
      </x:c>
      <x:c r="O188" s="26" t="n">
        <x:f>MAX(M188-N188,0)</x:f>
        <x:v>2</x:v>
      </x:c>
      <x:c r="P188" s="38" t="n">
        <x:f>IFERROR(N188/M188,0)</x:f>
        <x:v>0</x:v>
      </x:c>
      <x:c r="Q188" s="26" t="str">
        <x:v>Material/Assets/Equipment</x:v>
      </x:c>
      <x:c r="R188" s="26" t="str">
        <x:v>Electrical Infrastructure</x:v>
      </x:c>
      <x:c r="S188" s="26" t="str">
        <x:v>Medium</x:v>
      </x:c>
      <x:c r="T188" s="26"/>
      <x:c r="U188" s="26"/>
      <x:c r="V188" s="26"/>
      <x:c r="W188" s="32"/>
      <x:c r="X188" s="27" t="b">
        <x:v>1</x:v>
      </x:c>
      <x:c r="Y188" s="34" t="n">
        <x:v>46220.0171412037</x:v>
      </x:c>
      <x:c r="Z188" s="26"/>
      <x:c r="AA188" s="26" t="str">
        <x:v>Porkapally (36701020611)</x:v>
      </x:c>
      <x:c r="AB188" s="26" t="str">
        <x:v>Enriched from Mulugu project JSON</x:v>
      </x:c>
    </x:row>
    <x:row r="189">
      <x:c r="A189" s="26" t="n">
        <x:v>186</x:v>
      </x:c>
      <x:c r="B189" s="26" t="n">
        <x:v>263</x:v>
      </x:c>
      <x:c r="C189" s="26" t="str">
        <x:v>Mulugu</x:v>
      </x:c>
      <x:c r="D189" s="26" t="n">
        <x:v>13084</x:v>
      </x:c>
      <x:c r="E189" s="26" t="str">
        <x:v>PRJ-2026-0013084</x:v>
      </x:c>
      <x:c r="F189" s="26" t="str">
        <x:v>AWC Porkapally</x:v>
      </x:c>
      <x:c r="G189" s="26" t="n">
        <x:v>743</x:v>
      </x:c>
      <x:c r="H189" s="26" t="n">
        <x:v>52238</x:v>
      </x:c>
      <x:c r="I189" s="26" t="str">
        <x:v>Solar Panel</x:v>
      </x:c>
      <x:c r="J189" s="26" t="str">
        <x:v>Number</x:v>
      </x:c>
      <x:c r="K189" s="26" t="n">
        <x:v>1</x:v>
      </x:c>
      <x:c r="L189" s="26" t="n">
        <x:v>1</x:v>
      </x:c>
      <x:c r="M189" s="26" t="n">
        <x:v>1</x:v>
      </x:c>
      <x:c r="N189" s="26" t="n">
        <x:v>0</x:v>
      </x:c>
      <x:c r="O189" s="26" t="n">
        <x:f>MAX(M189-N189,0)</x:f>
        <x:v>1</x:v>
      </x:c>
      <x:c r="P189" s="38" t="n">
        <x:f>IFERROR(N189/M189,0)</x:f>
        <x:v>0</x:v>
      </x:c>
      <x:c r="Q189" s="26" t="str">
        <x:v>Material/Assets/Equipment</x:v>
      </x:c>
      <x:c r="R189" s="26" t="str">
        <x:v>Electrical Infrastructure</x:v>
      </x:c>
      <x:c r="S189" s="26" t="str">
        <x:v>Medium</x:v>
      </x:c>
      <x:c r="T189" s="26"/>
      <x:c r="U189" s="26"/>
      <x:c r="V189" s="26"/>
      <x:c r="W189" s="32"/>
      <x:c r="X189" s="27" t="b">
        <x:v>1</x:v>
      </x:c>
      <x:c r="Y189" s="34" t="n">
        <x:v>46220.0171412037</x:v>
      </x:c>
      <x:c r="Z189" s="26"/>
      <x:c r="AA189" s="26" t="str">
        <x:v>Porkapally (36701020611)</x:v>
      </x:c>
      <x:c r="AB189" s="26" t="str">
        <x:v>Enriched from Mulugu project JSON</x:v>
      </x:c>
    </x:row>
    <x:row r="190">
      <x:c r="A190" s="26" t="n">
        <x:v>187</x:v>
      </x:c>
      <x:c r="B190" s="26" t="n">
        <x:v>263</x:v>
      </x:c>
      <x:c r="C190" s="26" t="str">
        <x:v>Mulugu</x:v>
      </x:c>
      <x:c r="D190" s="26" t="n">
        <x:v>13084</x:v>
      </x:c>
      <x:c r="E190" s="26" t="str">
        <x:v>PRJ-2026-0013084</x:v>
      </x:c>
      <x:c r="F190" s="26" t="str">
        <x:v>AWC Porkapally</x:v>
      </x:c>
      <x:c r="G190" s="26" t="n">
        <x:v>744</x:v>
      </x:c>
      <x:c r="H190" s="26" t="n">
        <x:v>52239</x:v>
      </x:c>
      <x:c r="I190" s="26" t="str">
        <x:v>Water Purifier</x:v>
      </x:c>
      <x:c r="J190" s="26" t="str">
        <x:v>Number</x:v>
      </x:c>
      <x:c r="K190" s="26" t="n">
        <x:v>1</x:v>
      </x:c>
      <x:c r="L190" s="26" t="n">
        <x:v>1</x:v>
      </x:c>
      <x:c r="M190" s="26" t="n">
        <x:v>1</x:v>
      </x:c>
      <x:c r="N190" s="26" t="n">
        <x:v>0</x:v>
      </x:c>
      <x:c r="O190" s="26" t="n">
        <x:f>MAX(M190-N190,0)</x:f>
        <x:v>1</x:v>
      </x:c>
      <x:c r="P190" s="38" t="n">
        <x:f>IFERROR(N190/M190,0)</x:f>
        <x:v>0</x:v>
      </x:c>
      <x:c r="Q190" s="26" t="str">
        <x:v>Material/Assets/Equipment</x:v>
      </x:c>
      <x:c r="R190" s="26" t="str">
        <x:v>Health and Safety aids</x:v>
      </x:c>
      <x:c r="S190" s="26" t="str">
        <x:v>Minor</x:v>
      </x:c>
      <x:c r="T190" s="26"/>
      <x:c r="U190" s="26"/>
      <x:c r="V190" s="26"/>
      <x:c r="W190" s="32"/>
      <x:c r="X190" s="27" t="b">
        <x:v>1</x:v>
      </x:c>
      <x:c r="Y190" s="34" t="n">
        <x:v>46220.0171412037</x:v>
      </x:c>
      <x:c r="Z190" s="26"/>
      <x:c r="AA190" s="26" t="str">
        <x:v>Porkapally (36701020611)</x:v>
      </x:c>
      <x:c r="AB190" s="26" t="str">
        <x:v>Enriched from Mulugu project JSON</x:v>
      </x:c>
    </x:row>
    <x:row r="191">
      <x:c r="A191" s="26" t="n">
        <x:v>188</x:v>
      </x:c>
      <x:c r="B191" s="26" t="n">
        <x:v>263</x:v>
      </x:c>
      <x:c r="C191" s="26" t="str">
        <x:v>Mulugu</x:v>
      </x:c>
      <x:c r="D191" s="26" t="n">
        <x:v>13084</x:v>
      </x:c>
      <x:c r="E191" s="26" t="str">
        <x:v>PRJ-2026-0013084</x:v>
      </x:c>
      <x:c r="F191" s="26" t="str">
        <x:v>AWC Porkapally</x:v>
      </x:c>
      <x:c r="G191" s="26" t="n">
        <x:v>745</x:v>
      </x:c>
      <x:c r="H191" s="26" t="n">
        <x:v>52240</x:v>
      </x:c>
      <x:c r="I191" s="26" t="str">
        <x:v>Chairs</x:v>
      </x:c>
      <x:c r="J191" s="26" t="str">
        <x:v>Number</x:v>
      </x:c>
      <x:c r="K191" s="26" t="n">
        <x:v>3</x:v>
      </x:c>
      <x:c r="L191" s="26" t="n">
        <x:v>3</x:v>
      </x:c>
      <x:c r="M191" s="26" t="n">
        <x:v>3</x:v>
      </x:c>
      <x:c r="N191" s="26" t="n">
        <x:v>0</x:v>
      </x:c>
      <x:c r="O191" s="26" t="n">
        <x:f>MAX(M191-N191,0)</x:f>
        <x:v>3</x:v>
      </x:c>
      <x:c r="P191" s="38" t="n">
        <x:f>IFERROR(N191/M191,0)</x:f>
        <x:v>0</x:v>
      </x:c>
      <x:c r="Q191" s="26" t="str">
        <x:v>Material/Assets/Equipment</x:v>
      </x:c>
      <x:c r="R191" s="26" t="str">
        <x:v>Office Needs</x:v>
      </x:c>
      <x:c r="S191" s="26" t="str">
        <x:v>Minor</x:v>
      </x:c>
      <x:c r="T191" s="26"/>
      <x:c r="U191" s="26"/>
      <x:c r="V191" s="26"/>
      <x:c r="W191" s="32"/>
      <x:c r="X191" s="27" t="b">
        <x:v>1</x:v>
      </x:c>
      <x:c r="Y191" s="34" t="n">
        <x:v>46220.0171412037</x:v>
      </x:c>
      <x:c r="Z191" s="26"/>
      <x:c r="AA191" s="26" t="str">
        <x:v>Porkapally (36701020611)</x:v>
      </x:c>
      <x:c r="AB191" s="26" t="str">
        <x:v>Enriched from Mulugu project JSON</x:v>
      </x:c>
    </x:row>
    <x:row r="192">
      <x:c r="A192" s="26" t="n">
        <x:v>189</x:v>
      </x:c>
      <x:c r="B192" s="26" t="n">
        <x:v>263</x:v>
      </x:c>
      <x:c r="C192" s="26" t="str">
        <x:v>Mulugu</x:v>
      </x:c>
      <x:c r="D192" s="26" t="n">
        <x:v>13084</x:v>
      </x:c>
      <x:c r="E192" s="26" t="str">
        <x:v>PRJ-2026-0013084</x:v>
      </x:c>
      <x:c r="F192" s="26" t="str">
        <x:v>AWC Porkapally</x:v>
      </x:c>
      <x:c r="G192" s="26" t="n">
        <x:v>746</x:v>
      </x:c>
      <x:c r="H192" s="26" t="n">
        <x:v>52241</x:v>
      </x:c>
      <x:c r="I192" s="26" t="str">
        <x:v>Cooking Equipments</x:v>
      </x:c>
      <x:c r="J192" s="26" t="str">
        <x:v>Number</x:v>
      </x:c>
      <x:c r="K192" s="26" t="n">
        <x:v>1</x:v>
      </x:c>
      <x:c r="L192" s="26" t="n">
        <x:v>1</x:v>
      </x:c>
      <x:c r="M192" s="26" t="n">
        <x:v>1</x:v>
      </x:c>
      <x:c r="N192" s="26" t="n">
        <x:v>0</x:v>
      </x:c>
      <x:c r="O192" s="26" t="n">
        <x:f>MAX(M192-N192,0)</x:f>
        <x:v>1</x:v>
      </x:c>
      <x:c r="P192" s="38" t="n">
        <x:f>IFERROR(N192/M192,0)</x:f>
        <x:v>0</x:v>
      </x:c>
      <x:c r="Q192" s="26" t="str">
        <x:v>Material/Assets/Equipment</x:v>
      </x:c>
      <x:c r="R192" s="26" t="str">
        <x:v>Electrical Infrastructure</x:v>
      </x:c>
      <x:c r="S192" s="26" t="str">
        <x:v>Medium</x:v>
      </x:c>
      <x:c r="T192" s="26"/>
      <x:c r="U192" s="26"/>
      <x:c r="V192" s="26"/>
      <x:c r="W192" s="32"/>
      <x:c r="X192" s="27" t="b">
        <x:v>1</x:v>
      </x:c>
      <x:c r="Y192" s="34" t="n">
        <x:v>46220.0171412037</x:v>
      </x:c>
      <x:c r="Z192" s="26"/>
      <x:c r="AA192" s="26" t="str">
        <x:v>Porkapally (36701020611)</x:v>
      </x:c>
      <x:c r="AB192" s="26" t="str">
        <x:v>Enriched from Mulugu project JSON</x:v>
      </x:c>
    </x:row>
    <x:row r="193">
      <x:c r="A193" s="26" t="n">
        <x:v>190</x:v>
      </x:c>
      <x:c r="B193" s="26" t="n">
        <x:v>262</x:v>
      </x:c>
      <x:c r="C193" s="26" t="str">
        <x:v>Mulugu</x:v>
      </x:c>
      <x:c r="D193" s="26" t="n">
        <x:v>13573</x:v>
      </x:c>
      <x:c r="E193" s="26" t="str">
        <x:v>PRJ-2026-0013573</x:v>
      </x:c>
      <x:c r="F193" s="26" t="str">
        <x:v>Egg &amp; Milk Storge Racks</x:v>
      </x:c>
      <x:c r="G193" s="26" t="n">
        <x:v>733</x:v>
      </x:c>
      <x:c r="H193" s="26" t="n">
        <x:v>54530</x:v>
      </x:c>
      <x:c r="I193" s="26" t="str">
        <x:v>Desks</x:v>
      </x:c>
      <x:c r="J193" s="26" t="str">
        <x:v>Number</x:v>
      </x:c>
      <x:c r="K193" s="26" t="n">
        <x:v>1</x:v>
      </x:c>
      <x:c r="L193" s="26" t="n">
        <x:v>1</x:v>
      </x:c>
      <x:c r="M193" s="26" t="n">
        <x:v>1</x:v>
      </x:c>
      <x:c r="N193" s="26" t="n">
        <x:v>0</x:v>
      </x:c>
      <x:c r="O193" s="26" t="n">
        <x:f>MAX(M193-N193,0)</x:f>
        <x:v>1</x:v>
      </x:c>
      <x:c r="P193" s="38" t="n">
        <x:f>IFERROR(N193/M193,0)</x:f>
        <x:v>0</x:v>
      </x:c>
      <x:c r="Q193" s="26" t="str">
        <x:v>Material/Assets/Equipment</x:v>
      </x:c>
      <x:c r="R193" s="26" t="str">
        <x:v>Office Needs</x:v>
      </x:c>
      <x:c r="S193" s="26" t="str">
        <x:v>Minor</x:v>
      </x:c>
      <x:c r="T193" s="26"/>
      <x:c r="U193" s="26"/>
      <x:c r="V193" s="26"/>
      <x:c r="W193" s="32"/>
      <x:c r="X193" s="27" t="b">
        <x:v>1</x:v>
      </x:c>
      <x:c r="Y193" s="34" t="n">
        <x:v>46220.01712962963</x:v>
      </x:c>
      <x:c r="Z193" s="26"/>
      <x:c r="AA193" s="26" t="str">
        <x:v>Weavers Colony (36701020401)</x:v>
      </x:c>
      <x:c r="AB193" s="26" t="str">
        <x:v>Enriched from Mulugu project JSON</x:v>
      </x:c>
    </x:row>
    <x:row r="194">
      <x:c r="A194" s="26" t="n">
        <x:v>191</x:v>
      </x:c>
      <x:c r="B194" s="26" t="n">
        <x:v>262</x:v>
      </x:c>
      <x:c r="C194" s="26" t="str">
        <x:v>Mulugu</x:v>
      </x:c>
      <x:c r="D194" s="26" t="n">
        <x:v>13573</x:v>
      </x:c>
      <x:c r="E194" s="26" t="str">
        <x:v>PRJ-2026-0013573</x:v>
      </x:c>
      <x:c r="F194" s="26" t="str">
        <x:v>Egg &amp; Milk Storge Racks</x:v>
      </x:c>
      <x:c r="G194" s="26" t="n">
        <x:v>734</x:v>
      </x:c>
      <x:c r="H194" s="26" t="n">
        <x:v>72232</x:v>
      </x:c>
      <x:c r="I194" s="26" t="str">
        <x:v>Toys</x:v>
      </x:c>
      <x:c r="J194" s="26" t="str">
        <x:v>Number</x:v>
      </x:c>
      <x:c r="K194" s="26" t="n">
        <x:v>5</x:v>
      </x:c>
      <x:c r="L194" s="26" t="n">
        <x:v>5</x:v>
      </x:c>
      <x:c r="M194" s="26" t="n">
        <x:v>5</x:v>
      </x:c>
      <x:c r="N194" s="26" t="n">
        <x:v>0</x:v>
      </x:c>
      <x:c r="O194" s="26" t="n">
        <x:f>MAX(M194-N194,0)</x:f>
        <x:v>5</x:v>
      </x:c>
      <x:c r="P194" s="38" t="n">
        <x:f>IFERROR(N194/M194,0)</x:f>
        <x:v>0</x:v>
      </x:c>
      <x:c r="Q194" s="26" t="str">
        <x:v>Material/Assets/Equipment</x:v>
      </x:c>
      <x:c r="R194" s="26" t="str">
        <x:v>ECCE Equipment</x:v>
      </x:c>
      <x:c r="S194" s="26" t="str">
        <x:v>Minor</x:v>
      </x:c>
      <x:c r="T194" s="26"/>
      <x:c r="U194" s="26"/>
      <x:c r="V194" s="26"/>
      <x:c r="W194" s="32"/>
      <x:c r="X194" s="27" t="b">
        <x:v>1</x:v>
      </x:c>
      <x:c r="Y194" s="34" t="n">
        <x:v>46220.01712962963</x:v>
      </x:c>
      <x:c r="Z194" s="26"/>
      <x:c r="AA194" s="26" t="str">
        <x:v>Weavers Colony (36701020401)</x:v>
      </x:c>
      <x:c r="AB194" s="26" t="str">
        <x:v>Enriched from Mulugu project JSON</x:v>
      </x:c>
    </x:row>
    <x:row r="195">
      <x:c r="A195" s="26" t="n">
        <x:v>192</x:v>
      </x:c>
      <x:c r="B195" s="26" t="n">
        <x:v>262</x:v>
      </x:c>
      <x:c r="C195" s="26" t="str">
        <x:v>Mulugu</x:v>
      </x:c>
      <x:c r="D195" s="26" t="n">
        <x:v>13573</x:v>
      </x:c>
      <x:c r="E195" s="26" t="str">
        <x:v>PRJ-2026-0013573</x:v>
      </x:c>
      <x:c r="F195" s="26" t="str">
        <x:v>Egg &amp; Milk Storge Racks</x:v>
      </x:c>
      <x:c r="G195" s="26" t="n">
        <x:v>735</x:v>
      </x:c>
      <x:c r="H195" s="26" t="n">
        <x:v>72233</x:v>
      </x:c>
      <x:c r="I195" s="26" t="str">
        <x:v>Swing sets</x:v>
      </x:c>
      <x:c r="J195" s="26" t="str">
        <x:v>Number</x:v>
      </x:c>
      <x:c r="K195" s="26" t="n">
        <x:v>5</x:v>
      </x:c>
      <x:c r="L195" s="26" t="n">
        <x:v>5</x:v>
      </x:c>
      <x:c r="M195" s="26" t="n">
        <x:v>5</x:v>
      </x:c>
      <x:c r="N195" s="26" t="n">
        <x:v>0</x:v>
      </x:c>
      <x:c r="O195" s="26" t="n">
        <x:f>MAX(M195-N195,0)</x:f>
        <x:v>5</x:v>
      </x:c>
      <x:c r="P195" s="38" t="n">
        <x:f>IFERROR(N195/M195,0)</x:f>
        <x:v>0</x:v>
      </x:c>
      <x:c r="Q195" s="26" t="str">
        <x:v>Material/Assets/Equipment</x:v>
      </x:c>
      <x:c r="R195" s="26" t="str">
        <x:v>ECCE Equipment</x:v>
      </x:c>
      <x:c r="S195" s="26" t="str">
        <x:v>Minor</x:v>
      </x:c>
      <x:c r="T195" s="26"/>
      <x:c r="U195" s="26"/>
      <x:c r="V195" s="26"/>
      <x:c r="W195" s="32"/>
      <x:c r="X195" s="27" t="b">
        <x:v>1</x:v>
      </x:c>
      <x:c r="Y195" s="34" t="n">
        <x:v>46220.01712962963</x:v>
      </x:c>
      <x:c r="Z195" s="26"/>
      <x:c r="AA195" s="26" t="str">
        <x:v>Weavers Colony (36701020401)</x:v>
      </x:c>
      <x:c r="AB195" s="26" t="str">
        <x:v>Enriched from Mulugu project JSON</x:v>
      </x:c>
    </x:row>
    <x:row r="196">
      <x:c r="A196" s="26" t="n">
        <x:v>193</x:v>
      </x:c>
      <x:c r="B196" s="26" t="n">
        <x:v>262</x:v>
      </x:c>
      <x:c r="C196" s="26" t="str">
        <x:v>Mulugu</x:v>
      </x:c>
      <x:c r="D196" s="26" t="n">
        <x:v>13573</x:v>
      </x:c>
      <x:c r="E196" s="26" t="str">
        <x:v>PRJ-2026-0013573</x:v>
      </x:c>
      <x:c r="F196" s="26" t="str">
        <x:v>Egg &amp; Milk Storge Racks</x:v>
      </x:c>
      <x:c r="G196" s="26" t="n">
        <x:v>736</x:v>
      </x:c>
      <x:c r="H196" s="26" t="n">
        <x:v>72234</x:v>
      </x:c>
      <x:c r="I196" s="26" t="str">
        <x:v>Water Purifier</x:v>
      </x:c>
      <x:c r="J196" s="26" t="str">
        <x:v>Number</x:v>
      </x:c>
      <x:c r="K196" s="26" t="n">
        <x:v>5</x:v>
      </x:c>
      <x:c r="L196" s="26" t="n">
        <x:v>5</x:v>
      </x:c>
      <x:c r="M196" s="26" t="n">
        <x:v>5</x:v>
      </x:c>
      <x:c r="N196" s="26" t="n">
        <x:v>0</x:v>
      </x:c>
      <x:c r="O196" s="26" t="n">
        <x:f>MAX(M196-N196,0)</x:f>
        <x:v>5</x:v>
      </x:c>
      <x:c r="P196" s="38" t="n">
        <x:f>IFERROR(N196/M196,0)</x:f>
        <x:v>0</x:v>
      </x:c>
      <x:c r="Q196" s="26" t="str">
        <x:v>Material/Assets/Equipment</x:v>
      </x:c>
      <x:c r="R196" s="26" t="str">
        <x:v>Health and Safety aids</x:v>
      </x:c>
      <x:c r="S196" s="26" t="str">
        <x:v>Minor</x:v>
      </x:c>
      <x:c r="T196" s="26"/>
      <x:c r="U196" s="26"/>
      <x:c r="V196" s="26"/>
      <x:c r="W196" s="32"/>
      <x:c r="X196" s="27" t="b">
        <x:v>1</x:v>
      </x:c>
      <x:c r="Y196" s="34" t="n">
        <x:v>46220.01712962963</x:v>
      </x:c>
      <x:c r="Z196" s="26"/>
      <x:c r="AA196" s="26" t="str">
        <x:v>Weavers Colony (36701020401)</x:v>
      </x:c>
      <x:c r="AB196" s="26" t="str">
        <x:v>Enriched from Mulugu project JSON</x:v>
      </x:c>
    </x:row>
    <x:row r="197">
      <x:c r="A197" s="26" t="n">
        <x:v>194</x:v>
      </x:c>
      <x:c r="B197" s="26" t="n">
        <x:v>262</x:v>
      </x:c>
      <x:c r="C197" s="26" t="str">
        <x:v>Mulugu</x:v>
      </x:c>
      <x:c r="D197" s="26" t="n">
        <x:v>13573</x:v>
      </x:c>
      <x:c r="E197" s="26" t="str">
        <x:v>PRJ-2026-0013573</x:v>
      </x:c>
      <x:c r="F197" s="26" t="str">
        <x:v>Egg &amp; Milk Storge Racks</x:v>
      </x:c>
      <x:c r="G197" s="26" t="n">
        <x:v>737</x:v>
      </x:c>
      <x:c r="H197" s="26" t="n">
        <x:v>72235</x:v>
      </x:c>
      <x:c r="I197" s="26" t="str">
        <x:v>Exhaust Fans</x:v>
      </x:c>
      <x:c r="J197" s="26" t="str">
        <x:v>Number</x:v>
      </x:c>
      <x:c r="K197" s="26" t="n">
        <x:v>5</x:v>
      </x:c>
      <x:c r="L197" s="26" t="n">
        <x:v>5</x:v>
      </x:c>
      <x:c r="M197" s="26" t="n">
        <x:v>5</x:v>
      </x:c>
      <x:c r="N197" s="26" t="n">
        <x:v>0</x:v>
      </x:c>
      <x:c r="O197" s="26" t="n">
        <x:f>MAX(M197-N197,0)</x:f>
        <x:v>5</x:v>
      </x:c>
      <x:c r="P197" s="38" t="n">
        <x:f>IFERROR(N197/M197,0)</x:f>
        <x:v>0</x:v>
      </x:c>
      <x:c r="Q197" s="26" t="str">
        <x:v>Material/Assets/Equipment</x:v>
      </x:c>
      <x:c r="R197" s="26" t="str">
        <x:v>Electrical Infrastructure</x:v>
      </x:c>
      <x:c r="S197" s="26" t="str">
        <x:v>Medium</x:v>
      </x:c>
      <x:c r="T197" s="26"/>
      <x:c r="U197" s="26"/>
      <x:c r="V197" s="26"/>
      <x:c r="W197" s="32"/>
      <x:c r="X197" s="27" t="b">
        <x:v>1</x:v>
      </x:c>
      <x:c r="Y197" s="34" t="n">
        <x:v>46220.01712962963</x:v>
      </x:c>
      <x:c r="Z197" s="26"/>
      <x:c r="AA197" s="26" t="str">
        <x:v>Weavers Colony (36701020401)</x:v>
      </x:c>
      <x:c r="AB197" s="26" t="str">
        <x:v>Enriched from Mulugu project JSON</x:v>
      </x:c>
    </x:row>
    <x:row r="198">
      <x:c r="A198" s="26" t="n">
        <x:v>195</x:v>
      </x:c>
      <x:c r="B198" s="26" t="n">
        <x:v>262</x:v>
      </x:c>
      <x:c r="C198" s="26" t="str">
        <x:v>Mulugu</x:v>
      </x:c>
      <x:c r="D198" s="26" t="n">
        <x:v>13573</x:v>
      </x:c>
      <x:c r="E198" s="26" t="str">
        <x:v>PRJ-2026-0013573</x:v>
      </x:c>
      <x:c r="F198" s="26" t="str">
        <x:v>Egg &amp; Milk Storge Racks</x:v>
      </x:c>
      <x:c r="G198" s="26" t="n">
        <x:v>738</x:v>
      </x:c>
      <x:c r="H198" s="26" t="n">
        <x:v>72236</x:v>
      </x:c>
      <x:c r="I198" s="26" t="str">
        <x:v>Solar Panel</x:v>
      </x:c>
      <x:c r="J198" s="26" t="str">
        <x:v>Number</x:v>
      </x:c>
      <x:c r="K198" s="26" t="n">
        <x:v>5</x:v>
      </x:c>
      <x:c r="L198" s="26" t="n">
        <x:v>5</x:v>
      </x:c>
      <x:c r="M198" s="26" t="n">
        <x:v>5</x:v>
      </x:c>
      <x:c r="N198" s="26" t="n">
        <x:v>0</x:v>
      </x:c>
      <x:c r="O198" s="26" t="n">
        <x:f>MAX(M198-N198,0)</x:f>
        <x:v>5</x:v>
      </x:c>
      <x:c r="P198" s="38" t="n">
        <x:f>IFERROR(N198/M198,0)</x:f>
        <x:v>0</x:v>
      </x:c>
      <x:c r="Q198" s="26" t="str">
        <x:v>Material/Assets/Equipment</x:v>
      </x:c>
      <x:c r="R198" s="26" t="str">
        <x:v>Electrical Infrastructure</x:v>
      </x:c>
      <x:c r="S198" s="26" t="str">
        <x:v>Medium</x:v>
      </x:c>
      <x:c r="T198" s="26"/>
      <x:c r="U198" s="26"/>
      <x:c r="V198" s="26"/>
      <x:c r="W198" s="32"/>
      <x:c r="X198" s="27" t="b">
        <x:v>1</x:v>
      </x:c>
      <x:c r="Y198" s="34" t="n">
        <x:v>46220.01712962963</x:v>
      </x:c>
      <x:c r="Z198" s="26"/>
      <x:c r="AA198" s="26" t="str">
        <x:v>Weavers Colony (36701020401)</x:v>
      </x:c>
      <x:c r="AB198" s="26" t="str">
        <x:v>Enriched from Mulugu project JSON</x:v>
      </x:c>
    </x:row>
    <x:row r="199">
      <x:c r="A199" s="26" t="n">
        <x:v>196</x:v>
      </x:c>
      <x:c r="B199" s="26" t="n">
        <x:v>261</x:v>
      </x:c>
      <x:c r="C199" s="26" t="str">
        <x:v>Mulugu</x:v>
      </x:c>
      <x:c r="D199" s="26" t="n">
        <x:v>13053</x:v>
      </x:c>
      <x:c r="E199" s="26" t="str">
        <x:v>PRJ-2026-0013053</x:v>
      </x:c>
      <x:c r="F199" s="26" t="str">
        <x:v>AWC Infrastructure</x:v>
      </x:c>
      <x:c r="G199" s="26" t="n">
        <x:v>731</x:v>
      </x:c>
      <x:c r="H199" s="26" t="n">
        <x:v>52150</x:v>
      </x:c>
      <x:c r="I199" s="26" t="str">
        <x:v>Rainwater Harvesting</x:v>
      </x:c>
      <x:c r="J199" s="26" t="str">
        <x:v>Sq. Feet</x:v>
      </x:c>
      <x:c r="K199" s="26" t="n">
        <x:v>1</x:v>
      </x:c>
      <x:c r="L199" s="26" t="n">
        <x:v>1</x:v>
      </x:c>
      <x:c r="M199" s="26" t="n">
        <x:v>1</x:v>
      </x:c>
      <x:c r="N199" s="26" t="n">
        <x:v>0</x:v>
      </x:c>
      <x:c r="O199" s="26" t="n">
        <x:f>MAX(M199-N199,0)</x:f>
        <x:v>1</x:v>
      </x:c>
      <x:c r="P199" s="38" t="n">
        <x:f>IFERROR(N199/M199,0)</x:f>
        <x:v>0</x:v>
      </x:c>
      <x:c r="Q199" s="26" t="str">
        <x:v>Material/Assets/Equipment</x:v>
      </x:c>
      <x:c r="R199" s="26" t="str">
        <x:v>Civil Infrastructure</x:v>
      </x:c>
      <x:c r="S199" s="26" t="str">
        <x:v>Complex</x:v>
      </x:c>
      <x:c r="T199" s="26"/>
      <x:c r="U199" s="26"/>
      <x:c r="V199" s="26"/>
      <x:c r="W199" s="32"/>
      <x:c r="X199" s="27" t="b">
        <x:v>1</x:v>
      </x:c>
      <x:c r="Y199" s="34" t="n">
        <x:v>46220.01424768518</x:v>
      </x:c>
      <x:c r="Z199" s="26"/>
      <x:c r="AA199" s="26" t="str">
        <x:v>Harijana colony (36701040618)</x:v>
      </x:c>
      <x:c r="AB199" s="26" t="str">
        <x:v>Enriched from Mulugu project JSON</x:v>
      </x:c>
    </x:row>
    <x:row r="200">
      <x:c r="A200" s="26" t="n">
        <x:v>197</x:v>
      </x:c>
      <x:c r="B200" s="26" t="n">
        <x:v>261</x:v>
      </x:c>
      <x:c r="C200" s="26" t="str">
        <x:v>Mulugu</x:v>
      </x:c>
      <x:c r="D200" s="26" t="n">
        <x:v>13053</x:v>
      </x:c>
      <x:c r="E200" s="26" t="str">
        <x:v>PRJ-2026-0013053</x:v>
      </x:c>
      <x:c r="F200" s="26" t="str">
        <x:v>AWC Infrastructure</x:v>
      </x:c>
      <x:c r="G200" s="26" t="n">
        <x:v>732</x:v>
      </x:c>
      <x:c r="H200" s="26" t="n">
        <x:v>52151</x:v>
      </x:c>
      <x:c r="I200" s="26" t="str">
        <x:v>Solar Panel</x:v>
      </x:c>
      <x:c r="J200" s="26" t="str">
        <x:v>Number</x:v>
      </x:c>
      <x:c r="K200" s="26" t="n">
        <x:v>1</x:v>
      </x:c>
      <x:c r="L200" s="26" t="n">
        <x:v>1</x:v>
      </x:c>
      <x:c r="M200" s="26" t="n">
        <x:v>1</x:v>
      </x:c>
      <x:c r="N200" s="26" t="n">
        <x:v>0</x:v>
      </x:c>
      <x:c r="O200" s="26" t="n">
        <x:f>MAX(M200-N200,0)</x:f>
        <x:v>1</x:v>
      </x:c>
      <x:c r="P200" s="38" t="n">
        <x:f>IFERROR(N200/M200,0)</x:f>
        <x:v>0</x:v>
      </x:c>
      <x:c r="Q200" s="26" t="str">
        <x:v>Material/Assets/Equipment</x:v>
      </x:c>
      <x:c r="R200" s="26" t="str">
        <x:v>Electrical Infrastructure</x:v>
      </x:c>
      <x:c r="S200" s="26" t="str">
        <x:v>Medium</x:v>
      </x:c>
      <x:c r="T200" s="26"/>
      <x:c r="U200" s="26"/>
      <x:c r="V200" s="26"/>
      <x:c r="W200" s="32"/>
      <x:c r="X200" s="27" t="b">
        <x:v>1</x:v>
      </x:c>
      <x:c r="Y200" s="34" t="n">
        <x:v>46220.01424768518</x:v>
      </x:c>
      <x:c r="Z200" s="26"/>
      <x:c r="AA200" s="26" t="str">
        <x:v>Harijana colony (36701040618)</x:v>
      </x:c>
      <x:c r="AB200" s="26" t="str">
        <x:v>Enriched from Mulugu project JSON</x:v>
      </x:c>
    </x:row>
    <x:row r="201">
      <x:c r="A201" s="26" t="n">
        <x:v>198</x:v>
      </x:c>
      <x:c r="B201" s="26" t="n">
        <x:v>260</x:v>
      </x:c>
      <x:c r="C201" s="26" t="str">
        <x:v>Mulugu</x:v>
      </x:c>
      <x:c r="D201" s="26" t="n">
        <x:v>13049</x:v>
      </x:c>
      <x:c r="E201" s="26" t="str">
        <x:v>PRJ-2026-0013049</x:v>
      </x:c>
      <x:c r="F201" s="26" t="str">
        <x:v>AWC Infrastructure</x:v>
      </x:c>
      <x:c r="G201" s="26" t="n">
        <x:v>729</x:v>
      </x:c>
      <x:c r="H201" s="26" t="n">
        <x:v>52138</x:v>
      </x:c>
      <x:c r="I201" s="26" t="str">
        <x:v>Rainwater Harvesting</x:v>
      </x:c>
      <x:c r="J201" s="26" t="str">
        <x:v>Sq. Feet</x:v>
      </x:c>
      <x:c r="K201" s="26" t="n">
        <x:v>1</x:v>
      </x:c>
      <x:c r="L201" s="26" t="n">
        <x:v>1</x:v>
      </x:c>
      <x:c r="M201" s="26" t="n">
        <x:v>1</x:v>
      </x:c>
      <x:c r="N201" s="26" t="n">
        <x:v>0</x:v>
      </x:c>
      <x:c r="O201" s="26" t="n">
        <x:f>MAX(M201-N201,0)</x:f>
        <x:v>1</x:v>
      </x:c>
      <x:c r="P201" s="38" t="n">
        <x:f>IFERROR(N201/M201,0)</x:f>
        <x:v>0</x:v>
      </x:c>
      <x:c r="Q201" s="26" t="str">
        <x:v>Material/Assets/Equipment</x:v>
      </x:c>
      <x:c r="R201" s="26" t="str">
        <x:v>Civil Infrastructure</x:v>
      </x:c>
      <x:c r="S201" s="26" t="str">
        <x:v>Complex</x:v>
      </x:c>
      <x:c r="T201" s="26"/>
      <x:c r="U201" s="26"/>
      <x:c r="V201" s="26"/>
      <x:c r="W201" s="32"/>
      <x:c r="X201" s="27" t="b">
        <x:v>1</x:v>
      </x:c>
      <x:c r="Y201" s="34" t="n">
        <x:v>46220.014236111114</x:v>
      </x:c>
      <x:c r="Z201" s="26"/>
      <x:c r="AA201" s="26" t="str">
        <x:v>Karivaniguppa (Mini) (36701040615)</x:v>
      </x:c>
      <x:c r="AB201" s="26" t="str">
        <x:v>Enriched from Mulugu project JSON</x:v>
      </x:c>
    </x:row>
    <x:row r="202">
      <x:c r="A202" s="26" t="n">
        <x:v>199</x:v>
      </x:c>
      <x:c r="B202" s="26" t="n">
        <x:v>260</x:v>
      </x:c>
      <x:c r="C202" s="26" t="str">
        <x:v>Mulugu</x:v>
      </x:c>
      <x:c r="D202" s="26" t="n">
        <x:v>13049</x:v>
      </x:c>
      <x:c r="E202" s="26" t="str">
        <x:v>PRJ-2026-0013049</x:v>
      </x:c>
      <x:c r="F202" s="26" t="str">
        <x:v>AWC Infrastructure</x:v>
      </x:c>
      <x:c r="G202" s="26" t="n">
        <x:v>730</x:v>
      </x:c>
      <x:c r="H202" s="26" t="n">
        <x:v>52139</x:v>
      </x:c>
      <x:c r="I202" s="26" t="str">
        <x:v>Solar Panel</x:v>
      </x:c>
      <x:c r="J202" s="26" t="str">
        <x:v>Number</x:v>
      </x:c>
      <x:c r="K202" s="26" t="n">
        <x:v>1</x:v>
      </x:c>
      <x:c r="L202" s="26" t="n">
        <x:v>1</x:v>
      </x:c>
      <x:c r="M202" s="26" t="n">
        <x:v>1</x:v>
      </x:c>
      <x:c r="N202" s="26" t="n">
        <x:v>0</x:v>
      </x:c>
      <x:c r="O202" s="26" t="n">
        <x:f>MAX(M202-N202,0)</x:f>
        <x:v>1</x:v>
      </x:c>
      <x:c r="P202" s="38" t="n">
        <x:f>IFERROR(N202/M202,0)</x:f>
        <x:v>0</x:v>
      </x:c>
      <x:c r="Q202" s="26" t="str">
        <x:v>Material/Assets/Equipment</x:v>
      </x:c>
      <x:c r="R202" s="26" t="str">
        <x:v>Electrical Infrastructure</x:v>
      </x:c>
      <x:c r="S202" s="26" t="str">
        <x:v>Medium</x:v>
      </x:c>
      <x:c r="T202" s="26"/>
      <x:c r="U202" s="26"/>
      <x:c r="V202" s="26"/>
      <x:c r="W202" s="32"/>
      <x:c r="X202" s="27" t="b">
        <x:v>1</x:v>
      </x:c>
      <x:c r="Y202" s="34" t="n">
        <x:v>46220.014236111114</x:v>
      </x:c>
      <x:c r="Z202" s="26"/>
      <x:c r="AA202" s="26" t="str">
        <x:v>Karivaniguppa (Mini) (36701040615)</x:v>
      </x:c>
      <x:c r="AB202" s="26" t="str">
        <x:v>Enriched from Mulugu project JSON</x:v>
      </x:c>
    </x:row>
    <x:row r="203">
      <x:c r="A203" s="26" t="n">
        <x:v>200</x:v>
      </x:c>
      <x:c r="B203" s="26" t="n">
        <x:v>258</x:v>
      </x:c>
      <x:c r="C203" s="26" t="str">
        <x:v>Mulugu</x:v>
      </x:c>
      <x:c r="D203" s="26" t="n">
        <x:v>8038</x:v>
      </x:c>
      <x:c r="E203" s="26" t="str">
        <x:v>PRJ-2026-0008038</x:v>
      </x:c>
      <x:c r="F203" s="26" t="str">
        <x:v>AWC Bhagyathanda</x:v>
      </x:c>
      <x:c r="G203" s="26" t="n">
        <x:v>721</x:v>
      </x:c>
      <x:c r="H203" s="26" t="n">
        <x:v>29545</x:v>
      </x:c>
      <x:c r="I203" s="26" t="str">
        <x:v>Toilets (Girls/Boys/Divyang/staff)</x:v>
      </x:c>
      <x:c r="J203" s="26" t="str">
        <x:v>Number</x:v>
      </x:c>
      <x:c r="K203" s="26" t="n">
        <x:v>1</x:v>
      </x:c>
      <x:c r="L203" s="26" t="n">
        <x:v>1</x:v>
      </x:c>
      <x:c r="M203" s="26" t="n">
        <x:v>1</x:v>
      </x:c>
      <x:c r="N203" s="26" t="n">
        <x:v>0</x:v>
      </x:c>
      <x:c r="O203" s="26" t="n">
        <x:f>MAX(M203-N203,0)</x:f>
        <x:v>1</x:v>
      </x:c>
      <x:c r="P203" s="38" t="n">
        <x:f>IFERROR(N203/M203,0)</x:f>
        <x:v>0</x:v>
      </x:c>
      <x:c r="Q203" s="26" t="str">
        <x:v>Material/Assets/Equipment</x:v>
      </x:c>
      <x:c r="R203" s="26" t="str">
        <x:v>Civil Infrastructure</x:v>
      </x:c>
      <x:c r="S203" s="26" t="str">
        <x:v>Complex</x:v>
      </x:c>
      <x:c r="T203" s="26"/>
      <x:c r="U203" s="26"/>
      <x:c r="V203" s="26"/>
      <x:c r="W203" s="32"/>
      <x:c r="X203" s="27" t="b">
        <x:v>1</x:v>
      </x:c>
      <x:c r="Y203" s="34" t="n">
        <x:v>46220.01422453704</x:v>
      </x:c>
      <x:c r="Z203" s="26"/>
      <x:c r="AA203" s="26" t="str">
        <x:v>Bhagyathanda (36701020220)</x:v>
      </x:c>
      <x:c r="AB203" s="26" t="str">
        <x:v>Enriched from Mulugu project JSON</x:v>
      </x:c>
    </x:row>
    <x:row r="204">
      <x:c r="A204" s="26" t="n">
        <x:v>201</x:v>
      </x:c>
      <x:c r="B204" s="26" t="n">
        <x:v>258</x:v>
      </x:c>
      <x:c r="C204" s="26" t="str">
        <x:v>Mulugu</x:v>
      </x:c>
      <x:c r="D204" s="26" t="n">
        <x:v>8038</x:v>
      </x:c>
      <x:c r="E204" s="26" t="str">
        <x:v>PRJ-2026-0008038</x:v>
      </x:c>
      <x:c r="F204" s="26" t="str">
        <x:v>AWC Bhagyathanda</x:v>
      </x:c>
      <x:c r="G204" s="26" t="n">
        <x:v>722</x:v>
      </x:c>
      <x:c r="H204" s="26" t="n">
        <x:v>29546</x:v>
      </x:c>
      <x:c r="I204" s="26" t="str">
        <x:v>Toys</x:v>
      </x:c>
      <x:c r="J204" s="26" t="str">
        <x:v>Number</x:v>
      </x:c>
      <x:c r="K204" s="26" t="n">
        <x:v>10</x:v>
      </x:c>
      <x:c r="L204" s="26" t="n">
        <x:v>10</x:v>
      </x:c>
      <x:c r="M204" s="26" t="n">
        <x:v>10</x:v>
      </x:c>
      <x:c r="N204" s="26" t="n">
        <x:v>0</x:v>
      </x:c>
      <x:c r="O204" s="26" t="n">
        <x:f>MAX(M204-N204,0)</x:f>
        <x:v>10</x:v>
      </x:c>
      <x:c r="P204" s="38" t="n">
        <x:f>IFERROR(N204/M204,0)</x:f>
        <x:v>0</x:v>
      </x:c>
      <x:c r="Q204" s="26" t="str">
        <x:v>Material/Assets/Equipment</x:v>
      </x:c>
      <x:c r="R204" s="26" t="str">
        <x:v>ECCE Equipment</x:v>
      </x:c>
      <x:c r="S204" s="26" t="str">
        <x:v>Minor</x:v>
      </x:c>
      <x:c r="T204" s="26"/>
      <x:c r="U204" s="26"/>
      <x:c r="V204" s="26"/>
      <x:c r="W204" s="32"/>
      <x:c r="X204" s="27" t="b">
        <x:v>1</x:v>
      </x:c>
      <x:c r="Y204" s="34" t="n">
        <x:v>46220.01422453704</x:v>
      </x:c>
      <x:c r="Z204" s="26"/>
      <x:c r="AA204" s="26" t="str">
        <x:v>Bhagyathanda (36701020220)</x:v>
      </x:c>
      <x:c r="AB204" s="26" t="str">
        <x:v>Enriched from Mulugu project JSON</x:v>
      </x:c>
    </x:row>
    <x:row r="205">
      <x:c r="A205" s="26" t="n">
        <x:v>202</x:v>
      </x:c>
      <x:c r="B205" s="26" t="n">
        <x:v>258</x:v>
      </x:c>
      <x:c r="C205" s="26" t="str">
        <x:v>Mulugu</x:v>
      </x:c>
      <x:c r="D205" s="26" t="n">
        <x:v>8038</x:v>
      </x:c>
      <x:c r="E205" s="26" t="str">
        <x:v>PRJ-2026-0008038</x:v>
      </x:c>
      <x:c r="F205" s="26" t="str">
        <x:v>AWC Bhagyathanda</x:v>
      </x:c>
      <x:c r="G205" s="26" t="n">
        <x:v>723</x:v>
      </x:c>
      <x:c r="H205" s="26" t="n">
        <x:v>29547</x:v>
      </x:c>
      <x:c r="I205" s="26" t="str">
        <x:v>Chairs/Benches</x:v>
      </x:c>
      <x:c r="J205" s="26" t="str">
        <x:v>Number</x:v>
      </x:c>
      <x:c r="K205" s="26" t="n">
        <x:v>6</x:v>
      </x:c>
      <x:c r="L205" s="26" t="n">
        <x:v>6</x:v>
      </x:c>
      <x:c r="M205" s="26" t="n">
        <x:v>6</x:v>
      </x:c>
      <x:c r="N205" s="26" t="n">
        <x:v>0</x:v>
      </x:c>
      <x:c r="O205" s="26" t="n">
        <x:f>MAX(M205-N205,0)</x:f>
        <x:v>6</x:v>
      </x:c>
      <x:c r="P205" s="38" t="n">
        <x:f>IFERROR(N205/M205,0)</x:f>
        <x:v>0</x:v>
      </x:c>
      <x:c r="Q205" s="26" t="str">
        <x:v>Material/Assets/Equipment</x:v>
      </x:c>
      <x:c r="R205" s="26" t="str">
        <x:v>Educational Needs</x:v>
      </x:c>
      <x:c r="S205" s="26" t="str">
        <x:v>Minor</x:v>
      </x:c>
      <x:c r="T205" s="26"/>
      <x:c r="U205" s="26"/>
      <x:c r="V205" s="26"/>
      <x:c r="W205" s="32"/>
      <x:c r="X205" s="27" t="b">
        <x:v>1</x:v>
      </x:c>
      <x:c r="Y205" s="34" t="n">
        <x:v>46220.01422453704</x:v>
      </x:c>
      <x:c r="Z205" s="26"/>
      <x:c r="AA205" s="26" t="str">
        <x:v>Bhagyathanda (36701020220)</x:v>
      </x:c>
      <x:c r="AB205" s="26" t="str">
        <x:v>Enriched from Mulugu project JSON</x:v>
      </x:c>
    </x:row>
    <x:row r="206">
      <x:c r="A206" s="26" t="n">
        <x:v>203</x:v>
      </x:c>
      <x:c r="B206" s="26" t="n">
        <x:v>258</x:v>
      </x:c>
      <x:c r="C206" s="26" t="str">
        <x:v>Mulugu</x:v>
      </x:c>
      <x:c r="D206" s="26" t="n">
        <x:v>8038</x:v>
      </x:c>
      <x:c r="E206" s="26" t="str">
        <x:v>PRJ-2026-0008038</x:v>
      </x:c>
      <x:c r="F206" s="26" t="str">
        <x:v>AWC Bhagyathanda</x:v>
      </x:c>
      <x:c r="G206" s="26" t="n">
        <x:v>724</x:v>
      </x:c>
      <x:c r="H206" s="26" t="n">
        <x:v>29548</x:v>
      </x:c>
      <x:c r="I206" s="26" t="str">
        <x:v>Tube Lights</x:v>
      </x:c>
      <x:c r="J206" s="26" t="str">
        <x:v>Number</x:v>
      </x:c>
      <x:c r="K206" s="26" t="n">
        <x:v>2</x:v>
      </x:c>
      <x:c r="L206" s="26" t="n">
        <x:v>2</x:v>
      </x:c>
      <x:c r="M206" s="26" t="n">
        <x:v>2</x:v>
      </x:c>
      <x:c r="N206" s="26" t="n">
        <x:v>0</x:v>
      </x:c>
      <x:c r="O206" s="26" t="n">
        <x:f>MAX(M206-N206,0)</x:f>
        <x:v>2</x:v>
      </x:c>
      <x:c r="P206" s="38" t="n">
        <x:f>IFERROR(N206/M206,0)</x:f>
        <x:v>0</x:v>
      </x:c>
      <x:c r="Q206" s="26" t="str">
        <x:v>Material/Assets/Equipment</x:v>
      </x:c>
      <x:c r="R206" s="26" t="str">
        <x:v>Electrical Infrastructure</x:v>
      </x:c>
      <x:c r="S206" s="26" t="str">
        <x:v>Medium</x:v>
      </x:c>
      <x:c r="T206" s="26"/>
      <x:c r="U206" s="26"/>
      <x:c r="V206" s="26"/>
      <x:c r="W206" s="32"/>
      <x:c r="X206" s="27" t="b">
        <x:v>1</x:v>
      </x:c>
      <x:c r="Y206" s="34" t="n">
        <x:v>46220.01422453704</x:v>
      </x:c>
      <x:c r="Z206" s="26"/>
      <x:c r="AA206" s="26" t="str">
        <x:v>Bhagyathanda (36701020220)</x:v>
      </x:c>
      <x:c r="AB206" s="26" t="str">
        <x:v>Enriched from Mulugu project JSON</x:v>
      </x:c>
    </x:row>
    <x:row r="207">
      <x:c r="A207" s="26" t="n">
        <x:v>204</x:v>
      </x:c>
      <x:c r="B207" s="26" t="n">
        <x:v>258</x:v>
      </x:c>
      <x:c r="C207" s="26" t="str">
        <x:v>Mulugu</x:v>
      </x:c>
      <x:c r="D207" s="26" t="n">
        <x:v>8038</x:v>
      </x:c>
      <x:c r="E207" s="26" t="str">
        <x:v>PRJ-2026-0008038</x:v>
      </x:c>
      <x:c r="F207" s="26" t="str">
        <x:v>AWC Bhagyathanda</x:v>
      </x:c>
      <x:c r="G207" s="26" t="n">
        <x:v>725</x:v>
      </x:c>
      <x:c r="H207" s="26" t="n">
        <x:v>29549</x:v>
      </x:c>
      <x:c r="I207" s="26" t="str">
        <x:v>Cooking Equipments</x:v>
      </x:c>
      <x:c r="J207" s="26" t="str">
        <x:v>Number</x:v>
      </x:c>
      <x:c r="K207" s="26" t="n">
        <x:v>1</x:v>
      </x:c>
      <x:c r="L207" s="26" t="n">
        <x:v>1</x:v>
      </x:c>
      <x:c r="M207" s="26" t="n">
        <x:v>1</x:v>
      </x:c>
      <x:c r="N207" s="26" t="n">
        <x:v>0</x:v>
      </x:c>
      <x:c r="O207" s="26" t="n">
        <x:f>MAX(M207-N207,0)</x:f>
        <x:v>1</x:v>
      </x:c>
      <x:c r="P207" s="38" t="n">
        <x:f>IFERROR(N207/M207,0)</x:f>
        <x:v>0</x:v>
      </x:c>
      <x:c r="Q207" s="26" t="str">
        <x:v>Material/Assets/Equipment</x:v>
      </x:c>
      <x:c r="R207" s="26" t="str">
        <x:v>Electrical Infrastructure</x:v>
      </x:c>
      <x:c r="S207" s="26" t="str">
        <x:v>Medium</x:v>
      </x:c>
      <x:c r="T207" s="26"/>
      <x:c r="U207" s="26"/>
      <x:c r="V207" s="26"/>
      <x:c r="W207" s="32"/>
      <x:c r="X207" s="27" t="b">
        <x:v>1</x:v>
      </x:c>
      <x:c r="Y207" s="34" t="n">
        <x:v>46220.01422453704</x:v>
      </x:c>
      <x:c r="Z207" s="26"/>
      <x:c r="AA207" s="26" t="str">
        <x:v>Bhagyathanda (36701020220)</x:v>
      </x:c>
      <x:c r="AB207" s="26" t="str">
        <x:v>Enriched from Mulugu project JSON</x:v>
      </x:c>
    </x:row>
    <x:row r="208">
      <x:c r="A208" s="26" t="n">
        <x:v>205</x:v>
      </x:c>
      <x:c r="B208" s="26" t="n">
        <x:v>258</x:v>
      </x:c>
      <x:c r="C208" s="26" t="str">
        <x:v>Mulugu</x:v>
      </x:c>
      <x:c r="D208" s="26" t="n">
        <x:v>8038</x:v>
      </x:c>
      <x:c r="E208" s="26" t="str">
        <x:v>PRJ-2026-0008038</x:v>
      </x:c>
      <x:c r="F208" s="26" t="str">
        <x:v>AWC Bhagyathanda</x:v>
      </x:c>
      <x:c r="G208" s="26" t="n">
        <x:v>726</x:v>
      </x:c>
      <x:c r="H208" s="26" t="n">
        <x:v>29550</x:v>
      </x:c>
      <x:c r="I208" s="26" t="str">
        <x:v>Chairs</x:v>
      </x:c>
      <x:c r="J208" s="26" t="str">
        <x:v>Number</x:v>
      </x:c>
      <x:c r="K208" s="26" t="n">
        <x:v>2</x:v>
      </x:c>
      <x:c r="L208" s="26" t="n">
        <x:v>2</x:v>
      </x:c>
      <x:c r="M208" s="26" t="n">
        <x:v>2</x:v>
      </x:c>
      <x:c r="N208" s="26" t="n">
        <x:v>0</x:v>
      </x:c>
      <x:c r="O208" s="26" t="n">
        <x:f>MAX(M208-N208,0)</x:f>
        <x:v>2</x:v>
      </x:c>
      <x:c r="P208" s="38" t="n">
        <x:f>IFERROR(N208/M208,0)</x:f>
        <x:v>0</x:v>
      </x:c>
      <x:c r="Q208" s="26" t="str">
        <x:v>Material/Assets/Equipment</x:v>
      </x:c>
      <x:c r="R208" s="26" t="str">
        <x:v>Office Needs</x:v>
      </x:c>
      <x:c r="S208" s="26" t="str">
        <x:v>Minor</x:v>
      </x:c>
      <x:c r="T208" s="26"/>
      <x:c r="U208" s="26"/>
      <x:c r="V208" s="26"/>
      <x:c r="W208" s="32"/>
      <x:c r="X208" s="27" t="b">
        <x:v>1</x:v>
      </x:c>
      <x:c r="Y208" s="34" t="n">
        <x:v>46220.01422453704</x:v>
      </x:c>
      <x:c r="Z208" s="26"/>
      <x:c r="AA208" s="26" t="str">
        <x:v>Bhagyathanda (36701020220)</x:v>
      </x:c>
      <x:c r="AB208" s="26" t="str">
        <x:v>Enriched from Mulugu project JSON</x:v>
      </x:c>
    </x:row>
    <x:row r="209">
      <x:c r="A209" s="26" t="n">
        <x:v>206</x:v>
      </x:c>
      <x:c r="B209" s="26" t="n">
        <x:v>259</x:v>
      </x:c>
      <x:c r="C209" s="26" t="str">
        <x:v>Mulugu</x:v>
      </x:c>
      <x:c r="D209" s="26" t="n">
        <x:v>13048</x:v>
      </x:c>
      <x:c r="E209" s="26" t="str">
        <x:v>PRJ-2026-0013048</x:v>
      </x:c>
      <x:c r="F209" s="26" t="str">
        <x:v>AWC Infrastructure</x:v>
      </x:c>
      <x:c r="G209" s="26" t="n">
        <x:v>727</x:v>
      </x:c>
      <x:c r="H209" s="26" t="n">
        <x:v>52136</x:v>
      </x:c>
      <x:c r="I209" s="26" t="str">
        <x:v>Rainwater Harvesting</x:v>
      </x:c>
      <x:c r="J209" s="26" t="str">
        <x:v>Sq. Feet</x:v>
      </x:c>
      <x:c r="K209" s="26" t="n">
        <x:v>1</x:v>
      </x:c>
      <x:c r="L209" s="26" t="n">
        <x:v>1</x:v>
      </x:c>
      <x:c r="M209" s="26" t="n">
        <x:v>1</x:v>
      </x:c>
      <x:c r="N209" s="26" t="n">
        <x:v>0</x:v>
      </x:c>
      <x:c r="O209" s="26" t="n">
        <x:f>MAX(M209-N209,0)</x:f>
        <x:v>1</x:v>
      </x:c>
      <x:c r="P209" s="38" t="n">
        <x:f>IFERROR(N209/M209,0)</x:f>
        <x:v>0</x:v>
      </x:c>
      <x:c r="Q209" s="26" t="str">
        <x:v>Material/Assets/Equipment</x:v>
      </x:c>
      <x:c r="R209" s="26" t="str">
        <x:v>Civil Infrastructure</x:v>
      </x:c>
      <x:c r="S209" s="26" t="str">
        <x:v>Complex</x:v>
      </x:c>
      <x:c r="T209" s="26"/>
      <x:c r="U209" s="26"/>
      <x:c r="V209" s="26"/>
      <x:c r="W209" s="32"/>
      <x:c r="X209" s="27" t="b">
        <x:v>1</x:v>
      </x:c>
      <x:c r="Y209" s="34" t="n">
        <x:v>46220.01422453704</x:v>
      </x:c>
      <x:c r="Z209" s="26"/>
      <x:c r="AA209" s="26" t="str">
        <x:v>Mallapuram (Mini) (36701040613)</x:v>
      </x:c>
      <x:c r="AB209" s="26" t="str">
        <x:v>Enriched from Mulugu project JSON</x:v>
      </x:c>
    </x:row>
    <x:row r="210">
      <x:c r="A210" s="26" t="n">
        <x:v>207</x:v>
      </x:c>
      <x:c r="B210" s="26" t="n">
        <x:v>259</x:v>
      </x:c>
      <x:c r="C210" s="26" t="str">
        <x:v>Mulugu</x:v>
      </x:c>
      <x:c r="D210" s="26" t="n">
        <x:v>13048</x:v>
      </x:c>
      <x:c r="E210" s="26" t="str">
        <x:v>PRJ-2026-0013048</x:v>
      </x:c>
      <x:c r="F210" s="26" t="str">
        <x:v>AWC Infrastructure</x:v>
      </x:c>
      <x:c r="G210" s="26" t="n">
        <x:v>728</x:v>
      </x:c>
      <x:c r="H210" s="26" t="n">
        <x:v>52137</x:v>
      </x:c>
      <x:c r="I210" s="26" t="str">
        <x:v>Solar Panel</x:v>
      </x:c>
      <x:c r="J210" s="26" t="str">
        <x:v>Number</x:v>
      </x:c>
      <x:c r="K210" s="26" t="n">
        <x:v>1</x:v>
      </x:c>
      <x:c r="L210" s="26" t="n">
        <x:v>1</x:v>
      </x:c>
      <x:c r="M210" s="26" t="n">
        <x:v>1</x:v>
      </x:c>
      <x:c r="N210" s="26" t="n">
        <x:v>0</x:v>
      </x:c>
      <x:c r="O210" s="26" t="n">
        <x:f>MAX(M210-N210,0)</x:f>
        <x:v>1</x:v>
      </x:c>
      <x:c r="P210" s="38" t="n">
        <x:f>IFERROR(N210/M210,0)</x:f>
        <x:v>0</x:v>
      </x:c>
      <x:c r="Q210" s="26" t="str">
        <x:v>Material/Assets/Equipment</x:v>
      </x:c>
      <x:c r="R210" s="26" t="str">
        <x:v>Electrical Infrastructure</x:v>
      </x:c>
      <x:c r="S210" s="26" t="str">
        <x:v>Medium</x:v>
      </x:c>
      <x:c r="T210" s="26"/>
      <x:c r="U210" s="26"/>
      <x:c r="V210" s="26"/>
      <x:c r="W210" s="32"/>
      <x:c r="X210" s="27" t="b">
        <x:v>1</x:v>
      </x:c>
      <x:c r="Y210" s="34" t="n">
        <x:v>46220.01422453704</x:v>
      </x:c>
      <x:c r="Z210" s="26"/>
      <x:c r="AA210" s="26" t="str">
        <x:v>Mallapuram (Mini) (36701040613)</x:v>
      </x:c>
      <x:c r="AB210" s="26" t="str">
        <x:v>Enriched from Mulugu project JSON</x:v>
      </x:c>
    </x:row>
    <x:row r="211">
      <x:c r="A211" s="26" t="n">
        <x:v>208</x:v>
      </x:c>
      <x:c r="B211" s="26" t="n">
        <x:v>257</x:v>
      </x:c>
      <x:c r="C211" s="26" t="str">
        <x:v>Mulugu</x:v>
      </x:c>
      <x:c r="D211" s="26" t="n">
        <x:v>8276</x:v>
      </x:c>
      <x:c r="E211" s="26" t="str">
        <x:v>PRJ-2026-0008276</x:v>
      </x:c>
      <x:c r="F211" s="26" t="str">
        <x:v>AWC Banalapally</x:v>
      </x:c>
      <x:c r="G211" s="26" t="n">
        <x:v>713</x:v>
      </x:c>
      <x:c r="H211" s="26" t="n">
        <x:v>30516</x:v>
      </x:c>
      <x:c r="I211" s="26" t="str">
        <x:v>Kitchen</x:v>
      </x:c>
      <x:c r="J211" s="26" t="str">
        <x:v>Sq. Feet</x:v>
      </x:c>
      <x:c r="K211" s="26" t="n">
        <x:v>30</x:v>
      </x:c>
      <x:c r="L211" s="26" t="n">
        <x:v>30</x:v>
      </x:c>
      <x:c r="M211" s="26" t="n">
        <x:v>30</x:v>
      </x:c>
      <x:c r="N211" s="26" t="n">
        <x:v>0</x:v>
      </x:c>
      <x:c r="O211" s="26" t="n">
        <x:f>MAX(M211-N211,0)</x:f>
        <x:v>30</x:v>
      </x:c>
      <x:c r="P211" s="38" t="n">
        <x:f>IFERROR(N211/M211,0)</x:f>
        <x:v>0</x:v>
      </x:c>
      <x:c r="Q211" s="26" t="str">
        <x:v>Material/Assets/Equipment</x:v>
      </x:c>
      <x:c r="R211" s="26" t="str">
        <x:v>Civil Infrastructure</x:v>
      </x:c>
      <x:c r="S211" s="26" t="str">
        <x:v>Complex</x:v>
      </x:c>
      <x:c r="T211" s="26"/>
      <x:c r="U211" s="26"/>
      <x:c r="V211" s="26"/>
      <x:c r="W211" s="32"/>
      <x:c r="X211" s="27" t="b">
        <x:v>1</x:v>
      </x:c>
      <x:c r="Y211" s="34" t="n">
        <x:v>46220.01421296296</x:v>
      </x:c>
      <x:c r="Z211" s="26"/>
      <x:c r="AA211" s="26" t="str">
        <x:v>Banalapalli (36701020221)</x:v>
      </x:c>
      <x:c r="AB211" s="26" t="str">
        <x:v>Enriched from Mulugu project JSON</x:v>
      </x:c>
    </x:row>
    <x:row r="212">
      <x:c r="A212" s="26" t="n">
        <x:v>209</x:v>
      </x:c>
      <x:c r="B212" s="26" t="n">
        <x:v>257</x:v>
      </x:c>
      <x:c r="C212" s="26" t="str">
        <x:v>Mulugu</x:v>
      </x:c>
      <x:c r="D212" s="26" t="n">
        <x:v>8276</x:v>
      </x:c>
      <x:c r="E212" s="26" t="str">
        <x:v>PRJ-2026-0008276</x:v>
      </x:c>
      <x:c r="F212" s="26" t="str">
        <x:v>AWC Banalapally</x:v>
      </x:c>
      <x:c r="G212" s="26" t="n">
        <x:v>714</x:v>
      </x:c>
      <x:c r="H212" s="26" t="n">
        <x:v>30517</x:v>
      </x:c>
      <x:c r="I212" s="26" t="str">
        <x:v>Toys</x:v>
      </x:c>
      <x:c r="J212" s="26" t="str">
        <x:v>Number</x:v>
      </x:c>
      <x:c r="K212" s="26" t="n">
        <x:v>10</x:v>
      </x:c>
      <x:c r="L212" s="26" t="n">
        <x:v>10</x:v>
      </x:c>
      <x:c r="M212" s="26" t="n">
        <x:v>10</x:v>
      </x:c>
      <x:c r="N212" s="26" t="n">
        <x:v>0</x:v>
      </x:c>
      <x:c r="O212" s="26" t="n">
        <x:f>MAX(M212-N212,0)</x:f>
        <x:v>10</x:v>
      </x:c>
      <x:c r="P212" s="38" t="n">
        <x:f>IFERROR(N212/M212,0)</x:f>
        <x:v>0</x:v>
      </x:c>
      <x:c r="Q212" s="26" t="str">
        <x:v>Material/Assets/Equipment</x:v>
      </x:c>
      <x:c r="R212" s="26" t="str">
        <x:v>ECCE Equipment</x:v>
      </x:c>
      <x:c r="S212" s="26" t="str">
        <x:v>Minor</x:v>
      </x:c>
      <x:c r="T212" s="26"/>
      <x:c r="U212" s="26"/>
      <x:c r="V212" s="26"/>
      <x:c r="W212" s="32"/>
      <x:c r="X212" s="27" t="b">
        <x:v>1</x:v>
      </x:c>
      <x:c r="Y212" s="34" t="n">
        <x:v>46220.01421296296</x:v>
      </x:c>
      <x:c r="Z212" s="26"/>
      <x:c r="AA212" s="26" t="str">
        <x:v>Banalapalli (36701020221)</x:v>
      </x:c>
      <x:c r="AB212" s="26" t="str">
        <x:v>Enriched from Mulugu project JSON</x:v>
      </x:c>
    </x:row>
    <x:row r="213">
      <x:c r="A213" s="26" t="n">
        <x:v>210</x:v>
      </x:c>
      <x:c r="B213" s="26" t="n">
        <x:v>257</x:v>
      </x:c>
      <x:c r="C213" s="26" t="str">
        <x:v>Mulugu</x:v>
      </x:c>
      <x:c r="D213" s="26" t="n">
        <x:v>8276</x:v>
      </x:c>
      <x:c r="E213" s="26" t="str">
        <x:v>PRJ-2026-0008276</x:v>
      </x:c>
      <x:c r="F213" s="26" t="str">
        <x:v>AWC Banalapally</x:v>
      </x:c>
      <x:c r="G213" s="26" t="n">
        <x:v>715</x:v>
      </x:c>
      <x:c r="H213" s="26" t="n">
        <x:v>30518</x:v>
      </x:c>
      <x:c r="I213" s="26" t="str">
        <x:v>Games</x:v>
      </x:c>
      <x:c r="J213" s="26" t="str">
        <x:v>Number</x:v>
      </x:c>
      <x:c r="K213" s="26" t="n">
        <x:v>10</x:v>
      </x:c>
      <x:c r="L213" s="26" t="n">
        <x:v>10</x:v>
      </x:c>
      <x:c r="M213" s="26" t="n">
        <x:v>10</x:v>
      </x:c>
      <x:c r="N213" s="26" t="n">
        <x:v>0</x:v>
      </x:c>
      <x:c r="O213" s="26" t="n">
        <x:f>MAX(M213-N213,0)</x:f>
        <x:v>10</x:v>
      </x:c>
      <x:c r="P213" s="38" t="n">
        <x:f>IFERROR(N213/M213,0)</x:f>
        <x:v>0</x:v>
      </x:c>
      <x:c r="Q213" s="26" t="str">
        <x:v>Material/Assets/Equipment</x:v>
      </x:c>
      <x:c r="R213" s="26" t="str">
        <x:v>ECCE Equipment</x:v>
      </x:c>
      <x:c r="S213" s="26" t="str">
        <x:v>Minor</x:v>
      </x:c>
      <x:c r="T213" s="26"/>
      <x:c r="U213" s="26"/>
      <x:c r="V213" s="26"/>
      <x:c r="W213" s="32"/>
      <x:c r="X213" s="27" t="b">
        <x:v>1</x:v>
      </x:c>
      <x:c r="Y213" s="34" t="n">
        <x:v>46220.01421296296</x:v>
      </x:c>
      <x:c r="Z213" s="26"/>
      <x:c r="AA213" s="26" t="str">
        <x:v>Banalapalli (36701020221)</x:v>
      </x:c>
      <x:c r="AB213" s="26" t="str">
        <x:v>Enriched from Mulugu project JSON</x:v>
      </x:c>
    </x:row>
    <x:row r="214">
      <x:c r="A214" s="26" t="n">
        <x:v>211</x:v>
      </x:c>
      <x:c r="B214" s="26" t="n">
        <x:v>257</x:v>
      </x:c>
      <x:c r="C214" s="26" t="str">
        <x:v>Mulugu</x:v>
      </x:c>
      <x:c r="D214" s="26" t="n">
        <x:v>8276</x:v>
      </x:c>
      <x:c r="E214" s="26" t="str">
        <x:v>PRJ-2026-0008276</x:v>
      </x:c>
      <x:c r="F214" s="26" t="str">
        <x:v>AWC Banalapally</x:v>
      </x:c>
      <x:c r="G214" s="26" t="n">
        <x:v>716</x:v>
      </x:c>
      <x:c r="H214" s="26" t="n">
        <x:v>30519</x:v>
      </x:c>
      <x:c r="I214" s="26" t="str">
        <x:v>Chairs/Benches</x:v>
      </x:c>
      <x:c r="J214" s="26" t="str">
        <x:v>Number</x:v>
      </x:c>
      <x:c r="K214" s="26" t="n">
        <x:v>6</x:v>
      </x:c>
      <x:c r="L214" s="26" t="n">
        <x:v>6</x:v>
      </x:c>
      <x:c r="M214" s="26" t="n">
        <x:v>6</x:v>
      </x:c>
      <x:c r="N214" s="26" t="n">
        <x:v>0</x:v>
      </x:c>
      <x:c r="O214" s="26" t="n">
        <x:f>MAX(M214-N214,0)</x:f>
        <x:v>6</x:v>
      </x:c>
      <x:c r="P214" s="38" t="n">
        <x:f>IFERROR(N214/M214,0)</x:f>
        <x:v>0</x:v>
      </x:c>
      <x:c r="Q214" s="26" t="str">
        <x:v>Material/Assets/Equipment</x:v>
      </x:c>
      <x:c r="R214" s="26" t="str">
        <x:v>Educational Needs</x:v>
      </x:c>
      <x:c r="S214" s="26" t="str">
        <x:v>Minor</x:v>
      </x:c>
      <x:c r="T214" s="26"/>
      <x:c r="U214" s="26"/>
      <x:c r="V214" s="26"/>
      <x:c r="W214" s="32"/>
      <x:c r="X214" s="27" t="b">
        <x:v>1</x:v>
      </x:c>
      <x:c r="Y214" s="34" t="n">
        <x:v>46220.01421296296</x:v>
      </x:c>
      <x:c r="Z214" s="26"/>
      <x:c r="AA214" s="26" t="str">
        <x:v>Banalapalli (36701020221)</x:v>
      </x:c>
      <x:c r="AB214" s="26" t="str">
        <x:v>Enriched from Mulugu project JSON</x:v>
      </x:c>
    </x:row>
    <x:row r="215">
      <x:c r="A215" s="26" t="n">
        <x:v>212</x:v>
      </x:c>
      <x:c r="B215" s="26" t="n">
        <x:v>257</x:v>
      </x:c>
      <x:c r="C215" s="26" t="str">
        <x:v>Mulugu</x:v>
      </x:c>
      <x:c r="D215" s="26" t="n">
        <x:v>8276</x:v>
      </x:c>
      <x:c r="E215" s="26" t="str">
        <x:v>PRJ-2026-0008276</x:v>
      </x:c>
      <x:c r="F215" s="26" t="str">
        <x:v>AWC Banalapally</x:v>
      </x:c>
      <x:c r="G215" s="26" t="n">
        <x:v>717</x:v>
      </x:c>
      <x:c r="H215" s="26" t="n">
        <x:v>30520</x:v>
      </x:c>
      <x:c r="I215" s="26" t="str">
        <x:v>Tube Lights</x:v>
      </x:c>
      <x:c r="J215" s="26" t="str">
        <x:v>Number</x:v>
      </x:c>
      <x:c r="K215" s="26" t="n">
        <x:v>2</x:v>
      </x:c>
      <x:c r="L215" s="26" t="n">
        <x:v>2</x:v>
      </x:c>
      <x:c r="M215" s="26" t="n">
        <x:v>2</x:v>
      </x:c>
      <x:c r="N215" s="26" t="n">
        <x:v>0</x:v>
      </x:c>
      <x:c r="O215" s="26" t="n">
        <x:f>MAX(M215-N215,0)</x:f>
        <x:v>2</x:v>
      </x:c>
      <x:c r="P215" s="38" t="n">
        <x:f>IFERROR(N215/M215,0)</x:f>
        <x:v>0</x:v>
      </x:c>
      <x:c r="Q215" s="26" t="str">
        <x:v>Material/Assets/Equipment</x:v>
      </x:c>
      <x:c r="R215" s="26" t="str">
        <x:v>Electrical Infrastructure</x:v>
      </x:c>
      <x:c r="S215" s="26" t="str">
        <x:v>Medium</x:v>
      </x:c>
      <x:c r="T215" s="26"/>
      <x:c r="U215" s="26"/>
      <x:c r="V215" s="26"/>
      <x:c r="W215" s="32"/>
      <x:c r="X215" s="27" t="b">
        <x:v>1</x:v>
      </x:c>
      <x:c r="Y215" s="34" t="n">
        <x:v>46220.01421296296</x:v>
      </x:c>
      <x:c r="Z215" s="26"/>
      <x:c r="AA215" s="26" t="str">
        <x:v>Banalapalli (36701020221)</x:v>
      </x:c>
      <x:c r="AB215" s="26" t="str">
        <x:v>Enriched from Mulugu project JSON</x:v>
      </x:c>
    </x:row>
    <x:row r="216">
      <x:c r="A216" s="26" t="n">
        <x:v>213</x:v>
      </x:c>
      <x:c r="B216" s="26" t="n">
        <x:v>257</x:v>
      </x:c>
      <x:c r="C216" s="26" t="str">
        <x:v>Mulugu</x:v>
      </x:c>
      <x:c r="D216" s="26" t="n">
        <x:v>8276</x:v>
      </x:c>
      <x:c r="E216" s="26" t="str">
        <x:v>PRJ-2026-0008276</x:v>
      </x:c>
      <x:c r="F216" s="26" t="str">
        <x:v>AWC Banalapally</x:v>
      </x:c>
      <x:c r="G216" s="26" t="n">
        <x:v>718</x:v>
      </x:c>
      <x:c r="H216" s="26" t="n">
        <x:v>30521</x:v>
      </x:c>
      <x:c r="I216" s="26" t="str">
        <x:v>Exhaust Fans</x:v>
      </x:c>
      <x:c r="J216" s="26" t="str">
        <x:v>Number</x:v>
      </x:c>
      <x:c r="K216" s="26" t="n">
        <x:v>1</x:v>
      </x:c>
      <x:c r="L216" s="26" t="n">
        <x:v>1</x:v>
      </x:c>
      <x:c r="M216" s="26" t="n">
        <x:v>1</x:v>
      </x:c>
      <x:c r="N216" s="26" t="n">
        <x:v>0</x:v>
      </x:c>
      <x:c r="O216" s="26" t="n">
        <x:f>MAX(M216-N216,0)</x:f>
        <x:v>1</x:v>
      </x:c>
      <x:c r="P216" s="38" t="n">
        <x:f>IFERROR(N216/M216,0)</x:f>
        <x:v>0</x:v>
      </x:c>
      <x:c r="Q216" s="26" t="str">
        <x:v>Material/Assets/Equipment</x:v>
      </x:c>
      <x:c r="R216" s="26" t="str">
        <x:v>Electrical Infrastructure</x:v>
      </x:c>
      <x:c r="S216" s="26" t="str">
        <x:v>Medium</x:v>
      </x:c>
      <x:c r="T216" s="26"/>
      <x:c r="U216" s="26"/>
      <x:c r="V216" s="26"/>
      <x:c r="W216" s="32"/>
      <x:c r="X216" s="27" t="b">
        <x:v>1</x:v>
      </x:c>
      <x:c r="Y216" s="34" t="n">
        <x:v>46220.01421296296</x:v>
      </x:c>
      <x:c r="Z216" s="26"/>
      <x:c r="AA216" s="26" t="str">
        <x:v>Banalapalli (36701020221)</x:v>
      </x:c>
      <x:c r="AB216" s="26" t="str">
        <x:v>Enriched from Mulugu project JSON</x:v>
      </x:c>
    </x:row>
    <x:row r="217">
      <x:c r="A217" s="26" t="n">
        <x:v>214</x:v>
      </x:c>
      <x:c r="B217" s="26" t="n">
        <x:v>257</x:v>
      </x:c>
      <x:c r="C217" s="26" t="str">
        <x:v>Mulugu</x:v>
      </x:c>
      <x:c r="D217" s="26" t="n">
        <x:v>8276</x:v>
      </x:c>
      <x:c r="E217" s="26" t="str">
        <x:v>PRJ-2026-0008276</x:v>
      </x:c>
      <x:c r="F217" s="26" t="str">
        <x:v>AWC Banalapally</x:v>
      </x:c>
      <x:c r="G217" s="26" t="n">
        <x:v>719</x:v>
      </x:c>
      <x:c r="H217" s="26" t="n">
        <x:v>30522</x:v>
      </x:c>
      <x:c r="I217" s="26" t="str">
        <x:v>Cooking Equipments</x:v>
      </x:c>
      <x:c r="J217" s="26" t="str">
        <x:v>Number</x:v>
      </x:c>
      <x:c r="K217" s="26" t="n">
        <x:v>1</x:v>
      </x:c>
      <x:c r="L217" s="26" t="n">
        <x:v>1</x:v>
      </x:c>
      <x:c r="M217" s="26" t="n">
        <x:v>1</x:v>
      </x:c>
      <x:c r="N217" s="26" t="n">
        <x:v>0</x:v>
      </x:c>
      <x:c r="O217" s="26" t="n">
        <x:f>MAX(M217-N217,0)</x:f>
        <x:v>1</x:v>
      </x:c>
      <x:c r="P217" s="38" t="n">
        <x:f>IFERROR(N217/M217,0)</x:f>
        <x:v>0</x:v>
      </x:c>
      <x:c r="Q217" s="26" t="str">
        <x:v>Material/Assets/Equipment</x:v>
      </x:c>
      <x:c r="R217" s="26" t="str">
        <x:v>Electrical Infrastructure</x:v>
      </x:c>
      <x:c r="S217" s="26" t="str">
        <x:v>Medium</x:v>
      </x:c>
      <x:c r="T217" s="26"/>
      <x:c r="U217" s="26"/>
      <x:c r="V217" s="26"/>
      <x:c r="W217" s="32"/>
      <x:c r="X217" s="27" t="b">
        <x:v>1</x:v>
      </x:c>
      <x:c r="Y217" s="34" t="n">
        <x:v>46220.01421296296</x:v>
      </x:c>
      <x:c r="Z217" s="26"/>
      <x:c r="AA217" s="26" t="str">
        <x:v>Banalapalli (36701020221)</x:v>
      </x:c>
      <x:c r="AB217" s="26" t="str">
        <x:v>Enriched from Mulugu project JSON</x:v>
      </x:c>
    </x:row>
    <x:row r="218">
      <x:c r="A218" s="26" t="n">
        <x:v>215</x:v>
      </x:c>
      <x:c r="B218" s="26" t="n">
        <x:v>257</x:v>
      </x:c>
      <x:c r="C218" s="26" t="str">
        <x:v>Mulugu</x:v>
      </x:c>
      <x:c r="D218" s="26" t="n">
        <x:v>8276</x:v>
      </x:c>
      <x:c r="E218" s="26" t="str">
        <x:v>PRJ-2026-0008276</x:v>
      </x:c>
      <x:c r="F218" s="26" t="str">
        <x:v>AWC Banalapally</x:v>
      </x:c>
      <x:c r="G218" s="26" t="n">
        <x:v>720</x:v>
      </x:c>
      <x:c r="H218" s="26" t="n">
        <x:v>30523</x:v>
      </x:c>
      <x:c r="I218" s="26" t="str">
        <x:v>Chairs</x:v>
      </x:c>
      <x:c r="J218" s="26" t="str">
        <x:v>Number</x:v>
      </x:c>
      <x:c r="K218" s="26" t="n">
        <x:v>2</x:v>
      </x:c>
      <x:c r="L218" s="26" t="n">
        <x:v>2</x:v>
      </x:c>
      <x:c r="M218" s="26" t="n">
        <x:v>2</x:v>
      </x:c>
      <x:c r="N218" s="26" t="n">
        <x:v>0</x:v>
      </x:c>
      <x:c r="O218" s="26" t="n">
        <x:f>MAX(M218-N218,0)</x:f>
        <x:v>2</x:v>
      </x:c>
      <x:c r="P218" s="38" t="n">
        <x:f>IFERROR(N218/M218,0)</x:f>
        <x:v>0</x:v>
      </x:c>
      <x:c r="Q218" s="26" t="str">
        <x:v>Material/Assets/Equipment</x:v>
      </x:c>
      <x:c r="R218" s="26" t="str">
        <x:v>Office Needs</x:v>
      </x:c>
      <x:c r="S218" s="26" t="str">
        <x:v>Minor</x:v>
      </x:c>
      <x:c r="T218" s="26"/>
      <x:c r="U218" s="26"/>
      <x:c r="V218" s="26"/>
      <x:c r="W218" s="32"/>
      <x:c r="X218" s="27" t="b">
        <x:v>1</x:v>
      </x:c>
      <x:c r="Y218" s="34" t="n">
        <x:v>46220.01421296296</x:v>
      </x:c>
      <x:c r="Z218" s="26"/>
      <x:c r="AA218" s="26" t="str">
        <x:v>Banalapalli (36701020221)</x:v>
      </x:c>
      <x:c r="AB218" s="26" t="str">
        <x:v>Enriched from Mulugu project JSON</x:v>
      </x:c>
    </x:row>
    <x:row r="219">
      <x:c r="A219" s="26" t="n">
        <x:v>216</x:v>
      </x:c>
      <x:c r="B219" s="26" t="n">
        <x:v>256</x:v>
      </x:c>
      <x:c r="C219" s="26" t="str">
        <x:v>Mulugu</x:v>
      </x:c>
      <x:c r="D219" s="26" t="n">
        <x:v>10856</x:v>
      </x:c>
      <x:c r="E219" s="26" t="str">
        <x:v>PRJ-2026-0010856</x:v>
      </x:c>
      <x:c r="F219" s="26" t="str">
        <x:v>AWC Infrastructure</x:v>
      </x:c>
      <x:c r="G219" s="26" t="n">
        <x:v>711</x:v>
      </x:c>
      <x:c r="H219" s="26" t="n">
        <x:v>41550</x:v>
      </x:c>
      <x:c r="I219" s="26" t="str">
        <x:v>Kitchen</x:v>
      </x:c>
      <x:c r="J219" s="26" t="str">
        <x:v>Sq. Feet</x:v>
      </x:c>
      <x:c r="K219" s="26" t="n">
        <x:v>1</x:v>
      </x:c>
      <x:c r="L219" s="26" t="n">
        <x:v>1</x:v>
      </x:c>
      <x:c r="M219" s="26" t="n">
        <x:v>1</x:v>
      </x:c>
      <x:c r="N219" s="26" t="n">
        <x:v>0</x:v>
      </x:c>
      <x:c r="O219" s="26" t="n">
        <x:f>MAX(M219-N219,0)</x:f>
        <x:v>1</x:v>
      </x:c>
      <x:c r="P219" s="38" t="n">
        <x:f>IFERROR(N219/M219,0)</x:f>
        <x:v>0</x:v>
      </x:c>
      <x:c r="Q219" s="26" t="str">
        <x:v>Material/Assets/Equipment</x:v>
      </x:c>
      <x:c r="R219" s="26" t="str">
        <x:v>Civil Infrastructure</x:v>
      </x:c>
      <x:c r="S219" s="26" t="str">
        <x:v>Complex</x:v>
      </x:c>
      <x:c r="T219" s="26"/>
      <x:c r="U219" s="26"/>
      <x:c r="V219" s="26"/>
      <x:c r="W219" s="32"/>
      <x:c r="X219" s="27" t="b">
        <x:v>1</x:v>
      </x:c>
      <x:c r="Y219" s="34" t="n">
        <x:v>46220.01420138889</x:v>
      </x:c>
      <x:c r="Z219" s="26"/>
      <x:c r="AA219" s="26" t="str">
        <x:v>Arunachalapuram (36701040324)</x:v>
      </x:c>
      <x:c r="AB219" s="26" t="str">
        <x:v>Enriched from Mulugu project JSON</x:v>
      </x:c>
    </x:row>
    <x:row r="220">
      <x:c r="A220" s="26" t="n">
        <x:v>217</x:v>
      </x:c>
      <x:c r="B220" s="26" t="n">
        <x:v>256</x:v>
      </x:c>
      <x:c r="C220" s="26" t="str">
        <x:v>Mulugu</x:v>
      </x:c>
      <x:c r="D220" s="26" t="n">
        <x:v>10856</x:v>
      </x:c>
      <x:c r="E220" s="26" t="str">
        <x:v>PRJ-2026-0010856</x:v>
      </x:c>
      <x:c r="F220" s="26" t="str">
        <x:v>AWC Infrastructure</x:v>
      </x:c>
      <x:c r="G220" s="26" t="n">
        <x:v>712</x:v>
      </x:c>
      <x:c r="H220" s="26" t="n">
        <x:v>41551</x:v>
      </x:c>
      <x:c r="I220" s="26" t="str">
        <x:v>Rainwater Harvesting</x:v>
      </x:c>
      <x:c r="J220" s="26" t="str">
        <x:v>Sq. Feet</x:v>
      </x:c>
      <x:c r="K220" s="26" t="n">
        <x:v>1</x:v>
      </x:c>
      <x:c r="L220" s="26" t="n">
        <x:v>1</x:v>
      </x:c>
      <x:c r="M220" s="26" t="n">
        <x:v>1</x:v>
      </x:c>
      <x:c r="N220" s="26" t="n">
        <x:v>0</x:v>
      </x:c>
      <x:c r="O220" s="26" t="n">
        <x:f>MAX(M220-N220,0)</x:f>
        <x:v>1</x:v>
      </x:c>
      <x:c r="P220" s="38" t="n">
        <x:f>IFERROR(N220/M220,0)</x:f>
        <x:v>0</x:v>
      </x:c>
      <x:c r="Q220" s="26" t="str">
        <x:v>Material/Assets/Equipment</x:v>
      </x:c>
      <x:c r="R220" s="26" t="str">
        <x:v>Civil Infrastructure</x:v>
      </x:c>
      <x:c r="S220" s="26" t="str">
        <x:v>Complex</x:v>
      </x:c>
      <x:c r="T220" s="26"/>
      <x:c r="U220" s="26"/>
      <x:c r="V220" s="26"/>
      <x:c r="W220" s="32"/>
      <x:c r="X220" s="27" t="b">
        <x:v>1</x:v>
      </x:c>
      <x:c r="Y220" s="34" t="n">
        <x:v>46220.01420138889</x:v>
      </x:c>
      <x:c r="Z220" s="26"/>
      <x:c r="AA220" s="26" t="str">
        <x:v>Arunachalapuram (36701040324)</x:v>
      </x:c>
      <x:c r="AB220" s="26" t="str">
        <x:v>Enriched from Mulugu project JSON</x:v>
      </x:c>
    </x:row>
    <x:row r="221">
      <x:c r="A221" s="26" t="n">
        <x:v>218</x:v>
      </x:c>
      <x:c r="B221" s="26" t="n">
        <x:v>255</x:v>
      </x:c>
      <x:c r="C221" s="26" t="str">
        <x:v>Kumuram Bheem Asifabad</x:v>
      </x:c>
      <x:c r="D221" s="26" t="n">
        <x:v>9927</x:v>
      </x:c>
      <x:c r="E221" s="26" t="str">
        <x:v>PRJ-2026-0009927</x:v>
      </x:c>
      <x:c r="F221" s="26" t="str">
        <x:v>Rain Water Harvesting System : Water Filter Kitchen Construction : Poshan Vatika  kitchen Shelves : Gas stove, regulator : Solar Panel : Civil Repair : Toilet</x:v>
      </x:c>
      <x:c r="G221" s="26" t="n">
        <x:v>707</x:v>
      </x:c>
      <x:c r="H221" s="26" t="n">
        <x:v>37766</x:v>
      </x:c>
      <x:c r="I221" s="26"/>
      <x:c r="J221" s="26"/>
      <x:c r="K221" s="26"/>
      <x:c r="L221" s="26" t="n">
        <x:v>1</x:v>
      </x:c>
      <x:c r="M221" s="26" t="n">
        <x:v>1</x:v>
      </x:c>
      <x:c r="N221" s="26" t="n">
        <x:v>0</x:v>
      </x:c>
      <x:c r="O221" s="26" t="n">
        <x:f>MAX(M221-N221,0)</x:f>
        <x:v>1</x:v>
      </x:c>
      <x:c r="P221" s="38" t="n">
        <x:f>IFERROR(N221/M221,0)</x:f>
        <x:v>0</x:v>
      </x:c>
      <x:c r="Q221" s="26"/>
      <x:c r="R221" s="26"/>
      <x:c r="S221" s="26" t="str">
        <x:v>Pending Mapping</x:v>
      </x:c>
      <x:c r="T221" s="26"/>
      <x:c r="U221" s="26"/>
      <x:c r="V221" s="26"/>
      <x:c r="W221" s="32"/>
      <x:c r="X221" s="27" t="b">
        <x:v>1</x:v>
      </x:c>
      <x:c r="Y221" s="34" t="n">
        <x:v>46220.000069444446</x:v>
      </x:c>
      <x:c r="Z221" s="26"/>
      <x:c r="AA221" s="26" t="str"/>
      <x:c r="AB221" s="26" t="str">
        <x:v>Activity name/category not included in contribution response</x:v>
      </x:c>
    </x:row>
    <x:row r="222">
      <x:c r="A222" s="26" t="n">
        <x:v>219</x:v>
      </x:c>
      <x:c r="B222" s="26" t="n">
        <x:v>255</x:v>
      </x:c>
      <x:c r="C222" s="26" t="str">
        <x:v>Kumuram Bheem Asifabad</x:v>
      </x:c>
      <x:c r="D222" s="26" t="n">
        <x:v>9927</x:v>
      </x:c>
      <x:c r="E222" s="26" t="str">
        <x:v>PRJ-2026-0009927</x:v>
      </x:c>
      <x:c r="F222" s="26" t="str">
        <x:v>Rain Water Harvesting System : Water Filter Kitchen Construction : Poshan Vatika  kitchen Shelves : Gas stove, regulator : Solar Panel : Civil Repair : Toilet</x:v>
      </x:c>
      <x:c r="G222" s="26" t="n">
        <x:v>708</x:v>
      </x:c>
      <x:c r="H222" s="26" t="n">
        <x:v>37767</x:v>
      </x:c>
      <x:c r="I222" s="26"/>
      <x:c r="J222" s="26"/>
      <x:c r="K222" s="26"/>
      <x:c r="L222" s="26" t="n">
        <x:v>1</x:v>
      </x:c>
      <x:c r="M222" s="26" t="n">
        <x:v>1</x:v>
      </x:c>
      <x:c r="N222" s="26" t="n">
        <x:v>0</x:v>
      </x:c>
      <x:c r="O222" s="26" t="n">
        <x:f>MAX(M222-N222,0)</x:f>
        <x:v>1</x:v>
      </x:c>
      <x:c r="P222" s="38" t="n">
        <x:f>IFERROR(N222/M222,0)</x:f>
        <x:v>0</x:v>
      </x:c>
      <x:c r="Q222" s="26"/>
      <x:c r="R222" s="26"/>
      <x:c r="S222" s="26" t="str">
        <x:v>Pending Mapping</x:v>
      </x:c>
      <x:c r="T222" s="26"/>
      <x:c r="U222" s="26"/>
      <x:c r="V222" s="26"/>
      <x:c r="W222" s="32"/>
      <x:c r="X222" s="27" t="b">
        <x:v>1</x:v>
      </x:c>
      <x:c r="Y222" s="34" t="n">
        <x:v>46220.000069444446</x:v>
      </x:c>
      <x:c r="Z222" s="26"/>
      <x:c r="AA222" s="26" t="str"/>
      <x:c r="AB222" s="26" t="str">
        <x:v>Activity name/category not included in contribution response</x:v>
      </x:c>
    </x:row>
    <x:row r="223">
      <x:c r="A223" s="26" t="n">
        <x:v>220</x:v>
      </x:c>
      <x:c r="B223" s="26" t="n">
        <x:v>255</x:v>
      </x:c>
      <x:c r="C223" s="26" t="str">
        <x:v>Kumuram Bheem Asifabad</x:v>
      </x:c>
      <x:c r="D223" s="26" t="n">
        <x:v>9927</x:v>
      </x:c>
      <x:c r="E223" s="26" t="str">
        <x:v>PRJ-2026-0009927</x:v>
      </x:c>
      <x:c r="F223" s="26" t="str">
        <x:v>Rain Water Harvesting System : Water Filter Kitchen Construction : Poshan Vatika  kitchen Shelves : Gas stove, regulator : Solar Panel : Civil Repair : Toilet</x:v>
      </x:c>
      <x:c r="G223" s="26" t="n">
        <x:v>709</x:v>
      </x:c>
      <x:c r="H223" s="26" t="n">
        <x:v>37768</x:v>
      </x:c>
      <x:c r="I223" s="26"/>
      <x:c r="J223" s="26"/>
      <x:c r="K223" s="26"/>
      <x:c r="L223" s="26" t="n">
        <x:v>1</x:v>
      </x:c>
      <x:c r="M223" s="26" t="n">
        <x:v>1</x:v>
      </x:c>
      <x:c r="N223" s="26" t="n">
        <x:v>0</x:v>
      </x:c>
      <x:c r="O223" s="26" t="n">
        <x:f>MAX(M223-N223,0)</x:f>
        <x:v>1</x:v>
      </x:c>
      <x:c r="P223" s="38" t="n">
        <x:f>IFERROR(N223/M223,0)</x:f>
        <x:v>0</x:v>
      </x:c>
      <x:c r="Q223" s="26"/>
      <x:c r="R223" s="26"/>
      <x:c r="S223" s="26" t="str">
        <x:v>Pending Mapping</x:v>
      </x:c>
      <x:c r="T223" s="26"/>
      <x:c r="U223" s="26"/>
      <x:c r="V223" s="26"/>
      <x:c r="W223" s="32"/>
      <x:c r="X223" s="27" t="b">
        <x:v>1</x:v>
      </x:c>
      <x:c r="Y223" s="34" t="n">
        <x:v>46220.000069444446</x:v>
      </x:c>
      <x:c r="Z223" s="26"/>
      <x:c r="AA223" s="26" t="str"/>
      <x:c r="AB223" s="26" t="str">
        <x:v>Activity name/category not included in contribution response</x:v>
      </x:c>
    </x:row>
    <x:row r="224">
      <x:c r="A224" s="26" t="n">
        <x:v>221</x:v>
      </x:c>
      <x:c r="B224" s="26" t="n">
        <x:v>255</x:v>
      </x:c>
      <x:c r="C224" s="26" t="str">
        <x:v>Kumuram Bheem Asifabad</x:v>
      </x:c>
      <x:c r="D224" s="26" t="n">
        <x:v>9927</x:v>
      </x:c>
      <x:c r="E224" s="26" t="str">
        <x:v>PRJ-2026-0009927</x:v>
      </x:c>
      <x:c r="F224" s="26" t="str">
        <x:v>Rain Water Harvesting System : Water Filter Kitchen Construction : Poshan Vatika  kitchen Shelves : Gas stove, regulator : Solar Panel : Civil Repair : Toilet</x:v>
      </x:c>
      <x:c r="G224" s="26" t="n">
        <x:v>710</x:v>
      </x:c>
      <x:c r="H224" s="26" t="n">
        <x:v>37769</x:v>
      </x:c>
      <x:c r="I224" s="26"/>
      <x:c r="J224" s="26"/>
      <x:c r="K224" s="26"/>
      <x:c r="L224" s="26" t="n">
        <x:v>1</x:v>
      </x:c>
      <x:c r="M224" s="26" t="n">
        <x:v>1</x:v>
      </x:c>
      <x:c r="N224" s="26" t="n">
        <x:v>0</x:v>
      </x:c>
      <x:c r="O224" s="26" t="n">
        <x:f>MAX(M224-N224,0)</x:f>
        <x:v>1</x:v>
      </x:c>
      <x:c r="P224" s="38" t="n">
        <x:f>IFERROR(N224/M224,0)</x:f>
        <x:v>0</x:v>
      </x:c>
      <x:c r="Q224" s="26"/>
      <x:c r="R224" s="26"/>
      <x:c r="S224" s="26" t="str">
        <x:v>Pending Mapping</x:v>
      </x:c>
      <x:c r="T224" s="26"/>
      <x:c r="U224" s="26"/>
      <x:c r="V224" s="26"/>
      <x:c r="W224" s="32"/>
      <x:c r="X224" s="27" t="b">
        <x:v>1</x:v>
      </x:c>
      <x:c r="Y224" s="34" t="n">
        <x:v>46220.000069444446</x:v>
      </x:c>
      <x:c r="Z224" s="26"/>
      <x:c r="AA224" s="26" t="str"/>
      <x:c r="AB224" s="26" t="str">
        <x:v>Activity name/category not included in contribution response</x:v>
      </x:c>
    </x:row>
    <x:row r="225">
      <x:c r="A225" s="26" t="n">
        <x:v>222</x:v>
      </x:c>
      <x:c r="B225" s="26" t="n">
        <x:v>254</x:v>
      </x:c>
      <x:c r="C225" s="26" t="str">
        <x:v>Kumuram Bheem Asifabad</x:v>
      </x:c>
      <x:c r="D225" s="26" t="n">
        <x:v>9928</x:v>
      </x:c>
      <x:c r="E225" s="26" t="str">
        <x:v>PRJ-2026-0009928</x:v>
      </x:c>
      <x:c r="F225" s="26" t="str">
        <x:v>Proposal for upgradation of Anganwadi centre</x:v>
      </x:c>
      <x:c r="G225" s="26" t="n">
        <x:v>704</x:v>
      </x:c>
      <x:c r="H225" s="26" t="n">
        <x:v>37770</x:v>
      </x:c>
      <x:c r="I225" s="26"/>
      <x:c r="J225" s="26"/>
      <x:c r="K225" s="26"/>
      <x:c r="L225" s="26" t="n">
        <x:v>1</x:v>
      </x:c>
      <x:c r="M225" s="26" t="n">
        <x:v>1</x:v>
      </x:c>
      <x:c r="N225" s="26" t="n">
        <x:v>0</x:v>
      </x:c>
      <x:c r="O225" s="26" t="n">
        <x:f>MAX(M225-N225,0)</x:f>
        <x:v>1</x:v>
      </x:c>
      <x:c r="P225" s="38" t="n">
        <x:f>IFERROR(N225/M225,0)</x:f>
        <x:v>0</x:v>
      </x:c>
      <x:c r="Q225" s="26"/>
      <x:c r="R225" s="26"/>
      <x:c r="S225" s="26" t="str">
        <x:v>Pending Mapping</x:v>
      </x:c>
      <x:c r="T225" s="26"/>
      <x:c r="U225" s="26"/>
      <x:c r="V225" s="26"/>
      <x:c r="W225" s="32"/>
      <x:c r="X225" s="27" t="b">
        <x:v>1</x:v>
      </x:c>
      <x:c r="Y225" s="34" t="n">
        <x:v>46220.00005787037</x:v>
      </x:c>
      <x:c r="Z225" s="26"/>
      <x:c r="AA225" s="26" t="str"/>
      <x:c r="AB225" s="26" t="str">
        <x:v>Activity name/category not included in contribution response</x:v>
      </x:c>
    </x:row>
    <x:row r="226">
      <x:c r="A226" s="26" t="n">
        <x:v>223</x:v>
      </x:c>
      <x:c r="B226" s="26" t="n">
        <x:v>254</x:v>
      </x:c>
      <x:c r="C226" s="26" t="str">
        <x:v>Kumuram Bheem Asifabad</x:v>
      </x:c>
      <x:c r="D226" s="26" t="n">
        <x:v>9928</x:v>
      </x:c>
      <x:c r="E226" s="26" t="str">
        <x:v>PRJ-2026-0009928</x:v>
      </x:c>
      <x:c r="F226" s="26" t="str">
        <x:v>Proposal for upgradation of Anganwadi centre</x:v>
      </x:c>
      <x:c r="G226" s="26" t="n">
        <x:v>705</x:v>
      </x:c>
      <x:c r="H226" s="26" t="n">
        <x:v>37771</x:v>
      </x:c>
      <x:c r="I226" s="26"/>
      <x:c r="J226" s="26"/>
      <x:c r="K226" s="26"/>
      <x:c r="L226" s="26" t="n">
        <x:v>1</x:v>
      </x:c>
      <x:c r="M226" s="26" t="n">
        <x:v>1</x:v>
      </x:c>
      <x:c r="N226" s="26" t="n">
        <x:v>0</x:v>
      </x:c>
      <x:c r="O226" s="26" t="n">
        <x:f>MAX(M226-N226,0)</x:f>
        <x:v>1</x:v>
      </x:c>
      <x:c r="P226" s="38" t="n">
        <x:f>IFERROR(N226/M226,0)</x:f>
        <x:v>0</x:v>
      </x:c>
      <x:c r="Q226" s="26"/>
      <x:c r="R226" s="26"/>
      <x:c r="S226" s="26" t="str">
        <x:v>Pending Mapping</x:v>
      </x:c>
      <x:c r="T226" s="26"/>
      <x:c r="U226" s="26"/>
      <x:c r="V226" s="26"/>
      <x:c r="W226" s="32"/>
      <x:c r="X226" s="27" t="b">
        <x:v>1</x:v>
      </x:c>
      <x:c r="Y226" s="34" t="n">
        <x:v>46220.00005787037</x:v>
      </x:c>
      <x:c r="Z226" s="26"/>
      <x:c r="AA226" s="26" t="str"/>
      <x:c r="AB226" s="26" t="str">
        <x:v>Activity name/category not included in contribution response</x:v>
      </x:c>
    </x:row>
    <x:row r="227">
      <x:c r="A227" s="26" t="n">
        <x:v>224</x:v>
      </x:c>
      <x:c r="B227" s="26" t="n">
        <x:v>254</x:v>
      </x:c>
      <x:c r="C227" s="26" t="str">
        <x:v>Kumuram Bheem Asifabad</x:v>
      </x:c>
      <x:c r="D227" s="26" t="n">
        <x:v>9928</x:v>
      </x:c>
      <x:c r="E227" s="26" t="str">
        <x:v>PRJ-2026-0009928</x:v>
      </x:c>
      <x:c r="F227" s="26" t="str">
        <x:v>Proposal for upgradation of Anganwadi centre</x:v>
      </x:c>
      <x:c r="G227" s="26" t="n">
        <x:v>706</x:v>
      </x:c>
      <x:c r="H227" s="26" t="n">
        <x:v>37772</x:v>
      </x:c>
      <x:c r="I227" s="26"/>
      <x:c r="J227" s="26"/>
      <x:c r="K227" s="26"/>
      <x:c r="L227" s="26" t="n">
        <x:v>1</x:v>
      </x:c>
      <x:c r="M227" s="26" t="n">
        <x:v>1</x:v>
      </x:c>
      <x:c r="N227" s="26" t="n">
        <x:v>0</x:v>
      </x:c>
      <x:c r="O227" s="26" t="n">
        <x:f>MAX(M227-N227,0)</x:f>
        <x:v>1</x:v>
      </x:c>
      <x:c r="P227" s="38" t="n">
        <x:f>IFERROR(N227/M227,0)</x:f>
        <x:v>0</x:v>
      </x:c>
      <x:c r="Q227" s="26"/>
      <x:c r="R227" s="26"/>
      <x:c r="S227" s="26" t="str">
        <x:v>Pending Mapping</x:v>
      </x:c>
      <x:c r="T227" s="26"/>
      <x:c r="U227" s="26"/>
      <x:c r="V227" s="26"/>
      <x:c r="W227" s="32"/>
      <x:c r="X227" s="27" t="b">
        <x:v>1</x:v>
      </x:c>
      <x:c r="Y227" s="34" t="n">
        <x:v>46220.00005787037</x:v>
      </x:c>
      <x:c r="Z227" s="26"/>
      <x:c r="AA227" s="26" t="str"/>
      <x:c r="AB227" s="26" t="str">
        <x:v>Activity name/category not included in contribution response</x:v>
      </x:c>
    </x:row>
    <x:row r="228">
      <x:c r="A228" s="26" t="n">
        <x:v>225</x:v>
      </x:c>
      <x:c r="B228" s="26" t="n">
        <x:v>252</x:v>
      </x:c>
      <x:c r="C228" s="26" t="str">
        <x:v>Kumuram Bheem Asifabad</x:v>
      </x:c>
      <x:c r="D228" s="26" t="n">
        <x:v>9968</x:v>
      </x:c>
      <x:c r="E228" s="26" t="str">
        <x:v>PRJ-2026-0009968</x:v>
      </x:c>
      <x:c r="F228" s="26" t="str">
        <x:v>Proposal for upgradation of Anganwadi centre</x:v>
      </x:c>
      <x:c r="G228" s="26" t="n">
        <x:v>698</x:v>
      </x:c>
      <x:c r="H228" s="26" t="n">
        <x:v>37919</x:v>
      </x:c>
      <x:c r="I228" s="26"/>
      <x:c r="J228" s="26"/>
      <x:c r="K228" s="26"/>
      <x:c r="L228" s="26" t="n">
        <x:v>1</x:v>
      </x:c>
      <x:c r="M228" s="26" t="n">
        <x:v>1</x:v>
      </x:c>
      <x:c r="N228" s="26" t="n">
        <x:v>0</x:v>
      </x:c>
      <x:c r="O228" s="26" t="n">
        <x:f>MAX(M228-N228,0)</x:f>
        <x:v>1</x:v>
      </x:c>
      <x:c r="P228" s="38" t="n">
        <x:f>IFERROR(N228/M228,0)</x:f>
        <x:v>0</x:v>
      </x:c>
      <x:c r="Q228" s="26"/>
      <x:c r="R228" s="26"/>
      <x:c r="S228" s="26" t="str">
        <x:v>Pending Mapping</x:v>
      </x:c>
      <x:c r="T228" s="26"/>
      <x:c r="U228" s="26"/>
      <x:c r="V228" s="26"/>
      <x:c r="W228" s="32"/>
      <x:c r="X228" s="27" t="b">
        <x:v>1</x:v>
      </x:c>
      <x:c r="Y228" s="34" t="n">
        <x:v>46220.0000462963</x:v>
      </x:c>
      <x:c r="Z228" s="26"/>
      <x:c r="AA228" s="26" t="str"/>
      <x:c r="AB228" s="26" t="str">
        <x:v>Activity name/category not included in contribution response</x:v>
      </x:c>
    </x:row>
    <x:row r="229">
      <x:c r="A229" s="26" t="n">
        <x:v>226</x:v>
      </x:c>
      <x:c r="B229" s="26" t="n">
        <x:v>252</x:v>
      </x:c>
      <x:c r="C229" s="26" t="str">
        <x:v>Kumuram Bheem Asifabad</x:v>
      </x:c>
      <x:c r="D229" s="26" t="n">
        <x:v>9968</x:v>
      </x:c>
      <x:c r="E229" s="26" t="str">
        <x:v>PRJ-2026-0009968</x:v>
      </x:c>
      <x:c r="F229" s="26" t="str">
        <x:v>Proposal for upgradation of Anganwadi centre</x:v>
      </x:c>
      <x:c r="G229" s="26" t="n">
        <x:v>699</x:v>
      </x:c>
      <x:c r="H229" s="26" t="n">
        <x:v>37920</x:v>
      </x:c>
      <x:c r="I229" s="26"/>
      <x:c r="J229" s="26"/>
      <x:c r="K229" s="26"/>
      <x:c r="L229" s="26" t="n">
        <x:v>1</x:v>
      </x:c>
      <x:c r="M229" s="26" t="n">
        <x:v>1</x:v>
      </x:c>
      <x:c r="N229" s="26" t="n">
        <x:v>0</x:v>
      </x:c>
      <x:c r="O229" s="26" t="n">
        <x:f>MAX(M229-N229,0)</x:f>
        <x:v>1</x:v>
      </x:c>
      <x:c r="P229" s="38" t="n">
        <x:f>IFERROR(N229/M229,0)</x:f>
        <x:v>0</x:v>
      </x:c>
      <x:c r="Q229" s="26"/>
      <x:c r="R229" s="26"/>
      <x:c r="S229" s="26" t="str">
        <x:v>Pending Mapping</x:v>
      </x:c>
      <x:c r="T229" s="26"/>
      <x:c r="U229" s="26"/>
      <x:c r="V229" s="26"/>
      <x:c r="W229" s="32"/>
      <x:c r="X229" s="27" t="b">
        <x:v>1</x:v>
      </x:c>
      <x:c r="Y229" s="34" t="n">
        <x:v>46220.0000462963</x:v>
      </x:c>
      <x:c r="Z229" s="26"/>
      <x:c r="AA229" s="26" t="str"/>
      <x:c r="AB229" s="26" t="str">
        <x:v>Activity name/category not included in contribution response</x:v>
      </x:c>
    </x:row>
    <x:row r="230">
      <x:c r="A230" s="26" t="n">
        <x:v>227</x:v>
      </x:c>
      <x:c r="B230" s="26" t="n">
        <x:v>253</x:v>
      </x:c>
      <x:c r="C230" s="26" t="str">
        <x:v>Kumuram Bheem Asifabad</x:v>
      </x:c>
      <x:c r="D230" s="26" t="n">
        <x:v>9960</x:v>
      </x:c>
      <x:c r="E230" s="26" t="str">
        <x:v>PRJ-2026-0009960</x:v>
      </x:c>
      <x:c r="F230" s="26" t="str">
        <x:v>Rain Water Harvesting System : Water Filter Kitchen Construction : Poshan Vatika  kitchen Shelves : Gas stove, regulator : Solar Panel : Civil Repair : Toilet</x:v>
      </x:c>
      <x:c r="G230" s="26" t="n">
        <x:v>700</x:v>
      </x:c>
      <x:c r="H230" s="26" t="n">
        <x:v>37891</x:v>
      </x:c>
      <x:c r="I230" s="26"/>
      <x:c r="J230" s="26"/>
      <x:c r="K230" s="26"/>
      <x:c r="L230" s="26" t="n">
        <x:v>1</x:v>
      </x:c>
      <x:c r="M230" s="26" t="n">
        <x:v>1</x:v>
      </x:c>
      <x:c r="N230" s="26" t="n">
        <x:v>0</x:v>
      </x:c>
      <x:c r="O230" s="26" t="n">
        <x:f>MAX(M230-N230,0)</x:f>
        <x:v>1</x:v>
      </x:c>
      <x:c r="P230" s="38" t="n">
        <x:f>IFERROR(N230/M230,0)</x:f>
        <x:v>0</x:v>
      </x:c>
      <x:c r="Q230" s="26"/>
      <x:c r="R230" s="26"/>
      <x:c r="S230" s="26" t="str">
        <x:v>Pending Mapping</x:v>
      </x:c>
      <x:c r="T230" s="26"/>
      <x:c r="U230" s="26"/>
      <x:c r="V230" s="26"/>
      <x:c r="W230" s="32"/>
      <x:c r="X230" s="27" t="b">
        <x:v>1</x:v>
      </x:c>
      <x:c r="Y230" s="34" t="n">
        <x:v>46220.0000462963</x:v>
      </x:c>
      <x:c r="Z230" s="26"/>
      <x:c r="AA230" s="26" t="str"/>
      <x:c r="AB230" s="26" t="str">
        <x:v>Activity name/category not included in contribution response</x:v>
      </x:c>
    </x:row>
    <x:row r="231">
      <x:c r="A231" s="26" t="n">
        <x:v>228</x:v>
      </x:c>
      <x:c r="B231" s="26" t="n">
        <x:v>253</x:v>
      </x:c>
      <x:c r="C231" s="26" t="str">
        <x:v>Kumuram Bheem Asifabad</x:v>
      </x:c>
      <x:c r="D231" s="26" t="n">
        <x:v>9960</x:v>
      </x:c>
      <x:c r="E231" s="26" t="str">
        <x:v>PRJ-2026-0009960</x:v>
      </x:c>
      <x:c r="F231" s="26" t="str">
        <x:v>Rain Water Harvesting System : Water Filter Kitchen Construction : Poshan Vatika  kitchen Shelves : Gas stove, regulator : Solar Panel : Civil Repair : Toilet</x:v>
      </x:c>
      <x:c r="G231" s="26" t="n">
        <x:v>701</x:v>
      </x:c>
      <x:c r="H231" s="26" t="n">
        <x:v>37892</x:v>
      </x:c>
      <x:c r="I231" s="26"/>
      <x:c r="J231" s="26"/>
      <x:c r="K231" s="26"/>
      <x:c r="L231" s="26" t="n">
        <x:v>1</x:v>
      </x:c>
      <x:c r="M231" s="26" t="n">
        <x:v>1</x:v>
      </x:c>
      <x:c r="N231" s="26" t="n">
        <x:v>0</x:v>
      </x:c>
      <x:c r="O231" s="26" t="n">
        <x:f>MAX(M231-N231,0)</x:f>
        <x:v>1</x:v>
      </x:c>
      <x:c r="P231" s="38" t="n">
        <x:f>IFERROR(N231/M231,0)</x:f>
        <x:v>0</x:v>
      </x:c>
      <x:c r="Q231" s="26"/>
      <x:c r="R231" s="26"/>
      <x:c r="S231" s="26" t="str">
        <x:v>Pending Mapping</x:v>
      </x:c>
      <x:c r="T231" s="26"/>
      <x:c r="U231" s="26"/>
      <x:c r="V231" s="26"/>
      <x:c r="W231" s="32"/>
      <x:c r="X231" s="27" t="b">
        <x:v>1</x:v>
      </x:c>
      <x:c r="Y231" s="34" t="n">
        <x:v>46220.0000462963</x:v>
      </x:c>
      <x:c r="Z231" s="26"/>
      <x:c r="AA231" s="26" t="str"/>
      <x:c r="AB231" s="26" t="str">
        <x:v>Activity name/category not included in contribution response</x:v>
      </x:c>
    </x:row>
    <x:row r="232">
      <x:c r="A232" s="26" t="n">
        <x:v>229</x:v>
      </x:c>
      <x:c r="B232" s="26" t="n">
        <x:v>253</x:v>
      </x:c>
      <x:c r="C232" s="26" t="str">
        <x:v>Kumuram Bheem Asifabad</x:v>
      </x:c>
      <x:c r="D232" s="26" t="n">
        <x:v>9960</x:v>
      </x:c>
      <x:c r="E232" s="26" t="str">
        <x:v>PRJ-2026-0009960</x:v>
      </x:c>
      <x:c r="F232" s="26" t="str">
        <x:v>Rain Water Harvesting System : Water Filter Kitchen Construction : Poshan Vatika  kitchen Shelves : Gas stove, regulator : Solar Panel : Civil Repair : Toilet</x:v>
      </x:c>
      <x:c r="G232" s="26" t="n">
        <x:v>702</x:v>
      </x:c>
      <x:c r="H232" s="26" t="n">
        <x:v>37893</x:v>
      </x:c>
      <x:c r="I232" s="26"/>
      <x:c r="J232" s="26"/>
      <x:c r="K232" s="26"/>
      <x:c r="L232" s="26" t="n">
        <x:v>1</x:v>
      </x:c>
      <x:c r="M232" s="26" t="n">
        <x:v>1</x:v>
      </x:c>
      <x:c r="N232" s="26" t="n">
        <x:v>0</x:v>
      </x:c>
      <x:c r="O232" s="26" t="n">
        <x:f>MAX(M232-N232,0)</x:f>
        <x:v>1</x:v>
      </x:c>
      <x:c r="P232" s="38" t="n">
        <x:f>IFERROR(N232/M232,0)</x:f>
        <x:v>0</x:v>
      </x:c>
      <x:c r="Q232" s="26"/>
      <x:c r="R232" s="26"/>
      <x:c r="S232" s="26" t="str">
        <x:v>Pending Mapping</x:v>
      </x:c>
      <x:c r="T232" s="26"/>
      <x:c r="U232" s="26"/>
      <x:c r="V232" s="26"/>
      <x:c r="W232" s="32"/>
      <x:c r="X232" s="27" t="b">
        <x:v>1</x:v>
      </x:c>
      <x:c r="Y232" s="34" t="n">
        <x:v>46220.0000462963</x:v>
      </x:c>
      <x:c r="Z232" s="26"/>
      <x:c r="AA232" s="26" t="str"/>
      <x:c r="AB232" s="26" t="str">
        <x:v>Activity name/category not included in contribution response</x:v>
      </x:c>
    </x:row>
    <x:row r="233">
      <x:c r="A233" s="26" t="n">
        <x:v>230</x:v>
      </x:c>
      <x:c r="B233" s="26" t="n">
        <x:v>253</x:v>
      </x:c>
      <x:c r="C233" s="26" t="str">
        <x:v>Kumuram Bheem Asifabad</x:v>
      </x:c>
      <x:c r="D233" s="26" t="n">
        <x:v>9960</x:v>
      </x:c>
      <x:c r="E233" s="26" t="str">
        <x:v>PRJ-2026-0009960</x:v>
      </x:c>
      <x:c r="F233" s="26" t="str">
        <x:v>Rain Water Harvesting System : Water Filter Kitchen Construction : Poshan Vatika  kitchen Shelves : Gas stove, regulator : Solar Panel : Civil Repair : Toilet</x:v>
      </x:c>
      <x:c r="G233" s="26" t="n">
        <x:v>703</x:v>
      </x:c>
      <x:c r="H233" s="26" t="n">
        <x:v>37894</x:v>
      </x:c>
      <x:c r="I233" s="26"/>
      <x:c r="J233" s="26"/>
      <x:c r="K233" s="26"/>
      <x:c r="L233" s="26" t="n">
        <x:v>1</x:v>
      </x:c>
      <x:c r="M233" s="26" t="n">
        <x:v>1</x:v>
      </x:c>
      <x:c r="N233" s="26" t="n">
        <x:v>0</x:v>
      </x:c>
      <x:c r="O233" s="26" t="n">
        <x:f>MAX(M233-N233,0)</x:f>
        <x:v>1</x:v>
      </x:c>
      <x:c r="P233" s="38" t="n">
        <x:f>IFERROR(N233/M233,0)</x:f>
        <x:v>0</x:v>
      </x:c>
      <x:c r="Q233" s="26"/>
      <x:c r="R233" s="26"/>
      <x:c r="S233" s="26" t="str">
        <x:v>Pending Mapping</x:v>
      </x:c>
      <x:c r="T233" s="26"/>
      <x:c r="U233" s="26"/>
      <x:c r="V233" s="26"/>
      <x:c r="W233" s="32"/>
      <x:c r="X233" s="27" t="b">
        <x:v>1</x:v>
      </x:c>
      <x:c r="Y233" s="34" t="n">
        <x:v>46220.0000462963</x:v>
      </x:c>
      <x:c r="Z233" s="26"/>
      <x:c r="AA233" s="26" t="str"/>
      <x:c r="AB233" s="26" t="str">
        <x:v>Activity name/category not included in contribution response</x:v>
      </x:c>
    </x:row>
    <x:row r="234">
      <x:c r="A234" s="26" t="n">
        <x:v>231</x:v>
      </x:c>
      <x:c r="B234" s="26" t="n">
        <x:v>250</x:v>
      </x:c>
      <x:c r="C234" s="26" t="str">
        <x:v>Kumuram Bheem Asifabad</x:v>
      </x:c>
      <x:c r="D234" s="26" t="n">
        <x:v>10004</x:v>
      </x:c>
      <x:c r="E234" s="26" t="str">
        <x:v>PRJ-2026-0010004</x:v>
      </x:c>
      <x:c r="F234" s="26" t="str">
        <x:v>Proposal for upgradation of AWC</x:v>
      </x:c>
      <x:c r="G234" s="26" t="n">
        <x:v>692</x:v>
      </x:c>
      <x:c r="H234" s="26" t="n">
        <x:v>38073</x:v>
      </x:c>
      <x:c r="I234" s="26"/>
      <x:c r="J234" s="26"/>
      <x:c r="K234" s="26"/>
      <x:c r="L234" s="26" t="n">
        <x:v>1</x:v>
      </x:c>
      <x:c r="M234" s="26" t="n">
        <x:v>1</x:v>
      </x:c>
      <x:c r="N234" s="26" t="n">
        <x:v>0</x:v>
      </x:c>
      <x:c r="O234" s="26" t="n">
        <x:f>MAX(M234-N234,0)</x:f>
        <x:v>1</x:v>
      </x:c>
      <x:c r="P234" s="38" t="n">
        <x:f>IFERROR(N234/M234,0)</x:f>
        <x:v>0</x:v>
      </x:c>
      <x:c r="Q234" s="26"/>
      <x:c r="R234" s="26"/>
      <x:c r="S234" s="26" t="str">
        <x:v>Pending Mapping</x:v>
      </x:c>
      <x:c r="T234" s="26"/>
      <x:c r="U234" s="26"/>
      <x:c r="V234" s="26"/>
      <x:c r="W234" s="32"/>
      <x:c r="X234" s="27" t="b">
        <x:v>1</x:v>
      </x:c>
      <x:c r="Y234" s="34" t="n">
        <x:v>46220.00003472222</x:v>
      </x:c>
      <x:c r="Z234" s="26"/>
      <x:c r="AA234" s="26" t="str"/>
      <x:c r="AB234" s="26" t="str">
        <x:v>Activity name/category not included in contribution response</x:v>
      </x:c>
    </x:row>
    <x:row r="235">
      <x:c r="A235" s="26" t="n">
        <x:v>232</x:v>
      </x:c>
      <x:c r="B235" s="26" t="n">
        <x:v>250</x:v>
      </x:c>
      <x:c r="C235" s="26" t="str">
        <x:v>Kumuram Bheem Asifabad</x:v>
      </x:c>
      <x:c r="D235" s="26" t="n">
        <x:v>10004</x:v>
      </x:c>
      <x:c r="E235" s="26" t="str">
        <x:v>PRJ-2026-0010004</x:v>
      </x:c>
      <x:c r="F235" s="26" t="str">
        <x:v>Proposal for upgradation of AWC</x:v>
      </x:c>
      <x:c r="G235" s="26" t="n">
        <x:v>693</x:v>
      </x:c>
      <x:c r="H235" s="26" t="n">
        <x:v>38074</x:v>
      </x:c>
      <x:c r="I235" s="26"/>
      <x:c r="J235" s="26"/>
      <x:c r="K235" s="26"/>
      <x:c r="L235" s="26" t="n">
        <x:v>1</x:v>
      </x:c>
      <x:c r="M235" s="26" t="n">
        <x:v>1</x:v>
      </x:c>
      <x:c r="N235" s="26" t="n">
        <x:v>0</x:v>
      </x:c>
      <x:c r="O235" s="26" t="n">
        <x:f>MAX(M235-N235,0)</x:f>
        <x:v>1</x:v>
      </x:c>
      <x:c r="P235" s="38" t="n">
        <x:f>IFERROR(N235/M235,0)</x:f>
        <x:v>0</x:v>
      </x:c>
      <x:c r="Q235" s="26"/>
      <x:c r="R235" s="26"/>
      <x:c r="S235" s="26" t="str">
        <x:v>Pending Mapping</x:v>
      </x:c>
      <x:c r="T235" s="26"/>
      <x:c r="U235" s="26"/>
      <x:c r="V235" s="26"/>
      <x:c r="W235" s="32"/>
      <x:c r="X235" s="27" t="b">
        <x:v>1</x:v>
      </x:c>
      <x:c r="Y235" s="34" t="n">
        <x:v>46220.00003472222</x:v>
      </x:c>
      <x:c r="Z235" s="26"/>
      <x:c r="AA235" s="26" t="str"/>
      <x:c r="AB235" s="26" t="str">
        <x:v>Activity name/category not included in contribution response</x:v>
      </x:c>
    </x:row>
    <x:row r="236">
      <x:c r="A236" s="26" t="n">
        <x:v>233</x:v>
      </x:c>
      <x:c r="B236" s="26" t="n">
        <x:v>251</x:v>
      </x:c>
      <x:c r="C236" s="26" t="str">
        <x:v>Kumuram Bheem Asifabad</x:v>
      </x:c>
      <x:c r="D236" s="26" t="n">
        <x:v>9991</x:v>
      </x:c>
      <x:c r="E236" s="26" t="str">
        <x:v>PRJ-2026-0009991</x:v>
      </x:c>
      <x:c r="F236" s="26" t="str">
        <x:v>Rain Water Harvesting System : Water Filter Kitchen Construction : Poshan Vatika  kitchen Shelves : Gas stove, regulator : Solar Panel : Civil Repair : Toilet</x:v>
      </x:c>
      <x:c r="G236" s="26" t="n">
        <x:v>694</x:v>
      </x:c>
      <x:c r="H236" s="26" t="n">
        <x:v>38027</x:v>
      </x:c>
      <x:c r="I236" s="26"/>
      <x:c r="J236" s="26"/>
      <x:c r="K236" s="26"/>
      <x:c r="L236" s="26" t="n">
        <x:v>1</x:v>
      </x:c>
      <x:c r="M236" s="26" t="n">
        <x:v>1</x:v>
      </x:c>
      <x:c r="N236" s="26" t="n">
        <x:v>0</x:v>
      </x:c>
      <x:c r="O236" s="26" t="n">
        <x:f>MAX(M236-N236,0)</x:f>
        <x:v>1</x:v>
      </x:c>
      <x:c r="P236" s="38" t="n">
        <x:f>IFERROR(N236/M236,0)</x:f>
        <x:v>0</x:v>
      </x:c>
      <x:c r="Q236" s="26"/>
      <x:c r="R236" s="26"/>
      <x:c r="S236" s="26" t="str">
        <x:v>Pending Mapping</x:v>
      </x:c>
      <x:c r="T236" s="26"/>
      <x:c r="U236" s="26"/>
      <x:c r="V236" s="26"/>
      <x:c r="W236" s="32"/>
      <x:c r="X236" s="27" t="b">
        <x:v>1</x:v>
      </x:c>
      <x:c r="Y236" s="34" t="n">
        <x:v>46220.00003472222</x:v>
      </x:c>
      <x:c r="Z236" s="26"/>
      <x:c r="AA236" s="26" t="str"/>
      <x:c r="AB236" s="26" t="str">
        <x:v>Activity name/category not included in contribution response</x:v>
      </x:c>
    </x:row>
    <x:row r="237">
      <x:c r="A237" s="26" t="n">
        <x:v>234</x:v>
      </x:c>
      <x:c r="B237" s="26" t="n">
        <x:v>251</x:v>
      </x:c>
      <x:c r="C237" s="26" t="str">
        <x:v>Kumuram Bheem Asifabad</x:v>
      </x:c>
      <x:c r="D237" s="26" t="n">
        <x:v>9991</x:v>
      </x:c>
      <x:c r="E237" s="26" t="str">
        <x:v>PRJ-2026-0009991</x:v>
      </x:c>
      <x:c r="F237" s="26" t="str">
        <x:v>Rain Water Harvesting System : Water Filter Kitchen Construction : Poshan Vatika  kitchen Shelves : Gas stove, regulator : Solar Panel : Civil Repair : Toilet</x:v>
      </x:c>
      <x:c r="G237" s="26" t="n">
        <x:v>695</x:v>
      </x:c>
      <x:c r="H237" s="26" t="n">
        <x:v>38028</x:v>
      </x:c>
      <x:c r="I237" s="26"/>
      <x:c r="J237" s="26"/>
      <x:c r="K237" s="26"/>
      <x:c r="L237" s="26" t="n">
        <x:v>1</x:v>
      </x:c>
      <x:c r="M237" s="26" t="n">
        <x:v>1</x:v>
      </x:c>
      <x:c r="N237" s="26" t="n">
        <x:v>0</x:v>
      </x:c>
      <x:c r="O237" s="26" t="n">
        <x:f>MAX(M237-N237,0)</x:f>
        <x:v>1</x:v>
      </x:c>
      <x:c r="P237" s="38" t="n">
        <x:f>IFERROR(N237/M237,0)</x:f>
        <x:v>0</x:v>
      </x:c>
      <x:c r="Q237" s="26"/>
      <x:c r="R237" s="26"/>
      <x:c r="S237" s="26" t="str">
        <x:v>Pending Mapping</x:v>
      </x:c>
      <x:c r="T237" s="26"/>
      <x:c r="U237" s="26"/>
      <x:c r="V237" s="26"/>
      <x:c r="W237" s="32"/>
      <x:c r="X237" s="27" t="b">
        <x:v>1</x:v>
      </x:c>
      <x:c r="Y237" s="34" t="n">
        <x:v>46220.00003472222</x:v>
      </x:c>
      <x:c r="Z237" s="26"/>
      <x:c r="AA237" s="26" t="str"/>
      <x:c r="AB237" s="26" t="str">
        <x:v>Activity name/category not included in contribution response</x:v>
      </x:c>
    </x:row>
    <x:row r="238">
      <x:c r="A238" s="26" t="n">
        <x:v>235</x:v>
      </x:c>
      <x:c r="B238" s="26" t="n">
        <x:v>251</x:v>
      </x:c>
      <x:c r="C238" s="26" t="str">
        <x:v>Kumuram Bheem Asifabad</x:v>
      </x:c>
      <x:c r="D238" s="26" t="n">
        <x:v>9991</x:v>
      </x:c>
      <x:c r="E238" s="26" t="str">
        <x:v>PRJ-2026-0009991</x:v>
      </x:c>
      <x:c r="F238" s="26" t="str">
        <x:v>Rain Water Harvesting System : Water Filter Kitchen Construction : Poshan Vatika  kitchen Shelves : Gas stove, regulator : Solar Panel : Civil Repair : Toilet</x:v>
      </x:c>
      <x:c r="G238" s="26" t="n">
        <x:v>696</x:v>
      </x:c>
      <x:c r="H238" s="26" t="n">
        <x:v>38029</x:v>
      </x:c>
      <x:c r="I238" s="26"/>
      <x:c r="J238" s="26"/>
      <x:c r="K238" s="26"/>
      <x:c r="L238" s="26" t="n">
        <x:v>1</x:v>
      </x:c>
      <x:c r="M238" s="26" t="n">
        <x:v>1</x:v>
      </x:c>
      <x:c r="N238" s="26" t="n">
        <x:v>0</x:v>
      </x:c>
      <x:c r="O238" s="26" t="n">
        <x:f>MAX(M238-N238,0)</x:f>
        <x:v>1</x:v>
      </x:c>
      <x:c r="P238" s="38" t="n">
        <x:f>IFERROR(N238/M238,0)</x:f>
        <x:v>0</x:v>
      </x:c>
      <x:c r="Q238" s="26"/>
      <x:c r="R238" s="26"/>
      <x:c r="S238" s="26" t="str">
        <x:v>Pending Mapping</x:v>
      </x:c>
      <x:c r="T238" s="26"/>
      <x:c r="U238" s="26"/>
      <x:c r="V238" s="26"/>
      <x:c r="W238" s="32"/>
      <x:c r="X238" s="27" t="b">
        <x:v>1</x:v>
      </x:c>
      <x:c r="Y238" s="34" t="n">
        <x:v>46220.00003472222</x:v>
      </x:c>
      <x:c r="Z238" s="26"/>
      <x:c r="AA238" s="26" t="str"/>
      <x:c r="AB238" s="26" t="str">
        <x:v>Activity name/category not included in contribution response</x:v>
      </x:c>
    </x:row>
    <x:row r="239">
      <x:c r="A239" s="26" t="n">
        <x:v>236</x:v>
      </x:c>
      <x:c r="B239" s="26" t="n">
        <x:v>251</x:v>
      </x:c>
      <x:c r="C239" s="26" t="str">
        <x:v>Kumuram Bheem Asifabad</x:v>
      </x:c>
      <x:c r="D239" s="26" t="n">
        <x:v>9991</x:v>
      </x:c>
      <x:c r="E239" s="26" t="str">
        <x:v>PRJ-2026-0009991</x:v>
      </x:c>
      <x:c r="F239" s="26" t="str">
        <x:v>Rain Water Harvesting System : Water Filter Kitchen Construction : Poshan Vatika  kitchen Shelves : Gas stove, regulator : Solar Panel : Civil Repair : Toilet</x:v>
      </x:c>
      <x:c r="G239" s="26" t="n">
        <x:v>697</x:v>
      </x:c>
      <x:c r="H239" s="26" t="n">
        <x:v>38030</x:v>
      </x:c>
      <x:c r="I239" s="26"/>
      <x:c r="J239" s="26"/>
      <x:c r="K239" s="26"/>
      <x:c r="L239" s="26" t="n">
        <x:v>1</x:v>
      </x:c>
      <x:c r="M239" s="26" t="n">
        <x:v>1</x:v>
      </x:c>
      <x:c r="N239" s="26" t="n">
        <x:v>0</x:v>
      </x:c>
      <x:c r="O239" s="26" t="n">
        <x:f>MAX(M239-N239,0)</x:f>
        <x:v>1</x:v>
      </x:c>
      <x:c r="P239" s="38" t="n">
        <x:f>IFERROR(N239/M239,0)</x:f>
        <x:v>0</x:v>
      </x:c>
      <x:c r="Q239" s="26"/>
      <x:c r="R239" s="26"/>
      <x:c r="S239" s="26" t="str">
        <x:v>Pending Mapping</x:v>
      </x:c>
      <x:c r="T239" s="26"/>
      <x:c r="U239" s="26"/>
      <x:c r="V239" s="26"/>
      <x:c r="W239" s="32"/>
      <x:c r="X239" s="27" t="b">
        <x:v>1</x:v>
      </x:c>
      <x:c r="Y239" s="34" t="n">
        <x:v>46220.00003472222</x:v>
      </x:c>
      <x:c r="Z239" s="26"/>
      <x:c r="AA239" s="26" t="str"/>
      <x:c r="AB239" s="26" t="str">
        <x:v>Activity name/category not included in contribution response</x:v>
      </x:c>
    </x:row>
    <x:row r="240">
      <x:c r="A240" s="26" t="n">
        <x:v>237</x:v>
      </x:c>
      <x:c r="B240" s="26" t="n">
        <x:v>249</x:v>
      </x:c>
      <x:c r="C240" s="26" t="str">
        <x:v>Kumuram Bheem Asifabad</x:v>
      </x:c>
      <x:c r="D240" s="26" t="n">
        <x:v>10024</x:v>
      </x:c>
      <x:c r="E240" s="26" t="str">
        <x:v>PRJ-2026-0010024</x:v>
      </x:c>
      <x:c r="F240" s="26" t="str">
        <x:v>Rain Water Harvesting System : Water Filter Kitchen Construction : Poshan Vatika  kitchen Shelves : Gas stove, regulator : Solar Panel : Civil Repair : Toilet</x:v>
      </x:c>
      <x:c r="G240" s="26" t="n">
        <x:v>688</x:v>
      </x:c>
      <x:c r="H240" s="26" t="n">
        <x:v>38146</x:v>
      </x:c>
      <x:c r="I240" s="26"/>
      <x:c r="J240" s="26"/>
      <x:c r="K240" s="26"/>
      <x:c r="L240" s="26" t="n">
        <x:v>1</x:v>
      </x:c>
      <x:c r="M240" s="26" t="n">
        <x:v>1</x:v>
      </x:c>
      <x:c r="N240" s="26" t="n">
        <x:v>0</x:v>
      </x:c>
      <x:c r="O240" s="26" t="n">
        <x:f>MAX(M240-N240,0)</x:f>
        <x:v>1</x:v>
      </x:c>
      <x:c r="P240" s="38" t="n">
        <x:f>IFERROR(N240/M240,0)</x:f>
        <x:v>0</x:v>
      </x:c>
      <x:c r="Q240" s="26"/>
      <x:c r="R240" s="26"/>
      <x:c r="S240" s="26" t="str">
        <x:v>Pending Mapping</x:v>
      </x:c>
      <x:c r="T240" s="26"/>
      <x:c r="U240" s="26"/>
      <x:c r="V240" s="26"/>
      <x:c r="W240" s="32"/>
      <x:c r="X240" s="27" t="b">
        <x:v>1</x:v>
      </x:c>
      <x:c r="Y240" s="34" t="n">
        <x:v>46220.000023148146</x:v>
      </x:c>
      <x:c r="Z240" s="26"/>
      <x:c r="AA240" s="26" t="str"/>
      <x:c r="AB240" s="26" t="str">
        <x:v>Activity name/category not included in contribution response</x:v>
      </x:c>
    </x:row>
    <x:row r="241">
      <x:c r="A241" s="26" t="n">
        <x:v>238</x:v>
      </x:c>
      <x:c r="B241" s="26" t="n">
        <x:v>249</x:v>
      </x:c>
      <x:c r="C241" s="26" t="str">
        <x:v>Kumuram Bheem Asifabad</x:v>
      </x:c>
      <x:c r="D241" s="26" t="n">
        <x:v>10024</x:v>
      </x:c>
      <x:c r="E241" s="26" t="str">
        <x:v>PRJ-2026-0010024</x:v>
      </x:c>
      <x:c r="F241" s="26" t="str">
        <x:v>Rain Water Harvesting System : Water Filter Kitchen Construction : Poshan Vatika  kitchen Shelves : Gas stove, regulator : Solar Panel : Civil Repair : Toilet</x:v>
      </x:c>
      <x:c r="G241" s="26" t="n">
        <x:v>689</x:v>
      </x:c>
      <x:c r="H241" s="26" t="n">
        <x:v>38147</x:v>
      </x:c>
      <x:c r="I241" s="26"/>
      <x:c r="J241" s="26"/>
      <x:c r="K241" s="26"/>
      <x:c r="L241" s="26" t="n">
        <x:v>1</x:v>
      </x:c>
      <x:c r="M241" s="26" t="n">
        <x:v>1</x:v>
      </x:c>
      <x:c r="N241" s="26" t="n">
        <x:v>0</x:v>
      </x:c>
      <x:c r="O241" s="26" t="n">
        <x:f>MAX(M241-N241,0)</x:f>
        <x:v>1</x:v>
      </x:c>
      <x:c r="P241" s="38" t="n">
        <x:f>IFERROR(N241/M241,0)</x:f>
        <x:v>0</x:v>
      </x:c>
      <x:c r="Q241" s="26"/>
      <x:c r="R241" s="26"/>
      <x:c r="S241" s="26" t="str">
        <x:v>Pending Mapping</x:v>
      </x:c>
      <x:c r="T241" s="26"/>
      <x:c r="U241" s="26"/>
      <x:c r="V241" s="26"/>
      <x:c r="W241" s="32"/>
      <x:c r="X241" s="27" t="b">
        <x:v>1</x:v>
      </x:c>
      <x:c r="Y241" s="34" t="n">
        <x:v>46220.000023148146</x:v>
      </x:c>
      <x:c r="Z241" s="26"/>
      <x:c r="AA241" s="26" t="str"/>
      <x:c r="AB241" s="26" t="str">
        <x:v>Activity name/category not included in contribution response</x:v>
      </x:c>
    </x:row>
    <x:row r="242">
      <x:c r="A242" s="26" t="n">
        <x:v>239</x:v>
      </x:c>
      <x:c r="B242" s="26" t="n">
        <x:v>249</x:v>
      </x:c>
      <x:c r="C242" s="26" t="str">
        <x:v>Kumuram Bheem Asifabad</x:v>
      </x:c>
      <x:c r="D242" s="26" t="n">
        <x:v>10024</x:v>
      </x:c>
      <x:c r="E242" s="26" t="str">
        <x:v>PRJ-2026-0010024</x:v>
      </x:c>
      <x:c r="F242" s="26" t="str">
        <x:v>Rain Water Harvesting System : Water Filter Kitchen Construction : Poshan Vatika  kitchen Shelves : Gas stove, regulator : Solar Panel : Civil Repair : Toilet</x:v>
      </x:c>
      <x:c r="G242" s="26" t="n">
        <x:v>690</x:v>
      </x:c>
      <x:c r="H242" s="26" t="n">
        <x:v>38148</x:v>
      </x:c>
      <x:c r="I242" s="26"/>
      <x:c r="J242" s="26"/>
      <x:c r="K242" s="26"/>
      <x:c r="L242" s="26" t="n">
        <x:v>1</x:v>
      </x:c>
      <x:c r="M242" s="26" t="n">
        <x:v>1</x:v>
      </x:c>
      <x:c r="N242" s="26" t="n">
        <x:v>0</x:v>
      </x:c>
      <x:c r="O242" s="26" t="n">
        <x:f>MAX(M242-N242,0)</x:f>
        <x:v>1</x:v>
      </x:c>
      <x:c r="P242" s="38" t="n">
        <x:f>IFERROR(N242/M242,0)</x:f>
        <x:v>0</x:v>
      </x:c>
      <x:c r="Q242" s="26"/>
      <x:c r="R242" s="26"/>
      <x:c r="S242" s="26" t="str">
        <x:v>Pending Mapping</x:v>
      </x:c>
      <x:c r="T242" s="26"/>
      <x:c r="U242" s="26"/>
      <x:c r="V242" s="26"/>
      <x:c r="W242" s="32"/>
      <x:c r="X242" s="27" t="b">
        <x:v>1</x:v>
      </x:c>
      <x:c r="Y242" s="34" t="n">
        <x:v>46220.000023148146</x:v>
      </x:c>
      <x:c r="Z242" s="26"/>
      <x:c r="AA242" s="26" t="str"/>
      <x:c r="AB242" s="26" t="str">
        <x:v>Activity name/category not included in contribution response</x:v>
      </x:c>
    </x:row>
    <x:row r="243">
      <x:c r="A243" s="26" t="n">
        <x:v>240</x:v>
      </x:c>
      <x:c r="B243" s="26" t="n">
        <x:v>249</x:v>
      </x:c>
      <x:c r="C243" s="26" t="str">
        <x:v>Kumuram Bheem Asifabad</x:v>
      </x:c>
      <x:c r="D243" s="26" t="n">
        <x:v>10024</x:v>
      </x:c>
      <x:c r="E243" s="26" t="str">
        <x:v>PRJ-2026-0010024</x:v>
      </x:c>
      <x:c r="F243" s="26" t="str">
        <x:v>Rain Water Harvesting System : Water Filter Kitchen Construction : Poshan Vatika  kitchen Shelves : Gas stove, regulator : Solar Panel : Civil Repair : Toilet</x:v>
      </x:c>
      <x:c r="G243" s="26" t="n">
        <x:v>691</x:v>
      </x:c>
      <x:c r="H243" s="26" t="n">
        <x:v>38149</x:v>
      </x:c>
      <x:c r="I243" s="26"/>
      <x:c r="J243" s="26"/>
      <x:c r="K243" s="26"/>
      <x:c r="L243" s="26" t="n">
        <x:v>1</x:v>
      </x:c>
      <x:c r="M243" s="26" t="n">
        <x:v>1</x:v>
      </x:c>
      <x:c r="N243" s="26" t="n">
        <x:v>0</x:v>
      </x:c>
      <x:c r="O243" s="26" t="n">
        <x:f>MAX(M243-N243,0)</x:f>
        <x:v>1</x:v>
      </x:c>
      <x:c r="P243" s="38" t="n">
        <x:f>IFERROR(N243/M243,0)</x:f>
        <x:v>0</x:v>
      </x:c>
      <x:c r="Q243" s="26"/>
      <x:c r="R243" s="26"/>
      <x:c r="S243" s="26" t="str">
        <x:v>Pending Mapping</x:v>
      </x:c>
      <x:c r="T243" s="26"/>
      <x:c r="U243" s="26"/>
      <x:c r="V243" s="26"/>
      <x:c r="W243" s="32"/>
      <x:c r="X243" s="27" t="b">
        <x:v>1</x:v>
      </x:c>
      <x:c r="Y243" s="34" t="n">
        <x:v>46220.000023148146</x:v>
      </x:c>
      <x:c r="Z243" s="26"/>
      <x:c r="AA243" s="26" t="str"/>
      <x:c r="AB243" s="26" t="str">
        <x:v>Activity name/category not included in contribution response</x:v>
      </x:c>
    </x:row>
    <x:row r="244">
      <x:c r="A244" s="26" t="n">
        <x:v>241</x:v>
      </x:c>
      <x:c r="B244" s="26" t="n">
        <x:v>248</x:v>
      </x:c>
      <x:c r="C244" s="26" t="str">
        <x:v>Kumuram Bheem Asifabad</x:v>
      </x:c>
      <x:c r="D244" s="26" t="n">
        <x:v>10046</x:v>
      </x:c>
      <x:c r="E244" s="26" t="str">
        <x:v>PRJ-2026-0010046</x:v>
      </x:c>
      <x:c r="F244" s="26" t="str">
        <x:v>Proposal for upgradation of AWC</x:v>
      </x:c>
      <x:c r="G244" s="26" t="n">
        <x:v>684</x:v>
      </x:c>
      <x:c r="H244" s="26" t="n">
        <x:v>38237</x:v>
      </x:c>
      <x:c r="I244" s="26"/>
      <x:c r="J244" s="26"/>
      <x:c r="K244" s="26"/>
      <x:c r="L244" s="26" t="n">
        <x:v>15</x:v>
      </x:c>
      <x:c r="M244" s="26" t="n">
        <x:v>15</x:v>
      </x:c>
      <x:c r="N244" s="26" t="n">
        <x:v>0</x:v>
      </x:c>
      <x:c r="O244" s="26" t="n">
        <x:f>MAX(M244-N244,0)</x:f>
        <x:v>15</x:v>
      </x:c>
      <x:c r="P244" s="38" t="n">
        <x:f>IFERROR(N244/M244,0)</x:f>
        <x:v>0</x:v>
      </x:c>
      <x:c r="Q244" s="26"/>
      <x:c r="R244" s="26"/>
      <x:c r="S244" s="26" t="str">
        <x:v>Pending Mapping</x:v>
      </x:c>
      <x:c r="T244" s="26"/>
      <x:c r="U244" s="26"/>
      <x:c r="V244" s="26"/>
      <x:c r="W244" s="32"/>
      <x:c r="X244" s="27" t="b">
        <x:v>1</x:v>
      </x:c>
      <x:c r="Y244" s="34" t="n">
        <x:v>46220.00001157408</x:v>
      </x:c>
      <x:c r="Z244" s="26"/>
      <x:c r="AA244" s="26" t="str"/>
      <x:c r="AB244" s="26" t="str">
        <x:v>Activity name/category not included in contribution response</x:v>
      </x:c>
    </x:row>
    <x:row r="245">
      <x:c r="A245" s="26" t="n">
        <x:v>242</x:v>
      </x:c>
      <x:c r="B245" s="26" t="n">
        <x:v>248</x:v>
      </x:c>
      <x:c r="C245" s="26" t="str">
        <x:v>Kumuram Bheem Asifabad</x:v>
      </x:c>
      <x:c r="D245" s="26" t="n">
        <x:v>10046</x:v>
      </x:c>
      <x:c r="E245" s="26" t="str">
        <x:v>PRJ-2026-0010046</x:v>
      </x:c>
      <x:c r="F245" s="26" t="str">
        <x:v>Proposal for upgradation of AWC</x:v>
      </x:c>
      <x:c r="G245" s="26" t="n">
        <x:v>685</x:v>
      </x:c>
      <x:c r="H245" s="26" t="n">
        <x:v>38238</x:v>
      </x:c>
      <x:c r="I245" s="26"/>
      <x:c r="J245" s="26"/>
      <x:c r="K245" s="26"/>
      <x:c r="L245" s="26" t="n">
        <x:v>1</x:v>
      </x:c>
      <x:c r="M245" s="26" t="n">
        <x:v>1</x:v>
      </x:c>
      <x:c r="N245" s="26" t="n">
        <x:v>0</x:v>
      </x:c>
      <x:c r="O245" s="26" t="n">
        <x:f>MAX(M245-N245,0)</x:f>
        <x:v>1</x:v>
      </x:c>
      <x:c r="P245" s="38" t="n">
        <x:f>IFERROR(N245/M245,0)</x:f>
        <x:v>0</x:v>
      </x:c>
      <x:c r="Q245" s="26"/>
      <x:c r="R245" s="26"/>
      <x:c r="S245" s="26" t="str">
        <x:v>Pending Mapping</x:v>
      </x:c>
      <x:c r="T245" s="26"/>
      <x:c r="U245" s="26"/>
      <x:c r="V245" s="26"/>
      <x:c r="W245" s="32"/>
      <x:c r="X245" s="27" t="b">
        <x:v>1</x:v>
      </x:c>
      <x:c r="Y245" s="34" t="n">
        <x:v>46220.00001157408</x:v>
      </x:c>
      <x:c r="Z245" s="26"/>
      <x:c r="AA245" s="26" t="str"/>
      <x:c r="AB245" s="26" t="str">
        <x:v>Activity name/category not included in contribution response</x:v>
      </x:c>
    </x:row>
    <x:row r="246">
      <x:c r="A246" s="26" t="n">
        <x:v>243</x:v>
      </x:c>
      <x:c r="B246" s="26" t="n">
        <x:v>248</x:v>
      </x:c>
      <x:c r="C246" s="26" t="str">
        <x:v>Kumuram Bheem Asifabad</x:v>
      </x:c>
      <x:c r="D246" s="26" t="n">
        <x:v>10046</x:v>
      </x:c>
      <x:c r="E246" s="26" t="str">
        <x:v>PRJ-2026-0010046</x:v>
      </x:c>
      <x:c r="F246" s="26" t="str">
        <x:v>Proposal for upgradation of AWC</x:v>
      </x:c>
      <x:c r="G246" s="26" t="n">
        <x:v>686</x:v>
      </x:c>
      <x:c r="H246" s="26" t="n">
        <x:v>38239</x:v>
      </x:c>
      <x:c r="I246" s="26"/>
      <x:c r="J246" s="26"/>
      <x:c r="K246" s="26"/>
      <x:c r="L246" s="26" t="n">
        <x:v>1</x:v>
      </x:c>
      <x:c r="M246" s="26" t="n">
        <x:v>1</x:v>
      </x:c>
      <x:c r="N246" s="26" t="n">
        <x:v>0</x:v>
      </x:c>
      <x:c r="O246" s="26" t="n">
        <x:f>MAX(M246-N246,0)</x:f>
        <x:v>1</x:v>
      </x:c>
      <x:c r="P246" s="38" t="n">
        <x:f>IFERROR(N246/M246,0)</x:f>
        <x:v>0</x:v>
      </x:c>
      <x:c r="Q246" s="26"/>
      <x:c r="R246" s="26"/>
      <x:c r="S246" s="26" t="str">
        <x:v>Pending Mapping</x:v>
      </x:c>
      <x:c r="T246" s="26"/>
      <x:c r="U246" s="26"/>
      <x:c r="V246" s="26"/>
      <x:c r="W246" s="32"/>
      <x:c r="X246" s="27" t="b">
        <x:v>1</x:v>
      </x:c>
      <x:c r="Y246" s="34" t="n">
        <x:v>46220.00001157408</x:v>
      </x:c>
      <x:c r="Z246" s="26"/>
      <x:c r="AA246" s="26" t="str"/>
      <x:c r="AB246" s="26" t="str">
        <x:v>Activity name/category not included in contribution response</x:v>
      </x:c>
    </x:row>
    <x:row r="247">
      <x:c r="A247" s="26" t="n">
        <x:v>244</x:v>
      </x:c>
      <x:c r="B247" s="26" t="n">
        <x:v>248</x:v>
      </x:c>
      <x:c r="C247" s="26" t="str">
        <x:v>Kumuram Bheem Asifabad</x:v>
      </x:c>
      <x:c r="D247" s="26" t="n">
        <x:v>10046</x:v>
      </x:c>
      <x:c r="E247" s="26" t="str">
        <x:v>PRJ-2026-0010046</x:v>
      </x:c>
      <x:c r="F247" s="26" t="str">
        <x:v>Proposal for upgradation of AWC</x:v>
      </x:c>
      <x:c r="G247" s="26" t="n">
        <x:v>687</x:v>
      </x:c>
      <x:c r="H247" s="26" t="n">
        <x:v>38240</x:v>
      </x:c>
      <x:c r="I247" s="26"/>
      <x:c r="J247" s="26"/>
      <x:c r="K247" s="26"/>
      <x:c r="L247" s="26" t="n">
        <x:v>5</x:v>
      </x:c>
      <x:c r="M247" s="26" t="n">
        <x:v>5</x:v>
      </x:c>
      <x:c r="N247" s="26" t="n">
        <x:v>0</x:v>
      </x:c>
      <x:c r="O247" s="26" t="n">
        <x:f>MAX(M247-N247,0)</x:f>
        <x:v>5</x:v>
      </x:c>
      <x:c r="P247" s="38" t="n">
        <x:f>IFERROR(N247/M247,0)</x:f>
        <x:v>0</x:v>
      </x:c>
      <x:c r="Q247" s="26"/>
      <x:c r="R247" s="26"/>
      <x:c r="S247" s="26" t="str">
        <x:v>Pending Mapping</x:v>
      </x:c>
      <x:c r="T247" s="26"/>
      <x:c r="U247" s="26"/>
      <x:c r="V247" s="26"/>
      <x:c r="W247" s="32"/>
      <x:c r="X247" s="27" t="b">
        <x:v>1</x:v>
      </x:c>
      <x:c r="Y247" s="34" t="n">
        <x:v>46220.00001157408</x:v>
      </x:c>
      <x:c r="Z247" s="26"/>
      <x:c r="AA247" s="26" t="str"/>
      <x:c r="AB247" s="26" t="str">
        <x:v>Activity name/category not included in contribution response</x:v>
      </x:c>
    </x:row>
    <x:row r="248">
      <x:c r="A248" s="26" t="n">
        <x:v>245</x:v>
      </x:c>
      <x:c r="B248" s="26" t="n">
        <x:v>246</x:v>
      </x:c>
      <x:c r="C248" s="26" t="str">
        <x:v>Kumuram Bheem Asifabad</x:v>
      </x:c>
      <x:c r="D248" s="26" t="n">
        <x:v>10089</x:v>
      </x:c>
      <x:c r="E248" s="26" t="str">
        <x:v>PRJ-2026-0010089</x:v>
      </x:c>
      <x:c r="F248" s="26" t="str">
        <x:v>Rain Water Harvesting System : Water Filter Kitchen Construction : Poshan Vatika  kitchen Shelves : Gas stove, regulator : Solar Panel : Civil Repair : Toilet</x:v>
      </x:c>
      <x:c r="G248" s="26" t="n">
        <x:v>676</x:v>
      </x:c>
      <x:c r="H248" s="26" t="n">
        <x:v>38437</x:v>
      </x:c>
      <x:c r="I248" s="26"/>
      <x:c r="J248" s="26"/>
      <x:c r="K248" s="26"/>
      <x:c r="L248" s="26" t="n">
        <x:v>1</x:v>
      </x:c>
      <x:c r="M248" s="26" t="n">
        <x:v>1</x:v>
      </x:c>
      <x:c r="N248" s="26" t="n">
        <x:v>0</x:v>
      </x:c>
      <x:c r="O248" s="26" t="n">
        <x:f>MAX(M248-N248,0)</x:f>
        <x:v>1</x:v>
      </x:c>
      <x:c r="P248" s="38" t="n">
        <x:f>IFERROR(N248/M248,0)</x:f>
        <x:v>0</x:v>
      </x:c>
      <x:c r="Q248" s="26"/>
      <x:c r="R248" s="26"/>
      <x:c r="S248" s="26" t="str">
        <x:v>Pending Mapping</x:v>
      </x:c>
      <x:c r="T248" s="26"/>
      <x:c r="U248" s="26"/>
      <x:c r="V248" s="26"/>
      <x:c r="W248" s="32"/>
      <x:c r="X248" s="27" t="b">
        <x:v>1</x:v>
      </x:c>
      <x:c r="Y248" s="34" t="n">
        <x:v>46220</x:v>
      </x:c>
      <x:c r="Z248" s="26"/>
      <x:c r="AA248" s="26" t="str"/>
      <x:c r="AB248" s="26" t="str">
        <x:v>Activity name/category not included in contribution response</x:v>
      </x:c>
    </x:row>
    <x:row r="249">
      <x:c r="A249" s="26" t="n">
        <x:v>246</x:v>
      </x:c>
      <x:c r="B249" s="26" t="n">
        <x:v>246</x:v>
      </x:c>
      <x:c r="C249" s="26" t="str">
        <x:v>Kumuram Bheem Asifabad</x:v>
      </x:c>
      <x:c r="D249" s="26" t="n">
        <x:v>10089</x:v>
      </x:c>
      <x:c r="E249" s="26" t="str">
        <x:v>PRJ-2026-0010089</x:v>
      </x:c>
      <x:c r="F249" s="26" t="str">
        <x:v>Rain Water Harvesting System : Water Filter Kitchen Construction : Poshan Vatika  kitchen Shelves : Gas stove, regulator : Solar Panel : Civil Repair : Toilet</x:v>
      </x:c>
      <x:c r="G249" s="26" t="n">
        <x:v>677</x:v>
      </x:c>
      <x:c r="H249" s="26" t="n">
        <x:v>38438</x:v>
      </x:c>
      <x:c r="I249" s="26"/>
      <x:c r="J249" s="26"/>
      <x:c r="K249" s="26"/>
      <x:c r="L249" s="26" t="n">
        <x:v>1</x:v>
      </x:c>
      <x:c r="M249" s="26" t="n">
        <x:v>1</x:v>
      </x:c>
      <x:c r="N249" s="26" t="n">
        <x:v>0</x:v>
      </x:c>
      <x:c r="O249" s="26" t="n">
        <x:f>MAX(M249-N249,0)</x:f>
        <x:v>1</x:v>
      </x:c>
      <x:c r="P249" s="38" t="n">
        <x:f>IFERROR(N249/M249,0)</x:f>
        <x:v>0</x:v>
      </x:c>
      <x:c r="Q249" s="26"/>
      <x:c r="R249" s="26"/>
      <x:c r="S249" s="26" t="str">
        <x:v>Pending Mapping</x:v>
      </x:c>
      <x:c r="T249" s="26"/>
      <x:c r="U249" s="26"/>
      <x:c r="V249" s="26"/>
      <x:c r="W249" s="32"/>
      <x:c r="X249" s="27" t="b">
        <x:v>1</x:v>
      </x:c>
      <x:c r="Y249" s="34" t="n">
        <x:v>46220</x:v>
      </x:c>
      <x:c r="Z249" s="26"/>
      <x:c r="AA249" s="26" t="str"/>
      <x:c r="AB249" s="26" t="str">
        <x:v>Activity name/category not included in contribution response</x:v>
      </x:c>
    </x:row>
    <x:row r="250">
      <x:c r="A250" s="26" t="n">
        <x:v>247</x:v>
      </x:c>
      <x:c r="B250" s="26" t="n">
        <x:v>246</x:v>
      </x:c>
      <x:c r="C250" s="26" t="str">
        <x:v>Kumuram Bheem Asifabad</x:v>
      </x:c>
      <x:c r="D250" s="26" t="n">
        <x:v>10089</x:v>
      </x:c>
      <x:c r="E250" s="26" t="str">
        <x:v>PRJ-2026-0010089</x:v>
      </x:c>
      <x:c r="F250" s="26" t="str">
        <x:v>Rain Water Harvesting System : Water Filter Kitchen Construction : Poshan Vatika  kitchen Shelves : Gas stove, regulator : Solar Panel : Civil Repair : Toilet</x:v>
      </x:c>
      <x:c r="G250" s="26" t="n">
        <x:v>678</x:v>
      </x:c>
      <x:c r="H250" s="26" t="n">
        <x:v>38439</x:v>
      </x:c>
      <x:c r="I250" s="26"/>
      <x:c r="J250" s="26"/>
      <x:c r="K250" s="26"/>
      <x:c r="L250" s="26" t="n">
        <x:v>1</x:v>
      </x:c>
      <x:c r="M250" s="26" t="n">
        <x:v>1</x:v>
      </x:c>
      <x:c r="N250" s="26" t="n">
        <x:v>0</x:v>
      </x:c>
      <x:c r="O250" s="26" t="n">
        <x:f>MAX(M250-N250,0)</x:f>
        <x:v>1</x:v>
      </x:c>
      <x:c r="P250" s="38" t="n">
        <x:f>IFERROR(N250/M250,0)</x:f>
        <x:v>0</x:v>
      </x:c>
      <x:c r="Q250" s="26"/>
      <x:c r="R250" s="26"/>
      <x:c r="S250" s="26" t="str">
        <x:v>Pending Mapping</x:v>
      </x:c>
      <x:c r="T250" s="26"/>
      <x:c r="U250" s="26"/>
      <x:c r="V250" s="26"/>
      <x:c r="W250" s="32"/>
      <x:c r="X250" s="27" t="b">
        <x:v>1</x:v>
      </x:c>
      <x:c r="Y250" s="34" t="n">
        <x:v>46220</x:v>
      </x:c>
      <x:c r="Z250" s="26"/>
      <x:c r="AA250" s="26" t="str"/>
      <x:c r="AB250" s="26" t="str">
        <x:v>Activity name/category not included in contribution response</x:v>
      </x:c>
    </x:row>
    <x:row r="251">
      <x:c r="A251" s="26" t="n">
        <x:v>248</x:v>
      </x:c>
      <x:c r="B251" s="26" t="n">
        <x:v>246</x:v>
      </x:c>
      <x:c r="C251" s="26" t="str">
        <x:v>Kumuram Bheem Asifabad</x:v>
      </x:c>
      <x:c r="D251" s="26" t="n">
        <x:v>10089</x:v>
      </x:c>
      <x:c r="E251" s="26" t="str">
        <x:v>PRJ-2026-0010089</x:v>
      </x:c>
      <x:c r="F251" s="26" t="str">
        <x:v>Rain Water Harvesting System : Water Filter Kitchen Construction : Poshan Vatika  kitchen Shelves : Gas stove, regulator : Solar Panel : Civil Repair : Toilet</x:v>
      </x:c>
      <x:c r="G251" s="26" t="n">
        <x:v>679</x:v>
      </x:c>
      <x:c r="H251" s="26" t="n">
        <x:v>38440</x:v>
      </x:c>
      <x:c r="I251" s="26"/>
      <x:c r="J251" s="26"/>
      <x:c r="K251" s="26"/>
      <x:c r="L251" s="26" t="n">
        <x:v>1</x:v>
      </x:c>
      <x:c r="M251" s="26" t="n">
        <x:v>1</x:v>
      </x:c>
      <x:c r="N251" s="26" t="n">
        <x:v>0</x:v>
      </x:c>
      <x:c r="O251" s="26" t="n">
        <x:f>MAX(M251-N251,0)</x:f>
        <x:v>1</x:v>
      </x:c>
      <x:c r="P251" s="38" t="n">
        <x:f>IFERROR(N251/M251,0)</x:f>
        <x:v>0</x:v>
      </x:c>
      <x:c r="Q251" s="26"/>
      <x:c r="R251" s="26"/>
      <x:c r="S251" s="26" t="str">
        <x:v>Pending Mapping</x:v>
      </x:c>
      <x:c r="T251" s="26"/>
      <x:c r="U251" s="26"/>
      <x:c r="V251" s="26"/>
      <x:c r="W251" s="32"/>
      <x:c r="X251" s="27" t="b">
        <x:v>1</x:v>
      </x:c>
      <x:c r="Y251" s="34" t="n">
        <x:v>46220</x:v>
      </x:c>
      <x:c r="Z251" s="26"/>
      <x:c r="AA251" s="26" t="str"/>
      <x:c r="AB251" s="26" t="str">
        <x:v>Activity name/category not included in contribution response</x:v>
      </x:c>
    </x:row>
    <x:row r="252">
      <x:c r="A252" s="26" t="n">
        <x:v>249</x:v>
      </x:c>
      <x:c r="B252" s="26" t="n">
        <x:v>247</x:v>
      </x:c>
      <x:c r="C252" s="26" t="str">
        <x:v>Kumuram Bheem Asifabad</x:v>
      </x:c>
      <x:c r="D252" s="26" t="n">
        <x:v>10055</x:v>
      </x:c>
      <x:c r="E252" s="26" t="str">
        <x:v>PRJ-2026-0010055</x:v>
      </x:c>
      <x:c r="F252" s="26" t="str">
        <x:v>Rain Water Harvesting System : Water Filter Kitchen Construction : Poshan Vatika  kitchen Shelves : Gas stove, regulator : Solar Panel : Civil Repair : Toilet</x:v>
      </x:c>
      <x:c r="G252" s="26" t="n">
        <x:v>680</x:v>
      </x:c>
      <x:c r="H252" s="26" t="n">
        <x:v>38267</x:v>
      </x:c>
      <x:c r="I252" s="26"/>
      <x:c r="J252" s="26"/>
      <x:c r="K252" s="26"/>
      <x:c r="L252" s="26" t="n">
        <x:v>1</x:v>
      </x:c>
      <x:c r="M252" s="26" t="n">
        <x:v>1</x:v>
      </x:c>
      <x:c r="N252" s="26" t="n">
        <x:v>0</x:v>
      </x:c>
      <x:c r="O252" s="26" t="n">
        <x:f>MAX(M252-N252,0)</x:f>
        <x:v>1</x:v>
      </x:c>
      <x:c r="P252" s="38" t="n">
        <x:f>IFERROR(N252/M252,0)</x:f>
        <x:v>0</x:v>
      </x:c>
      <x:c r="Q252" s="26"/>
      <x:c r="R252" s="26"/>
      <x:c r="S252" s="26" t="str">
        <x:v>Pending Mapping</x:v>
      </x:c>
      <x:c r="T252" s="26"/>
      <x:c r="U252" s="26"/>
      <x:c r="V252" s="26"/>
      <x:c r="W252" s="32"/>
      <x:c r="X252" s="27" t="b">
        <x:v>1</x:v>
      </x:c>
      <x:c r="Y252" s="34" t="n">
        <x:v>46220</x:v>
      </x:c>
      <x:c r="Z252" s="26"/>
      <x:c r="AA252" s="26" t="str"/>
      <x:c r="AB252" s="26" t="str">
        <x:v>Activity name/category not included in contribution response</x:v>
      </x:c>
    </x:row>
    <x:row r="253">
      <x:c r="A253" s="26" t="n">
        <x:v>250</x:v>
      </x:c>
      <x:c r="B253" s="26" t="n">
        <x:v>247</x:v>
      </x:c>
      <x:c r="C253" s="26" t="str">
        <x:v>Kumuram Bheem Asifabad</x:v>
      </x:c>
      <x:c r="D253" s="26" t="n">
        <x:v>10055</x:v>
      </x:c>
      <x:c r="E253" s="26" t="str">
        <x:v>PRJ-2026-0010055</x:v>
      </x:c>
      <x:c r="F253" s="26" t="str">
        <x:v>Rain Water Harvesting System : Water Filter Kitchen Construction : Poshan Vatika  kitchen Shelves : Gas stove, regulator : Solar Panel : Civil Repair : Toilet</x:v>
      </x:c>
      <x:c r="G253" s="26" t="n">
        <x:v>681</x:v>
      </x:c>
      <x:c r="H253" s="26" t="n">
        <x:v>38268</x:v>
      </x:c>
      <x:c r="I253" s="26"/>
      <x:c r="J253" s="26"/>
      <x:c r="K253" s="26"/>
      <x:c r="L253" s="26" t="n">
        <x:v>1</x:v>
      </x:c>
      <x:c r="M253" s="26" t="n">
        <x:v>1</x:v>
      </x:c>
      <x:c r="N253" s="26" t="n">
        <x:v>0</x:v>
      </x:c>
      <x:c r="O253" s="26" t="n">
        <x:f>MAX(M253-N253,0)</x:f>
        <x:v>1</x:v>
      </x:c>
      <x:c r="P253" s="38" t="n">
        <x:f>IFERROR(N253/M253,0)</x:f>
        <x:v>0</x:v>
      </x:c>
      <x:c r="Q253" s="26"/>
      <x:c r="R253" s="26"/>
      <x:c r="S253" s="26" t="str">
        <x:v>Pending Mapping</x:v>
      </x:c>
      <x:c r="T253" s="26"/>
      <x:c r="U253" s="26"/>
      <x:c r="V253" s="26"/>
      <x:c r="W253" s="32"/>
      <x:c r="X253" s="27" t="b">
        <x:v>1</x:v>
      </x:c>
      <x:c r="Y253" s="34" t="n">
        <x:v>46220</x:v>
      </x:c>
      <x:c r="Z253" s="26"/>
      <x:c r="AA253" s="26" t="str"/>
      <x:c r="AB253" s="26" t="str">
        <x:v>Activity name/category not included in contribution response</x:v>
      </x:c>
    </x:row>
    <x:row r="254">
      <x:c r="A254" s="26" t="n">
        <x:v>251</x:v>
      </x:c>
      <x:c r="B254" s="26" t="n">
        <x:v>247</x:v>
      </x:c>
      <x:c r="C254" s="26" t="str">
        <x:v>Kumuram Bheem Asifabad</x:v>
      </x:c>
      <x:c r="D254" s="26" t="n">
        <x:v>10055</x:v>
      </x:c>
      <x:c r="E254" s="26" t="str">
        <x:v>PRJ-2026-0010055</x:v>
      </x:c>
      <x:c r="F254" s="26" t="str">
        <x:v>Rain Water Harvesting System : Water Filter Kitchen Construction : Poshan Vatika  kitchen Shelves : Gas stove, regulator : Solar Panel : Civil Repair : Toilet</x:v>
      </x:c>
      <x:c r="G254" s="26" t="n">
        <x:v>682</x:v>
      </x:c>
      <x:c r="H254" s="26" t="n">
        <x:v>38269</x:v>
      </x:c>
      <x:c r="I254" s="26"/>
      <x:c r="J254" s="26"/>
      <x:c r="K254" s="26"/>
      <x:c r="L254" s="26" t="n">
        <x:v>1</x:v>
      </x:c>
      <x:c r="M254" s="26" t="n">
        <x:v>1</x:v>
      </x:c>
      <x:c r="N254" s="26" t="n">
        <x:v>0</x:v>
      </x:c>
      <x:c r="O254" s="26" t="n">
        <x:f>MAX(M254-N254,0)</x:f>
        <x:v>1</x:v>
      </x:c>
      <x:c r="P254" s="38" t="n">
        <x:f>IFERROR(N254/M254,0)</x:f>
        <x:v>0</x:v>
      </x:c>
      <x:c r="Q254" s="26"/>
      <x:c r="R254" s="26"/>
      <x:c r="S254" s="26" t="str">
        <x:v>Pending Mapping</x:v>
      </x:c>
      <x:c r="T254" s="26"/>
      <x:c r="U254" s="26"/>
      <x:c r="V254" s="26"/>
      <x:c r="W254" s="32"/>
      <x:c r="X254" s="27" t="b">
        <x:v>1</x:v>
      </x:c>
      <x:c r="Y254" s="34" t="n">
        <x:v>46220</x:v>
      </x:c>
      <x:c r="Z254" s="26"/>
      <x:c r="AA254" s="26" t="str"/>
      <x:c r="AB254" s="26" t="str">
        <x:v>Activity name/category not included in contribution response</x:v>
      </x:c>
    </x:row>
    <x:row r="255">
      <x:c r="A255" s="26" t="n">
        <x:v>252</x:v>
      </x:c>
      <x:c r="B255" s="26" t="n">
        <x:v>247</x:v>
      </x:c>
      <x:c r="C255" s="26" t="str">
        <x:v>Kumuram Bheem Asifabad</x:v>
      </x:c>
      <x:c r="D255" s="26" t="n">
        <x:v>10055</x:v>
      </x:c>
      <x:c r="E255" s="26" t="str">
        <x:v>PRJ-2026-0010055</x:v>
      </x:c>
      <x:c r="F255" s="26" t="str">
        <x:v>Rain Water Harvesting System : Water Filter Kitchen Construction : Poshan Vatika  kitchen Shelves : Gas stove, regulator : Solar Panel : Civil Repair : Toilet</x:v>
      </x:c>
      <x:c r="G255" s="26" t="n">
        <x:v>683</x:v>
      </x:c>
      <x:c r="H255" s="26" t="n">
        <x:v>38270</x:v>
      </x:c>
      <x:c r="I255" s="26"/>
      <x:c r="J255" s="26"/>
      <x:c r="K255" s="26"/>
      <x:c r="L255" s="26" t="n">
        <x:v>1</x:v>
      </x:c>
      <x:c r="M255" s="26" t="n">
        <x:v>1</x:v>
      </x:c>
      <x:c r="N255" s="26" t="n">
        <x:v>0</x:v>
      </x:c>
      <x:c r="O255" s="26" t="n">
        <x:f>MAX(M255-N255,0)</x:f>
        <x:v>1</x:v>
      </x:c>
      <x:c r="P255" s="38" t="n">
        <x:f>IFERROR(N255/M255,0)</x:f>
        <x:v>0</x:v>
      </x:c>
      <x:c r="Q255" s="26"/>
      <x:c r="R255" s="26"/>
      <x:c r="S255" s="26" t="str">
        <x:v>Pending Mapping</x:v>
      </x:c>
      <x:c r="T255" s="26"/>
      <x:c r="U255" s="26"/>
      <x:c r="V255" s="26"/>
      <x:c r="W255" s="32"/>
      <x:c r="X255" s="27" t="b">
        <x:v>1</x:v>
      </x:c>
      <x:c r="Y255" s="34" t="n">
        <x:v>46220</x:v>
      </x:c>
      <x:c r="Z255" s="26"/>
      <x:c r="AA255" s="26" t="str"/>
      <x:c r="AB255" s="26" t="str">
        <x:v>Activity name/category not included in contribution response</x:v>
      </x:c>
    </x:row>
    <x:row r="256">
      <x:c r="A256" s="26" t="n">
        <x:v>253</x:v>
      </x:c>
      <x:c r="B256" s="26" t="n">
        <x:v>245</x:v>
      </x:c>
      <x:c r="C256" s="26" t="str">
        <x:v>Kumuram Bheem Asifabad</x:v>
      </x:c>
      <x:c r="D256" s="26" t="n">
        <x:v>10093</x:v>
      </x:c>
      <x:c r="E256" s="26" t="str">
        <x:v>PRJ-2026-0010093</x:v>
      </x:c>
      <x:c r="F256" s="26" t="str">
        <x:v>Proposal for upgradation of AWC</x:v>
      </x:c>
      <x:c r="G256" s="26" t="n">
        <x:v>672</x:v>
      </x:c>
      <x:c r="H256" s="26" t="n">
        <x:v>38452</x:v>
      </x:c>
      <x:c r="I256" s="26"/>
      <x:c r="J256" s="26"/>
      <x:c r="K256" s="26"/>
      <x:c r="L256" s="26" t="n">
        <x:v>5</x:v>
      </x:c>
      <x:c r="M256" s="26" t="n">
        <x:v>5</x:v>
      </x:c>
      <x:c r="N256" s="26" t="n">
        <x:v>0</x:v>
      </x:c>
      <x:c r="O256" s="26" t="n">
        <x:f>MAX(M256-N256,0)</x:f>
        <x:v>5</x:v>
      </x:c>
      <x:c r="P256" s="38" t="n">
        <x:f>IFERROR(N256/M256,0)</x:f>
        <x:v>0</x:v>
      </x:c>
      <x:c r="Q256" s="26"/>
      <x:c r="R256" s="26"/>
      <x:c r="S256" s="26" t="str">
        <x:v>Pending Mapping</x:v>
      </x:c>
      <x:c r="T256" s="26"/>
      <x:c r="U256" s="26"/>
      <x:c r="V256" s="26"/>
      <x:c r="W256" s="32"/>
      <x:c r="X256" s="27" t="b">
        <x:v>1</x:v>
      </x:c>
      <x:c r="Y256" s="34" t="n">
        <x:v>46219.99998842592</x:v>
      </x:c>
      <x:c r="Z256" s="26"/>
      <x:c r="AA256" s="26" t="str"/>
      <x:c r="AB256" s="26" t="str">
        <x:v>Activity name/category not included in contribution response</x:v>
      </x:c>
    </x:row>
    <x:row r="257">
      <x:c r="A257" s="26" t="n">
        <x:v>254</x:v>
      </x:c>
      <x:c r="B257" s="26" t="n">
        <x:v>245</x:v>
      </x:c>
      <x:c r="C257" s="26" t="str">
        <x:v>Kumuram Bheem Asifabad</x:v>
      </x:c>
      <x:c r="D257" s="26" t="n">
        <x:v>10093</x:v>
      </x:c>
      <x:c r="E257" s="26" t="str">
        <x:v>PRJ-2026-0010093</x:v>
      </x:c>
      <x:c r="F257" s="26" t="str">
        <x:v>Proposal for upgradation of AWC</x:v>
      </x:c>
      <x:c r="G257" s="26" t="n">
        <x:v>673</x:v>
      </x:c>
      <x:c r="H257" s="26" t="n">
        <x:v>38453</x:v>
      </x:c>
      <x:c r="I257" s="26"/>
      <x:c r="J257" s="26"/>
      <x:c r="K257" s="26"/>
      <x:c r="L257" s="26" t="n">
        <x:v>1</x:v>
      </x:c>
      <x:c r="M257" s="26" t="n">
        <x:v>1</x:v>
      </x:c>
      <x:c r="N257" s="26" t="n">
        <x:v>0</x:v>
      </x:c>
      <x:c r="O257" s="26" t="n">
        <x:f>MAX(M257-N257,0)</x:f>
        <x:v>1</x:v>
      </x:c>
      <x:c r="P257" s="38" t="n">
        <x:f>IFERROR(N257/M257,0)</x:f>
        <x:v>0</x:v>
      </x:c>
      <x:c r="Q257" s="26"/>
      <x:c r="R257" s="26"/>
      <x:c r="S257" s="26" t="str">
        <x:v>Pending Mapping</x:v>
      </x:c>
      <x:c r="T257" s="26"/>
      <x:c r="U257" s="26"/>
      <x:c r="V257" s="26"/>
      <x:c r="W257" s="32"/>
      <x:c r="X257" s="27" t="b">
        <x:v>1</x:v>
      </x:c>
      <x:c r="Y257" s="34" t="n">
        <x:v>46219.99998842592</x:v>
      </x:c>
      <x:c r="Z257" s="26"/>
      <x:c r="AA257" s="26" t="str"/>
      <x:c r="AB257" s="26" t="str">
        <x:v>Activity name/category not included in contribution response</x:v>
      </x:c>
    </x:row>
    <x:row r="258">
      <x:c r="A258" s="26" t="n">
        <x:v>255</x:v>
      </x:c>
      <x:c r="B258" s="26" t="n">
        <x:v>245</x:v>
      </x:c>
      <x:c r="C258" s="26" t="str">
        <x:v>Kumuram Bheem Asifabad</x:v>
      </x:c>
      <x:c r="D258" s="26" t="n">
        <x:v>10093</x:v>
      </x:c>
      <x:c r="E258" s="26" t="str">
        <x:v>PRJ-2026-0010093</x:v>
      </x:c>
      <x:c r="F258" s="26" t="str">
        <x:v>Proposal for upgradation of AWC</x:v>
      </x:c>
      <x:c r="G258" s="26" t="n">
        <x:v>674</x:v>
      </x:c>
      <x:c r="H258" s="26" t="n">
        <x:v>38454</x:v>
      </x:c>
      <x:c r="I258" s="26"/>
      <x:c r="J258" s="26"/>
      <x:c r="K258" s="26"/>
      <x:c r="L258" s="26" t="n">
        <x:v>1</x:v>
      </x:c>
      <x:c r="M258" s="26" t="n">
        <x:v>1</x:v>
      </x:c>
      <x:c r="N258" s="26" t="n">
        <x:v>0</x:v>
      </x:c>
      <x:c r="O258" s="26" t="n">
        <x:f>MAX(M258-N258,0)</x:f>
        <x:v>1</x:v>
      </x:c>
      <x:c r="P258" s="38" t="n">
        <x:f>IFERROR(N258/M258,0)</x:f>
        <x:v>0</x:v>
      </x:c>
      <x:c r="Q258" s="26"/>
      <x:c r="R258" s="26"/>
      <x:c r="S258" s="26" t="str">
        <x:v>Pending Mapping</x:v>
      </x:c>
      <x:c r="T258" s="26"/>
      <x:c r="U258" s="26"/>
      <x:c r="V258" s="26"/>
      <x:c r="W258" s="32"/>
      <x:c r="X258" s="27" t="b">
        <x:v>1</x:v>
      </x:c>
      <x:c r="Y258" s="34" t="n">
        <x:v>46219.99998842592</x:v>
      </x:c>
      <x:c r="Z258" s="26"/>
      <x:c r="AA258" s="26" t="str"/>
      <x:c r="AB258" s="26" t="str">
        <x:v>Activity name/category not included in contribution response</x:v>
      </x:c>
    </x:row>
    <x:row r="259">
      <x:c r="A259" s="26" t="n">
        <x:v>256</x:v>
      </x:c>
      <x:c r="B259" s="26" t="n">
        <x:v>245</x:v>
      </x:c>
      <x:c r="C259" s="26" t="str">
        <x:v>Kumuram Bheem Asifabad</x:v>
      </x:c>
      <x:c r="D259" s="26" t="n">
        <x:v>10093</x:v>
      </x:c>
      <x:c r="E259" s="26" t="str">
        <x:v>PRJ-2026-0010093</x:v>
      </x:c>
      <x:c r="F259" s="26" t="str">
        <x:v>Proposal for upgradation of AWC</x:v>
      </x:c>
      <x:c r="G259" s="26" t="n">
        <x:v>675</x:v>
      </x:c>
      <x:c r="H259" s="26" t="n">
        <x:v>38455</x:v>
      </x:c>
      <x:c r="I259" s="26"/>
      <x:c r="J259" s="26"/>
      <x:c r="K259" s="26"/>
      <x:c r="L259" s="26" t="n">
        <x:v>1</x:v>
      </x:c>
      <x:c r="M259" s="26" t="n">
        <x:v>1</x:v>
      </x:c>
      <x:c r="N259" s="26" t="n">
        <x:v>0</x:v>
      </x:c>
      <x:c r="O259" s="26" t="n">
        <x:f>MAX(M259-N259,0)</x:f>
        <x:v>1</x:v>
      </x:c>
      <x:c r="P259" s="38" t="n">
        <x:f>IFERROR(N259/M259,0)</x:f>
        <x:v>0</x:v>
      </x:c>
      <x:c r="Q259" s="26"/>
      <x:c r="R259" s="26"/>
      <x:c r="S259" s="26" t="str">
        <x:v>Pending Mapping</x:v>
      </x:c>
      <x:c r="T259" s="26"/>
      <x:c r="U259" s="26"/>
      <x:c r="V259" s="26"/>
      <x:c r="W259" s="32"/>
      <x:c r="X259" s="27" t="b">
        <x:v>1</x:v>
      </x:c>
      <x:c r="Y259" s="34" t="n">
        <x:v>46219.99998842592</x:v>
      </x:c>
      <x:c r="Z259" s="26"/>
      <x:c r="AA259" s="26" t="str"/>
      <x:c r="AB259" s="26" t="str">
        <x:v>Activity name/category not included in contribution response</x:v>
      </x:c>
    </x:row>
    <x:row r="260">
      <x:c r="A260" s="26" t="n">
        <x:v>257</x:v>
      </x:c>
      <x:c r="B260" s="26" t="n">
        <x:v>244</x:v>
      </x:c>
      <x:c r="C260" s="26" t="str">
        <x:v>Kumuram Bheem Asifabad</x:v>
      </x:c>
      <x:c r="D260" s="26" t="n">
        <x:v>10113</x:v>
      </x:c>
      <x:c r="E260" s="26" t="str">
        <x:v>PRJ-2026-0010113</x:v>
      </x:c>
      <x:c r="F260" s="26" t="str">
        <x:v>Rain Water Harvesting System : Water Filter Kitchen Construction : Poshan Vatika  kitchen Shelves : Gas stove, regulator : Solar Panel : Civil Repair : Toilet</x:v>
      </x:c>
      <x:c r="G260" s="26" t="n">
        <x:v>668</x:v>
      </x:c>
      <x:c r="H260" s="26" t="n">
        <x:v>38527</x:v>
      </x:c>
      <x:c r="I260" s="26"/>
      <x:c r="J260" s="26"/>
      <x:c r="K260" s="26"/>
      <x:c r="L260" s="26" t="n">
        <x:v>1</x:v>
      </x:c>
      <x:c r="M260" s="26" t="n">
        <x:v>1</x:v>
      </x:c>
      <x:c r="N260" s="26" t="n">
        <x:v>0</x:v>
      </x:c>
      <x:c r="O260" s="26" t="n">
        <x:f>MAX(M260-N260,0)</x:f>
        <x:v>1</x:v>
      </x:c>
      <x:c r="P260" s="38" t="n">
        <x:f>IFERROR(N260/M260,0)</x:f>
        <x:v>0</x:v>
      </x:c>
      <x:c r="Q260" s="26"/>
      <x:c r="R260" s="26"/>
      <x:c r="S260" s="26" t="str">
        <x:v>Pending Mapping</x:v>
      </x:c>
      <x:c r="T260" s="26"/>
      <x:c r="U260" s="26"/>
      <x:c r="V260" s="26"/>
      <x:c r="W260" s="32"/>
      <x:c r="X260" s="27" t="b">
        <x:v>1</x:v>
      </x:c>
      <x:c r="Y260" s="34" t="n">
        <x:v>46219.999976851854</x:v>
      </x:c>
      <x:c r="Z260" s="26"/>
      <x:c r="AA260" s="26" t="str"/>
      <x:c r="AB260" s="26" t="str">
        <x:v>Activity name/category not included in contribution response</x:v>
      </x:c>
    </x:row>
    <x:row r="261">
      <x:c r="A261" s="26" t="n">
        <x:v>258</x:v>
      </x:c>
      <x:c r="B261" s="26" t="n">
        <x:v>244</x:v>
      </x:c>
      <x:c r="C261" s="26" t="str">
        <x:v>Kumuram Bheem Asifabad</x:v>
      </x:c>
      <x:c r="D261" s="26" t="n">
        <x:v>10113</x:v>
      </x:c>
      <x:c r="E261" s="26" t="str">
        <x:v>PRJ-2026-0010113</x:v>
      </x:c>
      <x:c r="F261" s="26" t="str">
        <x:v>Rain Water Harvesting System : Water Filter Kitchen Construction : Poshan Vatika  kitchen Shelves : Gas stove, regulator : Solar Panel : Civil Repair : Toilet</x:v>
      </x:c>
      <x:c r="G261" s="26" t="n">
        <x:v>669</x:v>
      </x:c>
      <x:c r="H261" s="26" t="n">
        <x:v>38528</x:v>
      </x:c>
      <x:c r="I261" s="26"/>
      <x:c r="J261" s="26"/>
      <x:c r="K261" s="26"/>
      <x:c r="L261" s="26" t="n">
        <x:v>1</x:v>
      </x:c>
      <x:c r="M261" s="26" t="n">
        <x:v>1</x:v>
      </x:c>
      <x:c r="N261" s="26" t="n">
        <x:v>0</x:v>
      </x:c>
      <x:c r="O261" s="26" t="n">
        <x:f>MAX(M261-N261,0)</x:f>
        <x:v>1</x:v>
      </x:c>
      <x:c r="P261" s="38" t="n">
        <x:f>IFERROR(N261/M261,0)</x:f>
        <x:v>0</x:v>
      </x:c>
      <x:c r="Q261" s="26"/>
      <x:c r="R261" s="26"/>
      <x:c r="S261" s="26" t="str">
        <x:v>Pending Mapping</x:v>
      </x:c>
      <x:c r="T261" s="26"/>
      <x:c r="U261" s="26"/>
      <x:c r="V261" s="26"/>
      <x:c r="W261" s="32"/>
      <x:c r="X261" s="27" t="b">
        <x:v>1</x:v>
      </x:c>
      <x:c r="Y261" s="34" t="n">
        <x:v>46219.999976851854</x:v>
      </x:c>
      <x:c r="Z261" s="26"/>
      <x:c r="AA261" s="26" t="str"/>
      <x:c r="AB261" s="26" t="str">
        <x:v>Activity name/category not included in contribution response</x:v>
      </x:c>
    </x:row>
    <x:row r="262">
      <x:c r="A262" s="26" t="n">
        <x:v>259</x:v>
      </x:c>
      <x:c r="B262" s="26" t="n">
        <x:v>244</x:v>
      </x:c>
      <x:c r="C262" s="26" t="str">
        <x:v>Kumuram Bheem Asifabad</x:v>
      </x:c>
      <x:c r="D262" s="26" t="n">
        <x:v>10113</x:v>
      </x:c>
      <x:c r="E262" s="26" t="str">
        <x:v>PRJ-2026-0010113</x:v>
      </x:c>
      <x:c r="F262" s="26" t="str">
        <x:v>Rain Water Harvesting System : Water Filter Kitchen Construction : Poshan Vatika  kitchen Shelves : Gas stove, regulator : Solar Panel : Civil Repair : Toilet</x:v>
      </x:c>
      <x:c r="G262" s="26" t="n">
        <x:v>670</x:v>
      </x:c>
      <x:c r="H262" s="26" t="n">
        <x:v>38529</x:v>
      </x:c>
      <x:c r="I262" s="26"/>
      <x:c r="J262" s="26"/>
      <x:c r="K262" s="26"/>
      <x:c r="L262" s="26" t="n">
        <x:v>1</x:v>
      </x:c>
      <x:c r="M262" s="26" t="n">
        <x:v>1</x:v>
      </x:c>
      <x:c r="N262" s="26" t="n">
        <x:v>0</x:v>
      </x:c>
      <x:c r="O262" s="26" t="n">
        <x:f>MAX(M262-N262,0)</x:f>
        <x:v>1</x:v>
      </x:c>
      <x:c r="P262" s="38" t="n">
        <x:f>IFERROR(N262/M262,0)</x:f>
        <x:v>0</x:v>
      </x:c>
      <x:c r="Q262" s="26"/>
      <x:c r="R262" s="26"/>
      <x:c r="S262" s="26" t="str">
        <x:v>Pending Mapping</x:v>
      </x:c>
      <x:c r="T262" s="26"/>
      <x:c r="U262" s="26"/>
      <x:c r="V262" s="26"/>
      <x:c r="W262" s="32"/>
      <x:c r="X262" s="27" t="b">
        <x:v>1</x:v>
      </x:c>
      <x:c r="Y262" s="34" t="n">
        <x:v>46219.999976851854</x:v>
      </x:c>
      <x:c r="Z262" s="26"/>
      <x:c r="AA262" s="26" t="str"/>
      <x:c r="AB262" s="26" t="str">
        <x:v>Activity name/category not included in contribution response</x:v>
      </x:c>
    </x:row>
    <x:row r="263">
      <x:c r="A263" s="26" t="n">
        <x:v>260</x:v>
      </x:c>
      <x:c r="B263" s="26" t="n">
        <x:v>244</x:v>
      </x:c>
      <x:c r="C263" s="26" t="str">
        <x:v>Kumuram Bheem Asifabad</x:v>
      </x:c>
      <x:c r="D263" s="26" t="n">
        <x:v>10113</x:v>
      </x:c>
      <x:c r="E263" s="26" t="str">
        <x:v>PRJ-2026-0010113</x:v>
      </x:c>
      <x:c r="F263" s="26" t="str">
        <x:v>Rain Water Harvesting System : Water Filter Kitchen Construction : Poshan Vatika  kitchen Shelves : Gas stove, regulator : Solar Panel : Civil Repair : Toilet</x:v>
      </x:c>
      <x:c r="G263" s="26" t="n">
        <x:v>671</x:v>
      </x:c>
      <x:c r="H263" s="26" t="n">
        <x:v>38530</x:v>
      </x:c>
      <x:c r="I263" s="26"/>
      <x:c r="J263" s="26"/>
      <x:c r="K263" s="26"/>
      <x:c r="L263" s="26" t="n">
        <x:v>1</x:v>
      </x:c>
      <x:c r="M263" s="26" t="n">
        <x:v>1</x:v>
      </x:c>
      <x:c r="N263" s="26" t="n">
        <x:v>0</x:v>
      </x:c>
      <x:c r="O263" s="26" t="n">
        <x:f>MAX(M263-N263,0)</x:f>
        <x:v>1</x:v>
      </x:c>
      <x:c r="P263" s="38" t="n">
        <x:f>IFERROR(N263/M263,0)</x:f>
        <x:v>0</x:v>
      </x:c>
      <x:c r="Q263" s="26"/>
      <x:c r="R263" s="26"/>
      <x:c r="S263" s="26" t="str">
        <x:v>Pending Mapping</x:v>
      </x:c>
      <x:c r="T263" s="26"/>
      <x:c r="U263" s="26"/>
      <x:c r="V263" s="26"/>
      <x:c r="W263" s="32"/>
      <x:c r="X263" s="27" t="b">
        <x:v>1</x:v>
      </x:c>
      <x:c r="Y263" s="34" t="n">
        <x:v>46219.999976851854</x:v>
      </x:c>
      <x:c r="Z263" s="26"/>
      <x:c r="AA263" s="26" t="str"/>
      <x:c r="AB263" s="26" t="str">
        <x:v>Activity name/category not included in contribution response</x:v>
      </x:c>
    </x:row>
    <x:row r="264">
      <x:c r="A264" s="26" t="n">
        <x:v>261</x:v>
      </x:c>
      <x:c r="B264" s="26" t="n">
        <x:v>242</x:v>
      </x:c>
      <x:c r="C264" s="26" t="str">
        <x:v>Kumuram Bheem Asifabad</x:v>
      </x:c>
      <x:c r="D264" s="26" t="n">
        <x:v>10141</x:v>
      </x:c>
      <x:c r="E264" s="26" t="str">
        <x:v>PRJ-2026-0010141</x:v>
      </x:c>
      <x:c r="F264" s="26" t="str">
        <x:v>Rain Water Harvesting System : Water Filter Kitchen Construction : Poshan Vatika  kitchen Shelves : Gas stove, regulator : Solar Panel : Civil Repair : Toilet</x:v>
      </x:c>
      <x:c r="G264" s="26" t="n">
        <x:v>661</x:v>
      </x:c>
      <x:c r="H264" s="26" t="n">
        <x:v>38643</x:v>
      </x:c>
      <x:c r="I264" s="26"/>
      <x:c r="J264" s="26"/>
      <x:c r="K264" s="26"/>
      <x:c r="L264" s="26" t="n">
        <x:v>1</x:v>
      </x:c>
      <x:c r="M264" s="26" t="n">
        <x:v>1</x:v>
      </x:c>
      <x:c r="N264" s="26" t="n">
        <x:v>0</x:v>
      </x:c>
      <x:c r="O264" s="26" t="n">
        <x:f>MAX(M264-N264,0)</x:f>
        <x:v>1</x:v>
      </x:c>
      <x:c r="P264" s="38" t="n">
        <x:f>IFERROR(N264/M264,0)</x:f>
        <x:v>0</x:v>
      </x:c>
      <x:c r="Q264" s="26"/>
      <x:c r="R264" s="26"/>
      <x:c r="S264" s="26" t="str">
        <x:v>Pending Mapping</x:v>
      </x:c>
      <x:c r="T264" s="26"/>
      <x:c r="U264" s="26"/>
      <x:c r="V264" s="26"/>
      <x:c r="W264" s="32"/>
      <x:c r="X264" s="27" t="b">
        <x:v>1</x:v>
      </x:c>
      <x:c r="Y264" s="34" t="n">
        <x:v>46219.99996527778</x:v>
      </x:c>
      <x:c r="Z264" s="26"/>
      <x:c r="AA264" s="26" t="str"/>
      <x:c r="AB264" s="26" t="str">
        <x:v>Activity name/category not included in contribution response</x:v>
      </x:c>
    </x:row>
    <x:row r="265">
      <x:c r="A265" s="26" t="n">
        <x:v>262</x:v>
      </x:c>
      <x:c r="B265" s="26" t="n">
        <x:v>242</x:v>
      </x:c>
      <x:c r="C265" s="26" t="str">
        <x:v>Kumuram Bheem Asifabad</x:v>
      </x:c>
      <x:c r="D265" s="26" t="n">
        <x:v>10141</x:v>
      </x:c>
      <x:c r="E265" s="26" t="str">
        <x:v>PRJ-2026-0010141</x:v>
      </x:c>
      <x:c r="F265" s="26" t="str">
        <x:v>Rain Water Harvesting System : Water Filter Kitchen Construction : Poshan Vatika  kitchen Shelves : Gas stove, regulator : Solar Panel : Civil Repair : Toilet</x:v>
      </x:c>
      <x:c r="G265" s="26" t="n">
        <x:v>662</x:v>
      </x:c>
      <x:c r="H265" s="26" t="n">
        <x:v>38644</x:v>
      </x:c>
      <x:c r="I265" s="26"/>
      <x:c r="J265" s="26"/>
      <x:c r="K265" s="26"/>
      <x:c r="L265" s="26" t="n">
        <x:v>1</x:v>
      </x:c>
      <x:c r="M265" s="26" t="n">
        <x:v>1</x:v>
      </x:c>
      <x:c r="N265" s="26" t="n">
        <x:v>0</x:v>
      </x:c>
      <x:c r="O265" s="26" t="n">
        <x:f>MAX(M265-N265,0)</x:f>
        <x:v>1</x:v>
      </x:c>
      <x:c r="P265" s="38" t="n">
        <x:f>IFERROR(N265/M265,0)</x:f>
        <x:v>0</x:v>
      </x:c>
      <x:c r="Q265" s="26"/>
      <x:c r="R265" s="26"/>
      <x:c r="S265" s="26" t="str">
        <x:v>Pending Mapping</x:v>
      </x:c>
      <x:c r="T265" s="26"/>
      <x:c r="U265" s="26"/>
      <x:c r="V265" s="26"/>
      <x:c r="W265" s="32"/>
      <x:c r="X265" s="27" t="b">
        <x:v>1</x:v>
      </x:c>
      <x:c r="Y265" s="34" t="n">
        <x:v>46219.99996527778</x:v>
      </x:c>
      <x:c r="Z265" s="26"/>
      <x:c r="AA265" s="26" t="str"/>
      <x:c r="AB265" s="26" t="str">
        <x:v>Activity name/category not included in contribution response</x:v>
      </x:c>
    </x:row>
    <x:row r="266">
      <x:c r="A266" s="26" t="n">
        <x:v>263</x:v>
      </x:c>
      <x:c r="B266" s="26" t="n">
        <x:v>242</x:v>
      </x:c>
      <x:c r="C266" s="26" t="str">
        <x:v>Kumuram Bheem Asifabad</x:v>
      </x:c>
      <x:c r="D266" s="26" t="n">
        <x:v>10141</x:v>
      </x:c>
      <x:c r="E266" s="26" t="str">
        <x:v>PRJ-2026-0010141</x:v>
      </x:c>
      <x:c r="F266" s="26" t="str">
        <x:v>Rain Water Harvesting System : Water Filter Kitchen Construction : Poshan Vatika  kitchen Shelves : Gas stove, regulator : Solar Panel : Civil Repair : Toilet</x:v>
      </x:c>
      <x:c r="G266" s="26" t="n">
        <x:v>663</x:v>
      </x:c>
      <x:c r="H266" s="26" t="n">
        <x:v>38645</x:v>
      </x:c>
      <x:c r="I266" s="26"/>
      <x:c r="J266" s="26"/>
      <x:c r="K266" s="26"/>
      <x:c r="L266" s="26" t="n">
        <x:v>1</x:v>
      </x:c>
      <x:c r="M266" s="26" t="n">
        <x:v>1</x:v>
      </x:c>
      <x:c r="N266" s="26" t="n">
        <x:v>0</x:v>
      </x:c>
      <x:c r="O266" s="26" t="n">
        <x:f>MAX(M266-N266,0)</x:f>
        <x:v>1</x:v>
      </x:c>
      <x:c r="P266" s="38" t="n">
        <x:f>IFERROR(N266/M266,0)</x:f>
        <x:v>0</x:v>
      </x:c>
      <x:c r="Q266" s="26"/>
      <x:c r="R266" s="26"/>
      <x:c r="S266" s="26" t="str">
        <x:v>Pending Mapping</x:v>
      </x:c>
      <x:c r="T266" s="26"/>
      <x:c r="U266" s="26"/>
      <x:c r="V266" s="26"/>
      <x:c r="W266" s="32"/>
      <x:c r="X266" s="27" t="b">
        <x:v>1</x:v>
      </x:c>
      <x:c r="Y266" s="34" t="n">
        <x:v>46219.99996527778</x:v>
      </x:c>
      <x:c r="Z266" s="26"/>
      <x:c r="AA266" s="26" t="str"/>
      <x:c r="AB266" s="26" t="str">
        <x:v>Activity name/category not included in contribution response</x:v>
      </x:c>
    </x:row>
    <x:row r="267">
      <x:c r="A267" s="26" t="n">
        <x:v>264</x:v>
      </x:c>
      <x:c r="B267" s="26" t="n">
        <x:v>242</x:v>
      </x:c>
      <x:c r="C267" s="26" t="str">
        <x:v>Kumuram Bheem Asifabad</x:v>
      </x:c>
      <x:c r="D267" s="26" t="n">
        <x:v>10141</x:v>
      </x:c>
      <x:c r="E267" s="26" t="str">
        <x:v>PRJ-2026-0010141</x:v>
      </x:c>
      <x:c r="F267" s="26" t="str">
        <x:v>Rain Water Harvesting System : Water Filter Kitchen Construction : Poshan Vatika  kitchen Shelves : Gas stove, regulator : Solar Panel : Civil Repair : Toilet</x:v>
      </x:c>
      <x:c r="G267" s="26" t="n">
        <x:v>664</x:v>
      </x:c>
      <x:c r="H267" s="26" t="n">
        <x:v>38646</x:v>
      </x:c>
      <x:c r="I267" s="26"/>
      <x:c r="J267" s="26"/>
      <x:c r="K267" s="26"/>
      <x:c r="L267" s="26" t="n">
        <x:v>1</x:v>
      </x:c>
      <x:c r="M267" s="26" t="n">
        <x:v>1</x:v>
      </x:c>
      <x:c r="N267" s="26" t="n">
        <x:v>0</x:v>
      </x:c>
      <x:c r="O267" s="26" t="n">
        <x:f>MAX(M267-N267,0)</x:f>
        <x:v>1</x:v>
      </x:c>
      <x:c r="P267" s="38" t="n">
        <x:f>IFERROR(N267/M267,0)</x:f>
        <x:v>0</x:v>
      </x:c>
      <x:c r="Q267" s="26"/>
      <x:c r="R267" s="26"/>
      <x:c r="S267" s="26" t="str">
        <x:v>Pending Mapping</x:v>
      </x:c>
      <x:c r="T267" s="26"/>
      <x:c r="U267" s="26"/>
      <x:c r="V267" s="26"/>
      <x:c r="W267" s="32"/>
      <x:c r="X267" s="27" t="b">
        <x:v>1</x:v>
      </x:c>
      <x:c r="Y267" s="34" t="n">
        <x:v>46219.99996527778</x:v>
      </x:c>
      <x:c r="Z267" s="26"/>
      <x:c r="AA267" s="26" t="str"/>
      <x:c r="AB267" s="26" t="str">
        <x:v>Activity name/category not included in contribution response</x:v>
      </x:c>
    </x:row>
    <x:row r="268">
      <x:c r="A268" s="26" t="n">
        <x:v>265</x:v>
      </x:c>
      <x:c r="B268" s="26" t="n">
        <x:v>243</x:v>
      </x:c>
      <x:c r="C268" s="26" t="str">
        <x:v>Kumuram Bheem Asifabad</x:v>
      </x:c>
      <x:c r="D268" s="26" t="n">
        <x:v>10135</x:v>
      </x:c>
      <x:c r="E268" s="26" t="str">
        <x:v>PRJ-2026-0010135</x:v>
      </x:c>
      <x:c r="F268" s="26" t="str">
        <x:v>Proposal for upgradation of Anganwadi centre</x:v>
      </x:c>
      <x:c r="G268" s="26" t="n">
        <x:v>665</x:v>
      </x:c>
      <x:c r="H268" s="26" t="n">
        <x:v>38629</x:v>
      </x:c>
      <x:c r="I268" s="26"/>
      <x:c r="J268" s="26"/>
      <x:c r="K268" s="26"/>
      <x:c r="L268" s="26" t="n">
        <x:v>1</x:v>
      </x:c>
      <x:c r="M268" s="26" t="n">
        <x:v>1</x:v>
      </x:c>
      <x:c r="N268" s="26" t="n">
        <x:v>0</x:v>
      </x:c>
      <x:c r="O268" s="26" t="n">
        <x:f>MAX(M268-N268,0)</x:f>
        <x:v>1</x:v>
      </x:c>
      <x:c r="P268" s="38" t="n">
        <x:f>IFERROR(N268/M268,0)</x:f>
        <x:v>0</x:v>
      </x:c>
      <x:c r="Q268" s="26"/>
      <x:c r="R268" s="26"/>
      <x:c r="S268" s="26" t="str">
        <x:v>Pending Mapping</x:v>
      </x:c>
      <x:c r="T268" s="26"/>
      <x:c r="U268" s="26"/>
      <x:c r="V268" s="26"/>
      <x:c r="W268" s="32"/>
      <x:c r="X268" s="27" t="b">
        <x:v>1</x:v>
      </x:c>
      <x:c r="Y268" s="34" t="n">
        <x:v>46219.99996527778</x:v>
      </x:c>
      <x:c r="Z268" s="26"/>
      <x:c r="AA268" s="26" t="str"/>
      <x:c r="AB268" s="26" t="str">
        <x:v>Activity name/category not included in contribution response</x:v>
      </x:c>
    </x:row>
    <x:row r="269">
      <x:c r="A269" s="26" t="n">
        <x:v>266</x:v>
      </x:c>
      <x:c r="B269" s="26" t="n">
        <x:v>243</x:v>
      </x:c>
      <x:c r="C269" s="26" t="str">
        <x:v>Kumuram Bheem Asifabad</x:v>
      </x:c>
      <x:c r="D269" s="26" t="n">
        <x:v>10135</x:v>
      </x:c>
      <x:c r="E269" s="26" t="str">
        <x:v>PRJ-2026-0010135</x:v>
      </x:c>
      <x:c r="F269" s="26" t="str">
        <x:v>Proposal for upgradation of Anganwadi centre</x:v>
      </x:c>
      <x:c r="G269" s="26" t="n">
        <x:v>666</x:v>
      </x:c>
      <x:c r="H269" s="26" t="n">
        <x:v>38630</x:v>
      </x:c>
      <x:c r="I269" s="26"/>
      <x:c r="J269" s="26"/>
      <x:c r="K269" s="26"/>
      <x:c r="L269" s="26" t="n">
        <x:v>1</x:v>
      </x:c>
      <x:c r="M269" s="26" t="n">
        <x:v>1</x:v>
      </x:c>
      <x:c r="N269" s="26" t="n">
        <x:v>0</x:v>
      </x:c>
      <x:c r="O269" s="26" t="n">
        <x:f>MAX(M269-N269,0)</x:f>
        <x:v>1</x:v>
      </x:c>
      <x:c r="P269" s="38" t="n">
        <x:f>IFERROR(N269/M269,0)</x:f>
        <x:v>0</x:v>
      </x:c>
      <x:c r="Q269" s="26"/>
      <x:c r="R269" s="26"/>
      <x:c r="S269" s="26" t="str">
        <x:v>Pending Mapping</x:v>
      </x:c>
      <x:c r="T269" s="26"/>
      <x:c r="U269" s="26"/>
      <x:c r="V269" s="26"/>
      <x:c r="W269" s="32"/>
      <x:c r="X269" s="27" t="b">
        <x:v>1</x:v>
      </x:c>
      <x:c r="Y269" s="34" t="n">
        <x:v>46219.99996527778</x:v>
      </x:c>
      <x:c r="Z269" s="26"/>
      <x:c r="AA269" s="26" t="str"/>
      <x:c r="AB269" s="26" t="str">
        <x:v>Activity name/category not included in contribution response</x:v>
      </x:c>
    </x:row>
    <x:row r="270">
      <x:c r="A270" s="26" t="n">
        <x:v>267</x:v>
      </x:c>
      <x:c r="B270" s="26" t="n">
        <x:v>243</x:v>
      </x:c>
      <x:c r="C270" s="26" t="str">
        <x:v>Kumuram Bheem Asifabad</x:v>
      </x:c>
      <x:c r="D270" s="26" t="n">
        <x:v>10135</x:v>
      </x:c>
      <x:c r="E270" s="26" t="str">
        <x:v>PRJ-2026-0010135</x:v>
      </x:c>
      <x:c r="F270" s="26" t="str">
        <x:v>Proposal for upgradation of Anganwadi centre</x:v>
      </x:c>
      <x:c r="G270" s="26" t="n">
        <x:v>667</x:v>
      </x:c>
      <x:c r="H270" s="26" t="n">
        <x:v>38631</x:v>
      </x:c>
      <x:c r="I270" s="26"/>
      <x:c r="J270" s="26"/>
      <x:c r="K270" s="26"/>
      <x:c r="L270" s="26" t="n">
        <x:v>1</x:v>
      </x:c>
      <x:c r="M270" s="26" t="n">
        <x:v>1</x:v>
      </x:c>
      <x:c r="N270" s="26" t="n">
        <x:v>0</x:v>
      </x:c>
      <x:c r="O270" s="26" t="n">
        <x:f>MAX(M270-N270,0)</x:f>
        <x:v>1</x:v>
      </x:c>
      <x:c r="P270" s="38" t="n">
        <x:f>IFERROR(N270/M270,0)</x:f>
        <x:v>0</x:v>
      </x:c>
      <x:c r="Q270" s="26"/>
      <x:c r="R270" s="26"/>
      <x:c r="S270" s="26" t="str">
        <x:v>Pending Mapping</x:v>
      </x:c>
      <x:c r="T270" s="26"/>
      <x:c r="U270" s="26"/>
      <x:c r="V270" s="26"/>
      <x:c r="W270" s="32"/>
      <x:c r="X270" s="27" t="b">
        <x:v>1</x:v>
      </x:c>
      <x:c r="Y270" s="34" t="n">
        <x:v>46219.99996527778</x:v>
      </x:c>
      <x:c r="Z270" s="26"/>
      <x:c r="AA270" s="26" t="str"/>
      <x:c r="AB270" s="26" t="str">
        <x:v>Activity name/category not included in contribution response</x:v>
      </x:c>
    </x:row>
    <x:row r="271">
      <x:c r="A271" s="26" t="n">
        <x:v>268</x:v>
      </x:c>
      <x:c r="B271" s="26" t="n">
        <x:v>241</x:v>
      </x:c>
      <x:c r="C271" s="26" t="str">
        <x:v>Kumuram Bheem Asifabad</x:v>
      </x:c>
      <x:c r="D271" s="26" t="n">
        <x:v>11148</x:v>
      </x:c>
      <x:c r="E271" s="26" t="str">
        <x:v>PRJ-2026-0011148</x:v>
      </x:c>
      <x:c r="F271" s="26" t="str">
        <x:v>Water filter, ECCE metirial </x:v>
      </x:c>
      <x:c r="G271" s="26" t="n">
        <x:v>655</x:v>
      </x:c>
      <x:c r="H271" s="26" t="n">
        <x:v>42858</x:v>
      </x:c>
      <x:c r="I271" s="26"/>
      <x:c r="J271" s="26"/>
      <x:c r="K271" s="26"/>
      <x:c r="L271" s="26" t="n">
        <x:v>1</x:v>
      </x:c>
      <x:c r="M271" s="26" t="n">
        <x:v>1</x:v>
      </x:c>
      <x:c r="N271" s="26" t="n">
        <x:v>0</x:v>
      </x:c>
      <x:c r="O271" s="26" t="n">
        <x:f>MAX(M271-N271,0)</x:f>
        <x:v>1</x:v>
      </x:c>
      <x:c r="P271" s="38" t="n">
        <x:f>IFERROR(N271/M271,0)</x:f>
        <x:v>0</x:v>
      </x:c>
      <x:c r="Q271" s="26"/>
      <x:c r="R271" s="26"/>
      <x:c r="S271" s="26" t="str">
        <x:v>Pending Mapping</x:v>
      </x:c>
      <x:c r="T271" s="26"/>
      <x:c r="U271" s="26"/>
      <x:c r="V271" s="26"/>
      <x:c r="W271" s="32"/>
      <x:c r="X271" s="27" t="b">
        <x:v>1</x:v>
      </x:c>
      <x:c r="Y271" s="34" t="n">
        <x:v>46219.9999537037</x:v>
      </x:c>
      <x:c r="Z271" s="26"/>
      <x:c r="AA271" s="26" t="str"/>
      <x:c r="AB271" s="26" t="str">
        <x:v>Activity name/category not included in contribution response</x:v>
      </x:c>
    </x:row>
    <x:row r="272">
      <x:c r="A272" s="26" t="n">
        <x:v>269</x:v>
      </x:c>
      <x:c r="B272" s="26" t="n">
        <x:v>241</x:v>
      </x:c>
      <x:c r="C272" s="26" t="str">
        <x:v>Kumuram Bheem Asifabad</x:v>
      </x:c>
      <x:c r="D272" s="26" t="n">
        <x:v>11148</x:v>
      </x:c>
      <x:c r="E272" s="26" t="str">
        <x:v>PRJ-2026-0011148</x:v>
      </x:c>
      <x:c r="F272" s="26" t="str">
        <x:v>Water filter, ECCE metirial </x:v>
      </x:c>
      <x:c r="G272" s="26" t="n">
        <x:v>656</x:v>
      </x:c>
      <x:c r="H272" s="26" t="n">
        <x:v>42859</x:v>
      </x:c>
      <x:c r="I272" s="26"/>
      <x:c r="J272" s="26"/>
      <x:c r="K272" s="26"/>
      <x:c r="L272" s="26" t="n">
        <x:v>1</x:v>
      </x:c>
      <x:c r="M272" s="26" t="n">
        <x:v>1</x:v>
      </x:c>
      <x:c r="N272" s="26" t="n">
        <x:v>0</x:v>
      </x:c>
      <x:c r="O272" s="26" t="n">
        <x:f>MAX(M272-N272,0)</x:f>
        <x:v>1</x:v>
      </x:c>
      <x:c r="P272" s="38" t="n">
        <x:f>IFERROR(N272/M272,0)</x:f>
        <x:v>0</x:v>
      </x:c>
      <x:c r="Q272" s="26"/>
      <x:c r="R272" s="26"/>
      <x:c r="S272" s="26" t="str">
        <x:v>Pending Mapping</x:v>
      </x:c>
      <x:c r="T272" s="26"/>
      <x:c r="U272" s="26"/>
      <x:c r="V272" s="26"/>
      <x:c r="W272" s="32"/>
      <x:c r="X272" s="27" t="b">
        <x:v>1</x:v>
      </x:c>
      <x:c r="Y272" s="34" t="n">
        <x:v>46219.9999537037</x:v>
      </x:c>
      <x:c r="Z272" s="26"/>
      <x:c r="AA272" s="26" t="str"/>
      <x:c r="AB272" s="26" t="str">
        <x:v>Activity name/category not included in contribution response</x:v>
      </x:c>
    </x:row>
    <x:row r="273">
      <x:c r="A273" s="26" t="n">
        <x:v>270</x:v>
      </x:c>
      <x:c r="B273" s="26" t="n">
        <x:v>241</x:v>
      </x:c>
      <x:c r="C273" s="26" t="str">
        <x:v>Kumuram Bheem Asifabad</x:v>
      </x:c>
      <x:c r="D273" s="26" t="n">
        <x:v>11148</x:v>
      </x:c>
      <x:c r="E273" s="26" t="str">
        <x:v>PRJ-2026-0011148</x:v>
      </x:c>
      <x:c r="F273" s="26" t="str">
        <x:v>Water filter, ECCE metirial </x:v>
      </x:c>
      <x:c r="G273" s="26" t="n">
        <x:v>657</x:v>
      </x:c>
      <x:c r="H273" s="26" t="n">
        <x:v>42860</x:v>
      </x:c>
      <x:c r="I273" s="26"/>
      <x:c r="J273" s="26"/>
      <x:c r="K273" s="26"/>
      <x:c r="L273" s="26" t="n">
        <x:v>1</x:v>
      </x:c>
      <x:c r="M273" s="26" t="n">
        <x:v>1</x:v>
      </x:c>
      <x:c r="N273" s="26" t="n">
        <x:v>0</x:v>
      </x:c>
      <x:c r="O273" s="26" t="n">
        <x:f>MAX(M273-N273,0)</x:f>
        <x:v>1</x:v>
      </x:c>
      <x:c r="P273" s="38" t="n">
        <x:f>IFERROR(N273/M273,0)</x:f>
        <x:v>0</x:v>
      </x:c>
      <x:c r="Q273" s="26"/>
      <x:c r="R273" s="26"/>
      <x:c r="S273" s="26" t="str">
        <x:v>Pending Mapping</x:v>
      </x:c>
      <x:c r="T273" s="26"/>
      <x:c r="U273" s="26"/>
      <x:c r="V273" s="26"/>
      <x:c r="W273" s="32"/>
      <x:c r="X273" s="27" t="b">
        <x:v>1</x:v>
      </x:c>
      <x:c r="Y273" s="34" t="n">
        <x:v>46219.9999537037</x:v>
      </x:c>
      <x:c r="Z273" s="26"/>
      <x:c r="AA273" s="26" t="str"/>
      <x:c r="AB273" s="26" t="str">
        <x:v>Activity name/category not included in contribution response</x:v>
      </x:c>
    </x:row>
    <x:row r="274">
      <x:c r="A274" s="26" t="n">
        <x:v>271</x:v>
      </x:c>
      <x:c r="B274" s="26" t="n">
        <x:v>241</x:v>
      </x:c>
      <x:c r="C274" s="26" t="str">
        <x:v>Kumuram Bheem Asifabad</x:v>
      </x:c>
      <x:c r="D274" s="26" t="n">
        <x:v>11148</x:v>
      </x:c>
      <x:c r="E274" s="26" t="str">
        <x:v>PRJ-2026-0011148</x:v>
      </x:c>
      <x:c r="F274" s="26" t="str">
        <x:v>Water filter, ECCE metirial </x:v>
      </x:c>
      <x:c r="G274" s="26" t="n">
        <x:v>658</x:v>
      </x:c>
      <x:c r="H274" s="26" t="n">
        <x:v>42861</x:v>
      </x:c>
      <x:c r="I274" s="26"/>
      <x:c r="J274" s="26"/>
      <x:c r="K274" s="26"/>
      <x:c r="L274" s="26" t="n">
        <x:v>1</x:v>
      </x:c>
      <x:c r="M274" s="26" t="n">
        <x:v>1</x:v>
      </x:c>
      <x:c r="N274" s="26" t="n">
        <x:v>0</x:v>
      </x:c>
      <x:c r="O274" s="26" t="n">
        <x:f>MAX(M274-N274,0)</x:f>
        <x:v>1</x:v>
      </x:c>
      <x:c r="P274" s="38" t="n">
        <x:f>IFERROR(N274/M274,0)</x:f>
        <x:v>0</x:v>
      </x:c>
      <x:c r="Q274" s="26"/>
      <x:c r="R274" s="26"/>
      <x:c r="S274" s="26" t="str">
        <x:v>Pending Mapping</x:v>
      </x:c>
      <x:c r="T274" s="26"/>
      <x:c r="U274" s="26"/>
      <x:c r="V274" s="26"/>
      <x:c r="W274" s="32"/>
      <x:c r="X274" s="27" t="b">
        <x:v>1</x:v>
      </x:c>
      <x:c r="Y274" s="34" t="n">
        <x:v>46219.9999537037</x:v>
      </x:c>
      <x:c r="Z274" s="26"/>
      <x:c r="AA274" s="26" t="str"/>
      <x:c r="AB274" s="26" t="str">
        <x:v>Activity name/category not included in contribution response</x:v>
      </x:c>
    </x:row>
    <x:row r="275">
      <x:c r="A275" s="26" t="n">
        <x:v>272</x:v>
      </x:c>
      <x:c r="B275" s="26" t="n">
        <x:v>241</x:v>
      </x:c>
      <x:c r="C275" s="26" t="str">
        <x:v>Kumuram Bheem Asifabad</x:v>
      </x:c>
      <x:c r="D275" s="26" t="n">
        <x:v>11148</x:v>
      </x:c>
      <x:c r="E275" s="26" t="str">
        <x:v>PRJ-2026-0011148</x:v>
      </x:c>
      <x:c r="F275" s="26" t="str">
        <x:v>Water filter, ECCE metirial </x:v>
      </x:c>
      <x:c r="G275" s="26" t="n">
        <x:v>659</x:v>
      </x:c>
      <x:c r="H275" s="26" t="n">
        <x:v>42862</x:v>
      </x:c>
      <x:c r="I275" s="26"/>
      <x:c r="J275" s="26"/>
      <x:c r="K275" s="26"/>
      <x:c r="L275" s="26" t="n">
        <x:v>4</x:v>
      </x:c>
      <x:c r="M275" s="26" t="n">
        <x:v>4</x:v>
      </x:c>
      <x:c r="N275" s="26" t="n">
        <x:v>0</x:v>
      </x:c>
      <x:c r="O275" s="26" t="n">
        <x:f>MAX(M275-N275,0)</x:f>
        <x:v>4</x:v>
      </x:c>
      <x:c r="P275" s="38" t="n">
        <x:f>IFERROR(N275/M275,0)</x:f>
        <x:v>0</x:v>
      </x:c>
      <x:c r="Q275" s="26"/>
      <x:c r="R275" s="26"/>
      <x:c r="S275" s="26" t="str">
        <x:v>Pending Mapping</x:v>
      </x:c>
      <x:c r="T275" s="26"/>
      <x:c r="U275" s="26"/>
      <x:c r="V275" s="26"/>
      <x:c r="W275" s="32"/>
      <x:c r="X275" s="27" t="b">
        <x:v>1</x:v>
      </x:c>
      <x:c r="Y275" s="34" t="n">
        <x:v>46219.9999537037</x:v>
      </x:c>
      <x:c r="Z275" s="26"/>
      <x:c r="AA275" s="26" t="str"/>
      <x:c r="AB275" s="26" t="str">
        <x:v>Activity name/category not included in contribution response</x:v>
      </x:c>
    </x:row>
    <x:row r="276">
      <x:c r="A276" s="26" t="n">
        <x:v>273</x:v>
      </x:c>
      <x:c r="B276" s="26" t="n">
        <x:v>241</x:v>
      </x:c>
      <x:c r="C276" s="26" t="str">
        <x:v>Kumuram Bheem Asifabad</x:v>
      </x:c>
      <x:c r="D276" s="26" t="n">
        <x:v>11148</x:v>
      </x:c>
      <x:c r="E276" s="26" t="str">
        <x:v>PRJ-2026-0011148</x:v>
      </x:c>
      <x:c r="F276" s="26" t="str">
        <x:v>Water filter, ECCE metirial </x:v>
      </x:c>
      <x:c r="G276" s="26" t="n">
        <x:v>660</x:v>
      </x:c>
      <x:c r="H276" s="26" t="n">
        <x:v>42863</x:v>
      </x:c>
      <x:c r="I276" s="26"/>
      <x:c r="J276" s="26"/>
      <x:c r="K276" s="26"/>
      <x:c r="L276" s="26" t="n">
        <x:v>4</x:v>
      </x:c>
      <x:c r="M276" s="26" t="n">
        <x:v>4</x:v>
      </x:c>
      <x:c r="N276" s="26" t="n">
        <x:v>0</x:v>
      </x:c>
      <x:c r="O276" s="26" t="n">
        <x:f>MAX(M276-N276,0)</x:f>
        <x:v>4</x:v>
      </x:c>
      <x:c r="P276" s="38" t="n">
        <x:f>IFERROR(N276/M276,0)</x:f>
        <x:v>0</x:v>
      </x:c>
      <x:c r="Q276" s="26"/>
      <x:c r="R276" s="26"/>
      <x:c r="S276" s="26" t="str">
        <x:v>Pending Mapping</x:v>
      </x:c>
      <x:c r="T276" s="26"/>
      <x:c r="U276" s="26"/>
      <x:c r="V276" s="26"/>
      <x:c r="W276" s="32"/>
      <x:c r="X276" s="27" t="b">
        <x:v>1</x:v>
      </x:c>
      <x:c r="Y276" s="34" t="n">
        <x:v>46219.9999537037</x:v>
      </x:c>
      <x:c r="Z276" s="26"/>
      <x:c r="AA276" s="26" t="str"/>
      <x:c r="AB276" s="26" t="str">
        <x:v>Activity name/category not included in contribution response</x:v>
      </x:c>
    </x:row>
    <x:row r="277">
      <x:c r="A277" s="26" t="n">
        <x:v>274</x:v>
      </x:c>
      <x:c r="B277" s="26" t="n">
        <x:v>240</x:v>
      </x:c>
      <x:c r="C277" s="26" t="str">
        <x:v>Kumuram Bheem Asifabad</x:v>
      </x:c>
      <x:c r="D277" s="26" t="n">
        <x:v>9205</x:v>
      </x:c>
      <x:c r="E277" s="26" t="str">
        <x:v>PRJ-2026-0009205</x:v>
      </x:c>
      <x:c r="F277" s="26" t="str">
        <x:v>Proposal for upgradation of Anganwadi centre</x:v>
      </x:c>
      <x:c r="G277" s="26" t="n">
        <x:v>651</x:v>
      </x:c>
      <x:c r="H277" s="26" t="n">
        <x:v>34582</x:v>
      </x:c>
      <x:c r="I277" s="26"/>
      <x:c r="J277" s="26"/>
      <x:c r="K277" s="26"/>
      <x:c r="L277" s="26" t="n">
        <x:v>1</x:v>
      </x:c>
      <x:c r="M277" s="26" t="n">
        <x:v>1</x:v>
      </x:c>
      <x:c r="N277" s="26" t="n">
        <x:v>0</x:v>
      </x:c>
      <x:c r="O277" s="26" t="n">
        <x:f>MAX(M277-N277,0)</x:f>
        <x:v>1</x:v>
      </x:c>
      <x:c r="P277" s="38" t="n">
        <x:f>IFERROR(N277/M277,0)</x:f>
        <x:v>0</x:v>
      </x:c>
      <x:c r="Q277" s="26"/>
      <x:c r="R277" s="26"/>
      <x:c r="S277" s="26" t="str">
        <x:v>Pending Mapping</x:v>
      </x:c>
      <x:c r="T277" s="26"/>
      <x:c r="U277" s="26"/>
      <x:c r="V277" s="26"/>
      <x:c r="W277" s="32"/>
      <x:c r="X277" s="27" t="b">
        <x:v>1</x:v>
      </x:c>
      <x:c r="Y277" s="34" t="n">
        <x:v>46219.856261574074</x:v>
      </x:c>
      <x:c r="Z277" s="26"/>
      <x:c r="AA277" s="26" t="str"/>
      <x:c r="AB277" s="26" t="str">
        <x:v>Activity name/category not included in contribution response</x:v>
      </x:c>
    </x:row>
    <x:row r="278">
      <x:c r="A278" s="26" t="n">
        <x:v>275</x:v>
      </x:c>
      <x:c r="B278" s="26" t="n">
        <x:v>240</x:v>
      </x:c>
      <x:c r="C278" s="26" t="str">
        <x:v>Kumuram Bheem Asifabad</x:v>
      </x:c>
      <x:c r="D278" s="26" t="n">
        <x:v>9205</x:v>
      </x:c>
      <x:c r="E278" s="26" t="str">
        <x:v>PRJ-2026-0009205</x:v>
      </x:c>
      <x:c r="F278" s="26" t="str">
        <x:v>Proposal for upgradation of Anganwadi centre</x:v>
      </x:c>
      <x:c r="G278" s="26" t="n">
        <x:v>652</x:v>
      </x:c>
      <x:c r="H278" s="26" t="n">
        <x:v>34583</x:v>
      </x:c>
      <x:c r="I278" s="26"/>
      <x:c r="J278" s="26"/>
      <x:c r="K278" s="26"/>
      <x:c r="L278" s="26" t="n">
        <x:v>1</x:v>
      </x:c>
      <x:c r="M278" s="26" t="n">
        <x:v>1</x:v>
      </x:c>
      <x:c r="N278" s="26" t="n">
        <x:v>0</x:v>
      </x:c>
      <x:c r="O278" s="26" t="n">
        <x:f>MAX(M278-N278,0)</x:f>
        <x:v>1</x:v>
      </x:c>
      <x:c r="P278" s="38" t="n">
        <x:f>IFERROR(N278/M278,0)</x:f>
        <x:v>0</x:v>
      </x:c>
      <x:c r="Q278" s="26"/>
      <x:c r="R278" s="26"/>
      <x:c r="S278" s="26" t="str">
        <x:v>Pending Mapping</x:v>
      </x:c>
      <x:c r="T278" s="26"/>
      <x:c r="U278" s="26"/>
      <x:c r="V278" s="26"/>
      <x:c r="W278" s="32"/>
      <x:c r="X278" s="27" t="b">
        <x:v>1</x:v>
      </x:c>
      <x:c r="Y278" s="34" t="n">
        <x:v>46219.856261574074</x:v>
      </x:c>
      <x:c r="Z278" s="26"/>
      <x:c r="AA278" s="26" t="str"/>
      <x:c r="AB278" s="26" t="str">
        <x:v>Activity name/category not included in contribution response</x:v>
      </x:c>
    </x:row>
    <x:row r="279">
      <x:c r="A279" s="26" t="n">
        <x:v>276</x:v>
      </x:c>
      <x:c r="B279" s="26" t="n">
        <x:v>240</x:v>
      </x:c>
      <x:c r="C279" s="26" t="str">
        <x:v>Kumuram Bheem Asifabad</x:v>
      </x:c>
      <x:c r="D279" s="26" t="n">
        <x:v>9205</x:v>
      </x:c>
      <x:c r="E279" s="26" t="str">
        <x:v>PRJ-2026-0009205</x:v>
      </x:c>
      <x:c r="F279" s="26" t="str">
        <x:v>Proposal for upgradation of Anganwadi centre</x:v>
      </x:c>
      <x:c r="G279" s="26" t="n">
        <x:v>653</x:v>
      </x:c>
      <x:c r="H279" s="26" t="n">
        <x:v>34584</x:v>
      </x:c>
      <x:c r="I279" s="26"/>
      <x:c r="J279" s="26"/>
      <x:c r="K279" s="26"/>
      <x:c r="L279" s="26" t="n">
        <x:v>1</x:v>
      </x:c>
      <x:c r="M279" s="26" t="n">
        <x:v>1</x:v>
      </x:c>
      <x:c r="N279" s="26" t="n">
        <x:v>0</x:v>
      </x:c>
      <x:c r="O279" s="26" t="n">
        <x:f>MAX(M279-N279,0)</x:f>
        <x:v>1</x:v>
      </x:c>
      <x:c r="P279" s="38" t="n">
        <x:f>IFERROR(N279/M279,0)</x:f>
        <x:v>0</x:v>
      </x:c>
      <x:c r="Q279" s="26"/>
      <x:c r="R279" s="26"/>
      <x:c r="S279" s="26" t="str">
        <x:v>Pending Mapping</x:v>
      </x:c>
      <x:c r="T279" s="26"/>
      <x:c r="U279" s="26"/>
      <x:c r="V279" s="26"/>
      <x:c r="W279" s="32"/>
      <x:c r="X279" s="27" t="b">
        <x:v>1</x:v>
      </x:c>
      <x:c r="Y279" s="34" t="n">
        <x:v>46219.856261574074</x:v>
      </x:c>
      <x:c r="Z279" s="26"/>
      <x:c r="AA279" s="26" t="str"/>
      <x:c r="AB279" s="26" t="str">
        <x:v>Activity name/category not included in contribution response</x:v>
      </x:c>
    </x:row>
    <x:row r="280">
      <x:c r="A280" s="26" t="n">
        <x:v>277</x:v>
      </x:c>
      <x:c r="B280" s="26" t="n">
        <x:v>240</x:v>
      </x:c>
      <x:c r="C280" s="26" t="str">
        <x:v>Kumuram Bheem Asifabad</x:v>
      </x:c>
      <x:c r="D280" s="26" t="n">
        <x:v>9205</x:v>
      </x:c>
      <x:c r="E280" s="26" t="str">
        <x:v>PRJ-2026-0009205</x:v>
      </x:c>
      <x:c r="F280" s="26" t="str">
        <x:v>Proposal for upgradation of Anganwadi centre</x:v>
      </x:c>
      <x:c r="G280" s="26" t="n">
        <x:v>654</x:v>
      </x:c>
      <x:c r="H280" s="26" t="n">
        <x:v>34585</x:v>
      </x:c>
      <x:c r="I280" s="26"/>
      <x:c r="J280" s="26"/>
      <x:c r="K280" s="26"/>
      <x:c r="L280" s="26" t="n">
        <x:v>5</x:v>
      </x:c>
      <x:c r="M280" s="26" t="n">
        <x:v>5</x:v>
      </x:c>
      <x:c r="N280" s="26" t="n">
        <x:v>0</x:v>
      </x:c>
      <x:c r="O280" s="26" t="n">
        <x:f>MAX(M280-N280,0)</x:f>
        <x:v>5</x:v>
      </x:c>
      <x:c r="P280" s="38" t="n">
        <x:f>IFERROR(N280/M280,0)</x:f>
        <x:v>0</x:v>
      </x:c>
      <x:c r="Q280" s="26"/>
      <x:c r="R280" s="26"/>
      <x:c r="S280" s="26" t="str">
        <x:v>Pending Mapping</x:v>
      </x:c>
      <x:c r="T280" s="26"/>
      <x:c r="U280" s="26"/>
      <x:c r="V280" s="26"/>
      <x:c r="W280" s="32"/>
      <x:c r="X280" s="27" t="b">
        <x:v>1</x:v>
      </x:c>
      <x:c r="Y280" s="34" t="n">
        <x:v>46219.856261574074</x:v>
      </x:c>
      <x:c r="Z280" s="26"/>
      <x:c r="AA280" s="26" t="str"/>
      <x:c r="AB280" s="26" t="str">
        <x:v>Activity name/category not included in contribution response</x:v>
      </x:c>
    </x:row>
    <x:row r="281">
      <x:c r="A281" s="26" t="n">
        <x:v>278</x:v>
      </x:c>
      <x:c r="B281" s="26" t="n">
        <x:v>238</x:v>
      </x:c>
      <x:c r="C281" s="26" t="str">
        <x:v>Kumuram Bheem Asifabad</x:v>
      </x:c>
      <x:c r="D281" s="26" t="n">
        <x:v>10228</x:v>
      </x:c>
      <x:c r="E281" s="26" t="str">
        <x:v>PRJ-2026-0010228</x:v>
      </x:c>
      <x:c r="F281" s="26" t="str">
        <x:v>Rain Water Harvesting System : Water Filter Kitchen Construction : Poshan Vatika  kitchen Shelves : Gas stove, regulator : Solar Panel : Civil Repair : Toilet</x:v>
      </x:c>
      <x:c r="G281" s="26" t="n">
        <x:v>643</x:v>
      </x:c>
      <x:c r="H281" s="26" t="n">
        <x:v>38991</x:v>
      </x:c>
      <x:c r="I281" s="26"/>
      <x:c r="J281" s="26"/>
      <x:c r="K281" s="26"/>
      <x:c r="L281" s="26" t="n">
        <x:v>1</x:v>
      </x:c>
      <x:c r="M281" s="26" t="n">
        <x:v>1</x:v>
      </x:c>
      <x:c r="N281" s="26" t="n">
        <x:v>0</x:v>
      </x:c>
      <x:c r="O281" s="26" t="n">
        <x:f>MAX(M281-N281,0)</x:f>
        <x:v>1</x:v>
      </x:c>
      <x:c r="P281" s="38" t="n">
        <x:f>IFERROR(N281/M281,0)</x:f>
        <x:v>0</x:v>
      </x:c>
      <x:c r="Q281" s="26"/>
      <x:c r="R281" s="26"/>
      <x:c r="S281" s="26" t="str">
        <x:v>Pending Mapping</x:v>
      </x:c>
      <x:c r="T281" s="26"/>
      <x:c r="U281" s="26"/>
      <x:c r="V281" s="26"/>
      <x:c r="W281" s="32"/>
      <x:c r="X281" s="27" t="b">
        <x:v>1</x:v>
      </x:c>
      <x:c r="Y281" s="34" t="n">
        <x:v>46219.85625</x:v>
      </x:c>
      <x:c r="Z281" s="26"/>
      <x:c r="AA281" s="26" t="str"/>
      <x:c r="AB281" s="26" t="str">
        <x:v>Activity name/category not included in contribution response</x:v>
      </x:c>
    </x:row>
    <x:row r="282">
      <x:c r="A282" s="26" t="n">
        <x:v>279</x:v>
      </x:c>
      <x:c r="B282" s="26" t="n">
        <x:v>238</x:v>
      </x:c>
      <x:c r="C282" s="26" t="str">
        <x:v>Kumuram Bheem Asifabad</x:v>
      </x:c>
      <x:c r="D282" s="26" t="n">
        <x:v>10228</x:v>
      </x:c>
      <x:c r="E282" s="26" t="str">
        <x:v>PRJ-2026-0010228</x:v>
      </x:c>
      <x:c r="F282" s="26" t="str">
        <x:v>Rain Water Harvesting System : Water Filter Kitchen Construction : Poshan Vatika  kitchen Shelves : Gas stove, regulator : Solar Panel : Civil Repair : Toilet</x:v>
      </x:c>
      <x:c r="G282" s="26" t="n">
        <x:v>644</x:v>
      </x:c>
      <x:c r="H282" s="26" t="n">
        <x:v>38992</x:v>
      </x:c>
      <x:c r="I282" s="26"/>
      <x:c r="J282" s="26"/>
      <x:c r="K282" s="26"/>
      <x:c r="L282" s="26" t="n">
        <x:v>1</x:v>
      </x:c>
      <x:c r="M282" s="26" t="n">
        <x:v>1</x:v>
      </x:c>
      <x:c r="N282" s="26" t="n">
        <x:v>0</x:v>
      </x:c>
      <x:c r="O282" s="26" t="n">
        <x:f>MAX(M282-N282,0)</x:f>
        <x:v>1</x:v>
      </x:c>
      <x:c r="P282" s="38" t="n">
        <x:f>IFERROR(N282/M282,0)</x:f>
        <x:v>0</x:v>
      </x:c>
      <x:c r="Q282" s="26"/>
      <x:c r="R282" s="26"/>
      <x:c r="S282" s="26" t="str">
        <x:v>Pending Mapping</x:v>
      </x:c>
      <x:c r="T282" s="26"/>
      <x:c r="U282" s="26"/>
      <x:c r="V282" s="26"/>
      <x:c r="W282" s="32"/>
      <x:c r="X282" s="27" t="b">
        <x:v>1</x:v>
      </x:c>
      <x:c r="Y282" s="34" t="n">
        <x:v>46219.85625</x:v>
      </x:c>
      <x:c r="Z282" s="26"/>
      <x:c r="AA282" s="26" t="str"/>
      <x:c r="AB282" s="26" t="str">
        <x:v>Activity name/category not included in contribution response</x:v>
      </x:c>
    </x:row>
    <x:row r="283">
      <x:c r="A283" s="26" t="n">
        <x:v>280</x:v>
      </x:c>
      <x:c r="B283" s="26" t="n">
        <x:v>238</x:v>
      </x:c>
      <x:c r="C283" s="26" t="str">
        <x:v>Kumuram Bheem Asifabad</x:v>
      </x:c>
      <x:c r="D283" s="26" t="n">
        <x:v>10228</x:v>
      </x:c>
      <x:c r="E283" s="26" t="str">
        <x:v>PRJ-2026-0010228</x:v>
      </x:c>
      <x:c r="F283" s="26" t="str">
        <x:v>Rain Water Harvesting System : Water Filter Kitchen Construction : Poshan Vatika  kitchen Shelves : Gas stove, regulator : Solar Panel : Civil Repair : Toilet</x:v>
      </x:c>
      <x:c r="G283" s="26" t="n">
        <x:v>645</x:v>
      </x:c>
      <x:c r="H283" s="26" t="n">
        <x:v>38993</x:v>
      </x:c>
      <x:c r="I283" s="26"/>
      <x:c r="J283" s="26"/>
      <x:c r="K283" s="26"/>
      <x:c r="L283" s="26" t="n">
        <x:v>1</x:v>
      </x:c>
      <x:c r="M283" s="26" t="n">
        <x:v>1</x:v>
      </x:c>
      <x:c r="N283" s="26" t="n">
        <x:v>0</x:v>
      </x:c>
      <x:c r="O283" s="26" t="n">
        <x:f>MAX(M283-N283,0)</x:f>
        <x:v>1</x:v>
      </x:c>
      <x:c r="P283" s="38" t="n">
        <x:f>IFERROR(N283/M283,0)</x:f>
        <x:v>0</x:v>
      </x:c>
      <x:c r="Q283" s="26"/>
      <x:c r="R283" s="26"/>
      <x:c r="S283" s="26" t="str">
        <x:v>Pending Mapping</x:v>
      </x:c>
      <x:c r="T283" s="26"/>
      <x:c r="U283" s="26"/>
      <x:c r="V283" s="26"/>
      <x:c r="W283" s="32"/>
      <x:c r="X283" s="27" t="b">
        <x:v>1</x:v>
      </x:c>
      <x:c r="Y283" s="34" t="n">
        <x:v>46219.85625</x:v>
      </x:c>
      <x:c r="Z283" s="26"/>
      <x:c r="AA283" s="26" t="str"/>
      <x:c r="AB283" s="26" t="str">
        <x:v>Activity name/category not included in contribution response</x:v>
      </x:c>
    </x:row>
    <x:row r="284">
      <x:c r="A284" s="26" t="n">
        <x:v>281</x:v>
      </x:c>
      <x:c r="B284" s="26" t="n">
        <x:v>238</x:v>
      </x:c>
      <x:c r="C284" s="26" t="str">
        <x:v>Kumuram Bheem Asifabad</x:v>
      </x:c>
      <x:c r="D284" s="26" t="n">
        <x:v>10228</x:v>
      </x:c>
      <x:c r="E284" s="26" t="str">
        <x:v>PRJ-2026-0010228</x:v>
      </x:c>
      <x:c r="F284" s="26" t="str">
        <x:v>Rain Water Harvesting System : Water Filter Kitchen Construction : Poshan Vatika  kitchen Shelves : Gas stove, regulator : Solar Panel : Civil Repair : Toilet</x:v>
      </x:c>
      <x:c r="G284" s="26" t="n">
        <x:v>646</x:v>
      </x:c>
      <x:c r="H284" s="26" t="n">
        <x:v>38994</x:v>
      </x:c>
      <x:c r="I284" s="26"/>
      <x:c r="J284" s="26"/>
      <x:c r="K284" s="26"/>
      <x:c r="L284" s="26" t="n">
        <x:v>1</x:v>
      </x:c>
      <x:c r="M284" s="26" t="n">
        <x:v>1</x:v>
      </x:c>
      <x:c r="N284" s="26" t="n">
        <x:v>0</x:v>
      </x:c>
      <x:c r="O284" s="26" t="n">
        <x:f>MAX(M284-N284,0)</x:f>
        <x:v>1</x:v>
      </x:c>
      <x:c r="P284" s="38" t="n">
        <x:f>IFERROR(N284/M284,0)</x:f>
        <x:v>0</x:v>
      </x:c>
      <x:c r="Q284" s="26"/>
      <x:c r="R284" s="26"/>
      <x:c r="S284" s="26" t="str">
        <x:v>Pending Mapping</x:v>
      </x:c>
      <x:c r="T284" s="26"/>
      <x:c r="U284" s="26"/>
      <x:c r="V284" s="26"/>
      <x:c r="W284" s="32"/>
      <x:c r="X284" s="27" t="b">
        <x:v>1</x:v>
      </x:c>
      <x:c r="Y284" s="34" t="n">
        <x:v>46219.85625</x:v>
      </x:c>
      <x:c r="Z284" s="26"/>
      <x:c r="AA284" s="26" t="str"/>
      <x:c r="AB284" s="26" t="str">
        <x:v>Activity name/category not included in contribution response</x:v>
      </x:c>
    </x:row>
    <x:row r="285">
      <x:c r="A285" s="26" t="n">
        <x:v>282</x:v>
      </x:c>
      <x:c r="B285" s="26" t="n">
        <x:v>239</x:v>
      </x:c>
      <x:c r="C285" s="26" t="str">
        <x:v>Kumuram Bheem Asifabad</x:v>
      </x:c>
      <x:c r="D285" s="26" t="n">
        <x:v>8790</x:v>
      </x:c>
      <x:c r="E285" s="26" t="str">
        <x:v>PRJ-2026-0008790</x:v>
      </x:c>
      <x:c r="F285" s="26" t="str">
        <x:v>Rain Water Harvesting System : Water Filter Kitchen Construction : Poshan Vatika  kitchen Shelves : Gas stove, regulator : Solar Panel : Civil Repair : Toilet</x:v>
      </x:c>
      <x:c r="G285" s="26" t="n">
        <x:v>647</x:v>
      </x:c>
      <x:c r="H285" s="26" t="n">
        <x:v>32784</x:v>
      </x:c>
      <x:c r="I285" s="26"/>
      <x:c r="J285" s="26"/>
      <x:c r="K285" s="26"/>
      <x:c r="L285" s="26" t="n">
        <x:v>1</x:v>
      </x:c>
      <x:c r="M285" s="26" t="n">
        <x:v>1</x:v>
      </x:c>
      <x:c r="N285" s="26" t="n">
        <x:v>0</x:v>
      </x:c>
      <x:c r="O285" s="26" t="n">
        <x:f>MAX(M285-N285,0)</x:f>
        <x:v>1</x:v>
      </x:c>
      <x:c r="P285" s="38" t="n">
        <x:f>IFERROR(N285/M285,0)</x:f>
        <x:v>0</x:v>
      </x:c>
      <x:c r="Q285" s="26"/>
      <x:c r="R285" s="26"/>
      <x:c r="S285" s="26" t="str">
        <x:v>Pending Mapping</x:v>
      </x:c>
      <x:c r="T285" s="26"/>
      <x:c r="U285" s="26"/>
      <x:c r="V285" s="26"/>
      <x:c r="W285" s="32"/>
      <x:c r="X285" s="27" t="b">
        <x:v>1</x:v>
      </x:c>
      <x:c r="Y285" s="34" t="n">
        <x:v>46219.85625</x:v>
      </x:c>
      <x:c r="Z285" s="26"/>
      <x:c r="AA285" s="26" t="str"/>
      <x:c r="AB285" s="26" t="str">
        <x:v>Activity name/category not included in contribution response</x:v>
      </x:c>
    </x:row>
    <x:row r="286">
      <x:c r="A286" s="26" t="n">
        <x:v>283</x:v>
      </x:c>
      <x:c r="B286" s="26" t="n">
        <x:v>239</x:v>
      </x:c>
      <x:c r="C286" s="26" t="str">
        <x:v>Kumuram Bheem Asifabad</x:v>
      </x:c>
      <x:c r="D286" s="26" t="n">
        <x:v>8790</x:v>
      </x:c>
      <x:c r="E286" s="26" t="str">
        <x:v>PRJ-2026-0008790</x:v>
      </x:c>
      <x:c r="F286" s="26" t="str">
        <x:v>Rain Water Harvesting System : Water Filter Kitchen Construction : Poshan Vatika  kitchen Shelves : Gas stove, regulator : Solar Panel : Civil Repair : Toilet</x:v>
      </x:c>
      <x:c r="G286" s="26" t="n">
        <x:v>648</x:v>
      </x:c>
      <x:c r="H286" s="26" t="n">
        <x:v>32785</x:v>
      </x:c>
      <x:c r="I286" s="26"/>
      <x:c r="J286" s="26"/>
      <x:c r="K286" s="26"/>
      <x:c r="L286" s="26" t="n">
        <x:v>1</x:v>
      </x:c>
      <x:c r="M286" s="26" t="n">
        <x:v>1</x:v>
      </x:c>
      <x:c r="N286" s="26" t="n">
        <x:v>0</x:v>
      </x:c>
      <x:c r="O286" s="26" t="n">
        <x:f>MAX(M286-N286,0)</x:f>
        <x:v>1</x:v>
      </x:c>
      <x:c r="P286" s="38" t="n">
        <x:f>IFERROR(N286/M286,0)</x:f>
        <x:v>0</x:v>
      </x:c>
      <x:c r="Q286" s="26"/>
      <x:c r="R286" s="26"/>
      <x:c r="S286" s="26" t="str">
        <x:v>Pending Mapping</x:v>
      </x:c>
      <x:c r="T286" s="26"/>
      <x:c r="U286" s="26"/>
      <x:c r="V286" s="26"/>
      <x:c r="W286" s="32"/>
      <x:c r="X286" s="27" t="b">
        <x:v>1</x:v>
      </x:c>
      <x:c r="Y286" s="34" t="n">
        <x:v>46219.85625</x:v>
      </x:c>
      <x:c r="Z286" s="26"/>
      <x:c r="AA286" s="26" t="str"/>
      <x:c r="AB286" s="26" t="str">
        <x:v>Activity name/category not included in contribution response</x:v>
      </x:c>
    </x:row>
    <x:row r="287">
      <x:c r="A287" s="26" t="n">
        <x:v>284</x:v>
      </x:c>
      <x:c r="B287" s="26" t="n">
        <x:v>239</x:v>
      </x:c>
      <x:c r="C287" s="26" t="str">
        <x:v>Kumuram Bheem Asifabad</x:v>
      </x:c>
      <x:c r="D287" s="26" t="n">
        <x:v>8790</x:v>
      </x:c>
      <x:c r="E287" s="26" t="str">
        <x:v>PRJ-2026-0008790</x:v>
      </x:c>
      <x:c r="F287" s="26" t="str">
        <x:v>Rain Water Harvesting System : Water Filter Kitchen Construction : Poshan Vatika  kitchen Shelves : Gas stove, regulator : Solar Panel : Civil Repair : Toilet</x:v>
      </x:c>
      <x:c r="G287" s="26" t="n">
        <x:v>649</x:v>
      </x:c>
      <x:c r="H287" s="26" t="n">
        <x:v>32786</x:v>
      </x:c>
      <x:c r="I287" s="26"/>
      <x:c r="J287" s="26"/>
      <x:c r="K287" s="26"/>
      <x:c r="L287" s="26" t="n">
        <x:v>1</x:v>
      </x:c>
      <x:c r="M287" s="26" t="n">
        <x:v>1</x:v>
      </x:c>
      <x:c r="N287" s="26" t="n">
        <x:v>0</x:v>
      </x:c>
      <x:c r="O287" s="26" t="n">
        <x:f>MAX(M287-N287,0)</x:f>
        <x:v>1</x:v>
      </x:c>
      <x:c r="P287" s="38" t="n">
        <x:f>IFERROR(N287/M287,0)</x:f>
        <x:v>0</x:v>
      </x:c>
      <x:c r="Q287" s="26"/>
      <x:c r="R287" s="26"/>
      <x:c r="S287" s="26" t="str">
        <x:v>Pending Mapping</x:v>
      </x:c>
      <x:c r="T287" s="26"/>
      <x:c r="U287" s="26"/>
      <x:c r="V287" s="26"/>
      <x:c r="W287" s="32"/>
      <x:c r="X287" s="27" t="b">
        <x:v>1</x:v>
      </x:c>
      <x:c r="Y287" s="34" t="n">
        <x:v>46219.85625</x:v>
      </x:c>
      <x:c r="Z287" s="26"/>
      <x:c r="AA287" s="26" t="str"/>
      <x:c r="AB287" s="26" t="str">
        <x:v>Activity name/category not included in contribution response</x:v>
      </x:c>
    </x:row>
    <x:row r="288">
      <x:c r="A288" s="26" t="n">
        <x:v>285</x:v>
      </x:c>
      <x:c r="B288" s="26" t="n">
        <x:v>239</x:v>
      </x:c>
      <x:c r="C288" s="26" t="str">
        <x:v>Kumuram Bheem Asifabad</x:v>
      </x:c>
      <x:c r="D288" s="26" t="n">
        <x:v>8790</x:v>
      </x:c>
      <x:c r="E288" s="26" t="str">
        <x:v>PRJ-2026-0008790</x:v>
      </x:c>
      <x:c r="F288" s="26" t="str">
        <x:v>Rain Water Harvesting System : Water Filter Kitchen Construction : Poshan Vatika  kitchen Shelves : Gas stove, regulator : Solar Panel : Civil Repair : Toilet</x:v>
      </x:c>
      <x:c r="G288" s="26" t="n">
        <x:v>650</x:v>
      </x:c>
      <x:c r="H288" s="26" t="n">
        <x:v>32787</x:v>
      </x:c>
      <x:c r="I288" s="26"/>
      <x:c r="J288" s="26"/>
      <x:c r="K288" s="26"/>
      <x:c r="L288" s="26" t="n">
        <x:v>1</x:v>
      </x:c>
      <x:c r="M288" s="26" t="n">
        <x:v>1</x:v>
      </x:c>
      <x:c r="N288" s="26" t="n">
        <x:v>0</x:v>
      </x:c>
      <x:c r="O288" s="26" t="n">
        <x:f>MAX(M288-N288,0)</x:f>
        <x:v>1</x:v>
      </x:c>
      <x:c r="P288" s="38" t="n">
        <x:f>IFERROR(N288/M288,0)</x:f>
        <x:v>0</x:v>
      </x:c>
      <x:c r="Q288" s="26"/>
      <x:c r="R288" s="26"/>
      <x:c r="S288" s="26" t="str">
        <x:v>Pending Mapping</x:v>
      </x:c>
      <x:c r="T288" s="26"/>
      <x:c r="U288" s="26"/>
      <x:c r="V288" s="26"/>
      <x:c r="W288" s="32"/>
      <x:c r="X288" s="27" t="b">
        <x:v>1</x:v>
      </x:c>
      <x:c r="Y288" s="34" t="n">
        <x:v>46219.85625</x:v>
      </x:c>
      <x:c r="Z288" s="26"/>
      <x:c r="AA288" s="26" t="str"/>
      <x:c r="AB288" s="26" t="str">
        <x:v>Activity name/category not included in contribution response</x:v>
      </x:c>
    </x:row>
    <x:row r="289">
      <x:c r="A289" s="26" t="n">
        <x:v>286</x:v>
      </x:c>
      <x:c r="B289" s="26" t="n">
        <x:v>237</x:v>
      </x:c>
      <x:c r="C289" s="26" t="str">
        <x:v>Kumuram Bheem Asifabad</x:v>
      </x:c>
      <x:c r="D289" s="26" t="n">
        <x:v>10201</x:v>
      </x:c>
      <x:c r="E289" s="26" t="str">
        <x:v>PRJ-2026-0010201</x:v>
      </x:c>
      <x:c r="F289" s="26" t="str">
        <x:v>Rain Water Harvesting System : Water Filter Kitchen Construction : Poshan Vatika  kitchen Shelves : Gas stove, regulator : Solar Panel : Civil Repair : Toilet</x:v>
      </x:c>
      <x:c r="G289" s="26" t="n">
        <x:v>639</x:v>
      </x:c>
      <x:c r="H289" s="26" t="n">
        <x:v>38885</x:v>
      </x:c>
      <x:c r="I289" s="26"/>
      <x:c r="J289" s="26"/>
      <x:c r="K289" s="26"/>
      <x:c r="L289" s="26" t="n">
        <x:v>1</x:v>
      </x:c>
      <x:c r="M289" s="26" t="n">
        <x:v>1</x:v>
      </x:c>
      <x:c r="N289" s="26" t="n">
        <x:v>0</x:v>
      </x:c>
      <x:c r="O289" s="26" t="n">
        <x:f>MAX(M289-N289,0)</x:f>
        <x:v>1</x:v>
      </x:c>
      <x:c r="P289" s="38" t="n">
        <x:f>IFERROR(N289/M289,0)</x:f>
        <x:v>0</x:v>
      </x:c>
      <x:c r="Q289" s="26"/>
      <x:c r="R289" s="26"/>
      <x:c r="S289" s="26" t="str">
        <x:v>Pending Mapping</x:v>
      </x:c>
      <x:c r="T289" s="26"/>
      <x:c r="U289" s="26"/>
      <x:c r="V289" s="26"/>
      <x:c r="W289" s="32"/>
      <x:c r="X289" s="27" t="b">
        <x:v>1</x:v>
      </x:c>
      <x:c r="Y289" s="34" t="n">
        <x:v>46219.85622685185</x:v>
      </x:c>
      <x:c r="Z289" s="26"/>
      <x:c r="AA289" s="26" t="str"/>
      <x:c r="AB289" s="26" t="str">
        <x:v>Activity name/category not included in contribution response</x:v>
      </x:c>
    </x:row>
    <x:row r="290">
      <x:c r="A290" s="26" t="n">
        <x:v>287</x:v>
      </x:c>
      <x:c r="B290" s="26" t="n">
        <x:v>237</x:v>
      </x:c>
      <x:c r="C290" s="26" t="str">
        <x:v>Kumuram Bheem Asifabad</x:v>
      </x:c>
      <x:c r="D290" s="26" t="n">
        <x:v>10201</x:v>
      </x:c>
      <x:c r="E290" s="26" t="str">
        <x:v>PRJ-2026-0010201</x:v>
      </x:c>
      <x:c r="F290" s="26" t="str">
        <x:v>Rain Water Harvesting System : Water Filter Kitchen Construction : Poshan Vatika  kitchen Shelves : Gas stove, regulator : Solar Panel : Civil Repair : Toilet</x:v>
      </x:c>
      <x:c r="G290" s="26" t="n">
        <x:v>640</x:v>
      </x:c>
      <x:c r="H290" s="26" t="n">
        <x:v>38886</x:v>
      </x:c>
      <x:c r="I290" s="26"/>
      <x:c r="J290" s="26"/>
      <x:c r="K290" s="26"/>
      <x:c r="L290" s="26" t="n">
        <x:v>1</x:v>
      </x:c>
      <x:c r="M290" s="26" t="n">
        <x:v>1</x:v>
      </x:c>
      <x:c r="N290" s="26" t="n">
        <x:v>0</x:v>
      </x:c>
      <x:c r="O290" s="26" t="n">
        <x:f>MAX(M290-N290,0)</x:f>
        <x:v>1</x:v>
      </x:c>
      <x:c r="P290" s="38" t="n">
        <x:f>IFERROR(N290/M290,0)</x:f>
        <x:v>0</x:v>
      </x:c>
      <x:c r="Q290" s="26"/>
      <x:c r="R290" s="26"/>
      <x:c r="S290" s="26" t="str">
        <x:v>Pending Mapping</x:v>
      </x:c>
      <x:c r="T290" s="26"/>
      <x:c r="U290" s="26"/>
      <x:c r="V290" s="26"/>
      <x:c r="W290" s="32"/>
      <x:c r="X290" s="27" t="b">
        <x:v>1</x:v>
      </x:c>
      <x:c r="Y290" s="34" t="n">
        <x:v>46219.85622685185</x:v>
      </x:c>
      <x:c r="Z290" s="26"/>
      <x:c r="AA290" s="26" t="str"/>
      <x:c r="AB290" s="26" t="str">
        <x:v>Activity name/category not included in contribution response</x:v>
      </x:c>
    </x:row>
    <x:row r="291">
      <x:c r="A291" s="26" t="n">
        <x:v>288</x:v>
      </x:c>
      <x:c r="B291" s="26" t="n">
        <x:v>237</x:v>
      </x:c>
      <x:c r="C291" s="26" t="str">
        <x:v>Kumuram Bheem Asifabad</x:v>
      </x:c>
      <x:c r="D291" s="26" t="n">
        <x:v>10201</x:v>
      </x:c>
      <x:c r="E291" s="26" t="str">
        <x:v>PRJ-2026-0010201</x:v>
      </x:c>
      <x:c r="F291" s="26" t="str">
        <x:v>Rain Water Harvesting System : Water Filter Kitchen Construction : Poshan Vatika  kitchen Shelves : Gas stove, regulator : Solar Panel : Civil Repair : Toilet</x:v>
      </x:c>
      <x:c r="G291" s="26" t="n">
        <x:v>641</x:v>
      </x:c>
      <x:c r="H291" s="26" t="n">
        <x:v>38887</x:v>
      </x:c>
      <x:c r="I291" s="26"/>
      <x:c r="J291" s="26"/>
      <x:c r="K291" s="26"/>
      <x:c r="L291" s="26" t="n">
        <x:v>1</x:v>
      </x:c>
      <x:c r="M291" s="26" t="n">
        <x:v>1</x:v>
      </x:c>
      <x:c r="N291" s="26" t="n">
        <x:v>0</x:v>
      </x:c>
      <x:c r="O291" s="26" t="n">
        <x:f>MAX(M291-N291,0)</x:f>
        <x:v>1</x:v>
      </x:c>
      <x:c r="P291" s="38" t="n">
        <x:f>IFERROR(N291/M291,0)</x:f>
        <x:v>0</x:v>
      </x:c>
      <x:c r="Q291" s="26"/>
      <x:c r="R291" s="26"/>
      <x:c r="S291" s="26" t="str">
        <x:v>Pending Mapping</x:v>
      </x:c>
      <x:c r="T291" s="26"/>
      <x:c r="U291" s="26"/>
      <x:c r="V291" s="26"/>
      <x:c r="W291" s="32"/>
      <x:c r="X291" s="27" t="b">
        <x:v>1</x:v>
      </x:c>
      <x:c r="Y291" s="34" t="n">
        <x:v>46219.85622685185</x:v>
      </x:c>
      <x:c r="Z291" s="26"/>
      <x:c r="AA291" s="26" t="str"/>
      <x:c r="AB291" s="26" t="str">
        <x:v>Activity name/category not included in contribution response</x:v>
      </x:c>
    </x:row>
    <x:row r="292">
      <x:c r="A292" s="26" t="n">
        <x:v>289</x:v>
      </x:c>
      <x:c r="B292" s="26" t="n">
        <x:v>237</x:v>
      </x:c>
      <x:c r="C292" s="26" t="str">
        <x:v>Kumuram Bheem Asifabad</x:v>
      </x:c>
      <x:c r="D292" s="26" t="n">
        <x:v>10201</x:v>
      </x:c>
      <x:c r="E292" s="26" t="str">
        <x:v>PRJ-2026-0010201</x:v>
      </x:c>
      <x:c r="F292" s="26" t="str">
        <x:v>Rain Water Harvesting System : Water Filter Kitchen Construction : Poshan Vatika  kitchen Shelves : Gas stove, regulator : Solar Panel : Civil Repair : Toilet</x:v>
      </x:c>
      <x:c r="G292" s="26" t="n">
        <x:v>642</x:v>
      </x:c>
      <x:c r="H292" s="26" t="n">
        <x:v>38888</x:v>
      </x:c>
      <x:c r="I292" s="26"/>
      <x:c r="J292" s="26"/>
      <x:c r="K292" s="26"/>
      <x:c r="L292" s="26" t="n">
        <x:v>1</x:v>
      </x:c>
      <x:c r="M292" s="26" t="n">
        <x:v>1</x:v>
      </x:c>
      <x:c r="N292" s="26" t="n">
        <x:v>0</x:v>
      </x:c>
      <x:c r="O292" s="26" t="n">
        <x:f>MAX(M292-N292,0)</x:f>
        <x:v>1</x:v>
      </x:c>
      <x:c r="P292" s="38" t="n">
        <x:f>IFERROR(N292/M292,0)</x:f>
        <x:v>0</x:v>
      </x:c>
      <x:c r="Q292" s="26"/>
      <x:c r="R292" s="26"/>
      <x:c r="S292" s="26" t="str">
        <x:v>Pending Mapping</x:v>
      </x:c>
      <x:c r="T292" s="26"/>
      <x:c r="U292" s="26"/>
      <x:c r="V292" s="26"/>
      <x:c r="W292" s="32"/>
      <x:c r="X292" s="27" t="b">
        <x:v>1</x:v>
      </x:c>
      <x:c r="Y292" s="34" t="n">
        <x:v>46219.85622685185</x:v>
      </x:c>
      <x:c r="Z292" s="26"/>
      <x:c r="AA292" s="26" t="str"/>
      <x:c r="AB292" s="26" t="str">
        <x:v>Activity name/category not included in contribution response</x:v>
      </x:c>
    </x:row>
    <x:row r="293">
      <x:c r="A293" s="26" t="n">
        <x:v>290</x:v>
      </x:c>
      <x:c r="B293" s="26" t="n">
        <x:v>236</x:v>
      </x:c>
      <x:c r="C293" s="26" t="str">
        <x:v>Medak</x:v>
      </x:c>
      <x:c r="D293" s="26" t="n">
        <x:v>14755</x:v>
      </x:c>
      <x:c r="E293" s="26" t="str">
        <x:v>PRJ-2026-0014755</x:v>
      </x:c>
      <x:c r="F293" s="26" t="str">
        <x:v>AWC Upgradation Koppulapally Thanda</x:v>
      </x:c>
      <x:c r="G293" s="26" t="n">
        <x:v>634</x:v>
      </x:c>
      <x:c r="H293" s="26" t="n">
        <x:v>60656</x:v>
      </x:c>
      <x:c r="I293" s="26"/>
      <x:c r="J293" s="26"/>
      <x:c r="K293" s="26"/>
      <x:c r="L293" s="26" t="n">
        <x:v>2</x:v>
      </x:c>
      <x:c r="M293" s="26" t="n">
        <x:v>2</x:v>
      </x:c>
      <x:c r="N293" s="26" t="n">
        <x:v>0</x:v>
      </x:c>
      <x:c r="O293" s="26" t="n">
        <x:f>MAX(M293-N293,0)</x:f>
        <x:v>2</x:v>
      </x:c>
      <x:c r="P293" s="38" t="n">
        <x:f>IFERROR(N293/M293,0)</x:f>
        <x:v>0</x:v>
      </x:c>
      <x:c r="Q293" s="26"/>
      <x:c r="R293" s="26"/>
      <x:c r="S293" s="26" t="str">
        <x:v>Pending Mapping</x:v>
      </x:c>
      <x:c r="T293" s="26"/>
      <x:c r="U293" s="26"/>
      <x:c r="V293" s="26"/>
      <x:c r="W293" s="32"/>
      <x:c r="X293" s="27" t="b">
        <x:v>1</x:v>
      </x:c>
      <x:c r="Y293" s="34" t="n">
        <x:v>46219.85320601852</x:v>
      </x:c>
      <x:c r="Z293" s="26"/>
      <x:c r="AA293" s="26" t="str"/>
      <x:c r="AB293" s="26" t="str">
        <x:v>Activity name/category not included in contribution response</x:v>
      </x:c>
    </x:row>
    <x:row r="294">
      <x:c r="A294" s="26" t="n">
        <x:v>291</x:v>
      </x:c>
      <x:c r="B294" s="26" t="n">
        <x:v>236</x:v>
      </x:c>
      <x:c r="C294" s="26" t="str">
        <x:v>Medak</x:v>
      </x:c>
      <x:c r="D294" s="26" t="n">
        <x:v>14755</x:v>
      </x:c>
      <x:c r="E294" s="26" t="str">
        <x:v>PRJ-2026-0014755</x:v>
      </x:c>
      <x:c r="F294" s="26" t="str">
        <x:v>AWC Upgradation Koppulapally Thanda</x:v>
      </x:c>
      <x:c r="G294" s="26" t="n">
        <x:v>635</x:v>
      </x:c>
      <x:c r="H294" s="26" t="n">
        <x:v>60657</x:v>
      </x:c>
      <x:c r="I294" s="26"/>
      <x:c r="J294" s="26"/>
      <x:c r="K294" s="26"/>
      <x:c r="L294" s="26" t="n">
        <x:v>20</x:v>
      </x:c>
      <x:c r="M294" s="26" t="n">
        <x:v>20</x:v>
      </x:c>
      <x:c r="N294" s="26" t="n">
        <x:v>0</x:v>
      </x:c>
      <x:c r="O294" s="26" t="n">
        <x:f>MAX(M294-N294,0)</x:f>
        <x:v>20</x:v>
      </x:c>
      <x:c r="P294" s="38" t="n">
        <x:f>IFERROR(N294/M294,0)</x:f>
        <x:v>0</x:v>
      </x:c>
      <x:c r="Q294" s="26"/>
      <x:c r="R294" s="26"/>
      <x:c r="S294" s="26" t="str">
        <x:v>Pending Mapping</x:v>
      </x:c>
      <x:c r="T294" s="26"/>
      <x:c r="U294" s="26"/>
      <x:c r="V294" s="26"/>
      <x:c r="W294" s="32"/>
      <x:c r="X294" s="27" t="b">
        <x:v>1</x:v>
      </x:c>
      <x:c r="Y294" s="34" t="n">
        <x:v>46219.85320601852</x:v>
      </x:c>
      <x:c r="Z294" s="26"/>
      <x:c r="AA294" s="26" t="str"/>
      <x:c r="AB294" s="26" t="str">
        <x:v>Activity name/category not included in contribution response</x:v>
      </x:c>
    </x:row>
    <x:row r="295">
      <x:c r="A295" s="26" t="n">
        <x:v>292</x:v>
      </x:c>
      <x:c r="B295" s="26" t="n">
        <x:v>236</x:v>
      </x:c>
      <x:c r="C295" s="26" t="str">
        <x:v>Medak</x:v>
      </x:c>
      <x:c r="D295" s="26" t="n">
        <x:v>14755</x:v>
      </x:c>
      <x:c r="E295" s="26" t="str">
        <x:v>PRJ-2026-0014755</x:v>
      </x:c>
      <x:c r="F295" s="26" t="str">
        <x:v>AWC Upgradation Koppulapally Thanda</x:v>
      </x:c>
      <x:c r="G295" s="26" t="n">
        <x:v>636</x:v>
      </x:c>
      <x:c r="H295" s="26" t="n">
        <x:v>60658</x:v>
      </x:c>
      <x:c r="I295" s="26"/>
      <x:c r="J295" s="26"/>
      <x:c r="K295" s="26"/>
      <x:c r="L295" s="26" t="n">
        <x:v>2</x:v>
      </x:c>
      <x:c r="M295" s="26" t="n">
        <x:v>2</x:v>
      </x:c>
      <x:c r="N295" s="26" t="n">
        <x:v>0</x:v>
      </x:c>
      <x:c r="O295" s="26" t="n">
        <x:f>MAX(M295-N295,0)</x:f>
        <x:v>2</x:v>
      </x:c>
      <x:c r="P295" s="38" t="n">
        <x:f>IFERROR(N295/M295,0)</x:f>
        <x:v>0</x:v>
      </x:c>
      <x:c r="Q295" s="26"/>
      <x:c r="R295" s="26"/>
      <x:c r="S295" s="26" t="str">
        <x:v>Pending Mapping</x:v>
      </x:c>
      <x:c r="T295" s="26"/>
      <x:c r="U295" s="26"/>
      <x:c r="V295" s="26"/>
      <x:c r="W295" s="32"/>
      <x:c r="X295" s="27" t="b">
        <x:v>1</x:v>
      </x:c>
      <x:c r="Y295" s="34" t="n">
        <x:v>46219.85320601852</x:v>
      </x:c>
      <x:c r="Z295" s="26"/>
      <x:c r="AA295" s="26" t="str"/>
      <x:c r="AB295" s="26" t="str">
        <x:v>Activity name/category not included in contribution response</x:v>
      </x:c>
    </x:row>
    <x:row r="296">
      <x:c r="A296" s="26" t="n">
        <x:v>293</x:v>
      </x:c>
      <x:c r="B296" s="26" t="n">
        <x:v>236</x:v>
      </x:c>
      <x:c r="C296" s="26" t="str">
        <x:v>Medak</x:v>
      </x:c>
      <x:c r="D296" s="26" t="n">
        <x:v>14755</x:v>
      </x:c>
      <x:c r="E296" s="26" t="str">
        <x:v>PRJ-2026-0014755</x:v>
      </x:c>
      <x:c r="F296" s="26" t="str">
        <x:v>AWC Upgradation Koppulapally Thanda</x:v>
      </x:c>
      <x:c r="G296" s="26" t="n">
        <x:v>637</x:v>
      </x:c>
      <x:c r="H296" s="26" t="n">
        <x:v>60659</x:v>
      </x:c>
      <x:c r="I296" s="26"/>
      <x:c r="J296" s="26"/>
      <x:c r="K296" s="26"/>
      <x:c r="L296" s="26" t="n">
        <x:v>5</x:v>
      </x:c>
      <x:c r="M296" s="26" t="n">
        <x:v>5</x:v>
      </x:c>
      <x:c r="N296" s="26" t="n">
        <x:v>0</x:v>
      </x:c>
      <x:c r="O296" s="26" t="n">
        <x:f>MAX(M296-N296,0)</x:f>
        <x:v>5</x:v>
      </x:c>
      <x:c r="P296" s="38" t="n">
        <x:f>IFERROR(N296/M296,0)</x:f>
        <x:v>0</x:v>
      </x:c>
      <x:c r="Q296" s="26"/>
      <x:c r="R296" s="26"/>
      <x:c r="S296" s="26" t="str">
        <x:v>Pending Mapping</x:v>
      </x:c>
      <x:c r="T296" s="26"/>
      <x:c r="U296" s="26"/>
      <x:c r="V296" s="26"/>
      <x:c r="W296" s="32"/>
      <x:c r="X296" s="27" t="b">
        <x:v>1</x:v>
      </x:c>
      <x:c r="Y296" s="34" t="n">
        <x:v>46219.85320601852</x:v>
      </x:c>
      <x:c r="Z296" s="26"/>
      <x:c r="AA296" s="26" t="str"/>
      <x:c r="AB296" s="26" t="str">
        <x:v>Activity name/category not included in contribution response</x:v>
      </x:c>
    </x:row>
    <x:row r="297">
      <x:c r="A297" s="26" t="n">
        <x:v>294</x:v>
      </x:c>
      <x:c r="B297" s="26" t="n">
        <x:v>236</x:v>
      </x:c>
      <x:c r="C297" s="26" t="str">
        <x:v>Medak</x:v>
      </x:c>
      <x:c r="D297" s="26" t="n">
        <x:v>14755</x:v>
      </x:c>
      <x:c r="E297" s="26" t="str">
        <x:v>PRJ-2026-0014755</x:v>
      </x:c>
      <x:c r="F297" s="26" t="str">
        <x:v>AWC Upgradation Koppulapally Thanda</x:v>
      </x:c>
      <x:c r="G297" s="26" t="n">
        <x:v>638</x:v>
      </x:c>
      <x:c r="H297" s="26" t="n">
        <x:v>60660</x:v>
      </x:c>
      <x:c r="I297" s="26"/>
      <x:c r="J297" s="26"/>
      <x:c r="K297" s="26"/>
      <x:c r="L297" s="26" t="n">
        <x:v>1</x:v>
      </x:c>
      <x:c r="M297" s="26" t="n">
        <x:v>1</x:v>
      </x:c>
      <x:c r="N297" s="26" t="n">
        <x:v>0</x:v>
      </x:c>
      <x:c r="O297" s="26" t="n">
        <x:f>MAX(M297-N297,0)</x:f>
        <x:v>1</x:v>
      </x:c>
      <x:c r="P297" s="38" t="n">
        <x:f>IFERROR(N297/M297,0)</x:f>
        <x:v>0</x:v>
      </x:c>
      <x:c r="Q297" s="26"/>
      <x:c r="R297" s="26"/>
      <x:c r="S297" s="26" t="str">
        <x:v>Pending Mapping</x:v>
      </x:c>
      <x:c r="T297" s="26"/>
      <x:c r="U297" s="26"/>
      <x:c r="V297" s="26"/>
      <x:c r="W297" s="32"/>
      <x:c r="X297" s="27" t="b">
        <x:v>1</x:v>
      </x:c>
      <x:c r="Y297" s="34" t="n">
        <x:v>46219.85320601852</x:v>
      </x:c>
      <x:c r="Z297" s="26"/>
      <x:c r="AA297" s="26" t="str"/>
      <x:c r="AB297" s="26" t="str">
        <x:v>Activity name/category not included in contribution response</x:v>
      </x:c>
    </x:row>
    <x:row r="298">
      <x:c r="A298" s="26" t="n">
        <x:v>295</x:v>
      </x:c>
      <x:c r="B298" s="26" t="n">
        <x:v>234</x:v>
      </x:c>
      <x:c r="C298" s="26" t="str">
        <x:v>Medak</x:v>
      </x:c>
      <x:c r="D298" s="26" t="n">
        <x:v>14756</x:v>
      </x:c>
      <x:c r="E298" s="26" t="str">
        <x:v>PRJ-2026-0014756</x:v>
      </x:c>
      <x:c r="F298" s="26" t="str">
        <x:v>AWC Upgradation Station Masaipet </x:v>
      </x:c>
      <x:c r="G298" s="26" t="n">
        <x:v>625</x:v>
      </x:c>
      <x:c r="H298" s="26" t="n">
        <x:v>60661</x:v>
      </x:c>
      <x:c r="I298" s="26"/>
      <x:c r="J298" s="26"/>
      <x:c r="K298" s="26"/>
      <x:c r="L298" s="26" t="n">
        <x:v>2</x:v>
      </x:c>
      <x:c r="M298" s="26" t="n">
        <x:v>2</x:v>
      </x:c>
      <x:c r="N298" s="26" t="n">
        <x:v>0</x:v>
      </x:c>
      <x:c r="O298" s="26" t="n">
        <x:f>MAX(M298-N298,0)</x:f>
        <x:v>2</x:v>
      </x:c>
      <x:c r="P298" s="38" t="n">
        <x:f>IFERROR(N298/M298,0)</x:f>
        <x:v>0</x:v>
      </x:c>
      <x:c r="Q298" s="26"/>
      <x:c r="R298" s="26"/>
      <x:c r="S298" s="26" t="str">
        <x:v>Pending Mapping</x:v>
      </x:c>
      <x:c r="T298" s="26"/>
      <x:c r="U298" s="26"/>
      <x:c r="V298" s="26"/>
      <x:c r="W298" s="32"/>
      <x:c r="X298" s="27" t="b">
        <x:v>1</x:v>
      </x:c>
      <x:c r="Y298" s="34" t="n">
        <x:v>46219.85319444445</x:v>
      </x:c>
      <x:c r="Z298" s="26"/>
      <x:c r="AA298" s="26" t="str"/>
      <x:c r="AB298" s="26" t="str">
        <x:v>Activity name/category not included in contribution response</x:v>
      </x:c>
    </x:row>
    <x:row r="299">
      <x:c r="A299" s="26" t="n">
        <x:v>296</x:v>
      </x:c>
      <x:c r="B299" s="26" t="n">
        <x:v>234</x:v>
      </x:c>
      <x:c r="C299" s="26" t="str">
        <x:v>Medak</x:v>
      </x:c>
      <x:c r="D299" s="26" t="n">
        <x:v>14756</x:v>
      </x:c>
      <x:c r="E299" s="26" t="str">
        <x:v>PRJ-2026-0014756</x:v>
      </x:c>
      <x:c r="F299" s="26" t="str">
        <x:v>AWC Upgradation Station Masaipet </x:v>
      </x:c>
      <x:c r="G299" s="26" t="n">
        <x:v>626</x:v>
      </x:c>
      <x:c r="H299" s="26" t="n">
        <x:v>60662</x:v>
      </x:c>
      <x:c r="I299" s="26"/>
      <x:c r="J299" s="26"/>
      <x:c r="K299" s="26"/>
      <x:c r="L299" s="26" t="n">
        <x:v>20</x:v>
      </x:c>
      <x:c r="M299" s="26" t="n">
        <x:v>20</x:v>
      </x:c>
      <x:c r="N299" s="26" t="n">
        <x:v>0</x:v>
      </x:c>
      <x:c r="O299" s="26" t="n">
        <x:f>MAX(M299-N299,0)</x:f>
        <x:v>20</x:v>
      </x:c>
      <x:c r="P299" s="38" t="n">
        <x:f>IFERROR(N299/M299,0)</x:f>
        <x:v>0</x:v>
      </x:c>
      <x:c r="Q299" s="26"/>
      <x:c r="R299" s="26"/>
      <x:c r="S299" s="26" t="str">
        <x:v>Pending Mapping</x:v>
      </x:c>
      <x:c r="T299" s="26"/>
      <x:c r="U299" s="26"/>
      <x:c r="V299" s="26"/>
      <x:c r="W299" s="32"/>
      <x:c r="X299" s="27" t="b">
        <x:v>1</x:v>
      </x:c>
      <x:c r="Y299" s="34" t="n">
        <x:v>46219.85319444445</x:v>
      </x:c>
      <x:c r="Z299" s="26"/>
      <x:c r="AA299" s="26" t="str"/>
      <x:c r="AB299" s="26" t="str">
        <x:v>Activity name/category not included in contribution response</x:v>
      </x:c>
    </x:row>
    <x:row r="300">
      <x:c r="A300" s="26" t="n">
        <x:v>297</x:v>
      </x:c>
      <x:c r="B300" s="26" t="n">
        <x:v>234</x:v>
      </x:c>
      <x:c r="C300" s="26" t="str">
        <x:v>Medak</x:v>
      </x:c>
      <x:c r="D300" s="26" t="n">
        <x:v>14756</x:v>
      </x:c>
      <x:c r="E300" s="26" t="str">
        <x:v>PRJ-2026-0014756</x:v>
      </x:c>
      <x:c r="F300" s="26" t="str">
        <x:v>AWC Upgradation Station Masaipet </x:v>
      </x:c>
      <x:c r="G300" s="26" t="n">
        <x:v>627</x:v>
      </x:c>
      <x:c r="H300" s="26" t="n">
        <x:v>60663</x:v>
      </x:c>
      <x:c r="I300" s="26"/>
      <x:c r="J300" s="26"/>
      <x:c r="K300" s="26"/>
      <x:c r="L300" s="26" t="n">
        <x:v>2</x:v>
      </x:c>
      <x:c r="M300" s="26" t="n">
        <x:v>2</x:v>
      </x:c>
      <x:c r="N300" s="26" t="n">
        <x:v>0</x:v>
      </x:c>
      <x:c r="O300" s="26" t="n">
        <x:f>MAX(M300-N300,0)</x:f>
        <x:v>2</x:v>
      </x:c>
      <x:c r="P300" s="38" t="n">
        <x:f>IFERROR(N300/M300,0)</x:f>
        <x:v>0</x:v>
      </x:c>
      <x:c r="Q300" s="26"/>
      <x:c r="R300" s="26"/>
      <x:c r="S300" s="26" t="str">
        <x:v>Pending Mapping</x:v>
      </x:c>
      <x:c r="T300" s="26"/>
      <x:c r="U300" s="26"/>
      <x:c r="V300" s="26"/>
      <x:c r="W300" s="32"/>
      <x:c r="X300" s="27" t="b">
        <x:v>1</x:v>
      </x:c>
      <x:c r="Y300" s="34" t="n">
        <x:v>46219.85319444445</x:v>
      </x:c>
      <x:c r="Z300" s="26"/>
      <x:c r="AA300" s="26" t="str"/>
      <x:c r="AB300" s="26" t="str">
        <x:v>Activity name/category not included in contribution response</x:v>
      </x:c>
    </x:row>
    <x:row r="301">
      <x:c r="A301" s="26" t="n">
        <x:v>298</x:v>
      </x:c>
      <x:c r="B301" s="26" t="n">
        <x:v>234</x:v>
      </x:c>
      <x:c r="C301" s="26" t="str">
        <x:v>Medak</x:v>
      </x:c>
      <x:c r="D301" s="26" t="n">
        <x:v>14756</x:v>
      </x:c>
      <x:c r="E301" s="26" t="str">
        <x:v>PRJ-2026-0014756</x:v>
      </x:c>
      <x:c r="F301" s="26" t="str">
        <x:v>AWC Upgradation Station Masaipet </x:v>
      </x:c>
      <x:c r="G301" s="26" t="n">
        <x:v>628</x:v>
      </x:c>
      <x:c r="H301" s="26" t="n">
        <x:v>60664</x:v>
      </x:c>
      <x:c r="I301" s="26"/>
      <x:c r="J301" s="26"/>
      <x:c r="K301" s="26"/>
      <x:c r="L301" s="26" t="n">
        <x:v>4</x:v>
      </x:c>
      <x:c r="M301" s="26" t="n">
        <x:v>4</x:v>
      </x:c>
      <x:c r="N301" s="26" t="n">
        <x:v>0</x:v>
      </x:c>
      <x:c r="O301" s="26" t="n">
        <x:f>MAX(M301-N301,0)</x:f>
        <x:v>4</x:v>
      </x:c>
      <x:c r="P301" s="38" t="n">
        <x:f>IFERROR(N301/M301,0)</x:f>
        <x:v>0</x:v>
      </x:c>
      <x:c r="Q301" s="26"/>
      <x:c r="R301" s="26"/>
      <x:c r="S301" s="26" t="str">
        <x:v>Pending Mapping</x:v>
      </x:c>
      <x:c r="T301" s="26"/>
      <x:c r="U301" s="26"/>
      <x:c r="V301" s="26"/>
      <x:c r="W301" s="32"/>
      <x:c r="X301" s="27" t="b">
        <x:v>1</x:v>
      </x:c>
      <x:c r="Y301" s="34" t="n">
        <x:v>46219.85319444445</x:v>
      </x:c>
      <x:c r="Z301" s="26"/>
      <x:c r="AA301" s="26" t="str"/>
      <x:c r="AB301" s="26" t="str">
        <x:v>Activity name/category not included in contribution response</x:v>
      </x:c>
    </x:row>
    <x:row r="302">
      <x:c r="A302" s="26" t="n">
        <x:v>299</x:v>
      </x:c>
      <x:c r="B302" s="26" t="n">
        <x:v>234</x:v>
      </x:c>
      <x:c r="C302" s="26" t="str">
        <x:v>Medak</x:v>
      </x:c>
      <x:c r="D302" s="26" t="n">
        <x:v>14756</x:v>
      </x:c>
      <x:c r="E302" s="26" t="str">
        <x:v>PRJ-2026-0014756</x:v>
      </x:c>
      <x:c r="F302" s="26" t="str">
        <x:v>AWC Upgradation Station Masaipet </x:v>
      </x:c>
      <x:c r="G302" s="26" t="n">
        <x:v>629</x:v>
      </x:c>
      <x:c r="H302" s="26" t="n">
        <x:v>60665</x:v>
      </x:c>
      <x:c r="I302" s="26"/>
      <x:c r="J302" s="26"/>
      <x:c r="K302" s="26"/>
      <x:c r="L302" s="26" t="n">
        <x:v>1</x:v>
      </x:c>
      <x:c r="M302" s="26" t="n">
        <x:v>1</x:v>
      </x:c>
      <x:c r="N302" s="26" t="n">
        <x:v>0</x:v>
      </x:c>
      <x:c r="O302" s="26" t="n">
        <x:f>MAX(M302-N302,0)</x:f>
        <x:v>1</x:v>
      </x:c>
      <x:c r="P302" s="38" t="n">
        <x:f>IFERROR(N302/M302,0)</x:f>
        <x:v>0</x:v>
      </x:c>
      <x:c r="Q302" s="26"/>
      <x:c r="R302" s="26"/>
      <x:c r="S302" s="26" t="str">
        <x:v>Pending Mapping</x:v>
      </x:c>
      <x:c r="T302" s="26"/>
      <x:c r="U302" s="26"/>
      <x:c r="V302" s="26"/>
      <x:c r="W302" s="32"/>
      <x:c r="X302" s="27" t="b">
        <x:v>1</x:v>
      </x:c>
      <x:c r="Y302" s="34" t="n">
        <x:v>46219.85319444445</x:v>
      </x:c>
      <x:c r="Z302" s="26"/>
      <x:c r="AA302" s="26" t="str"/>
      <x:c r="AB302" s="26" t="str">
        <x:v>Activity name/category not included in contribution response</x:v>
      </x:c>
    </x:row>
    <x:row r="303">
      <x:c r="A303" s="26" t="n">
        <x:v>300</x:v>
      </x:c>
      <x:c r="B303" s="26" t="n">
        <x:v>235</x:v>
      </x:c>
      <x:c r="C303" s="26" t="str">
        <x:v>Medak</x:v>
      </x:c>
      <x:c r="D303" s="26" t="n">
        <x:v>14761</x:v>
      </x:c>
      <x:c r="E303" s="26" t="str">
        <x:v>PRJ-2026-0014761</x:v>
      </x:c>
      <x:c r="F303" s="26" t="str">
        <x:v>AWC Upgradation Hastalpur</x:v>
      </x:c>
      <x:c r="G303" s="26" t="n">
        <x:v>630</x:v>
      </x:c>
      <x:c r="H303" s="26" t="n">
        <x:v>60679</x:v>
      </x:c>
      <x:c r="I303" s="26"/>
      <x:c r="J303" s="26"/>
      <x:c r="K303" s="26"/>
      <x:c r="L303" s="26" t="n">
        <x:v>2</x:v>
      </x:c>
      <x:c r="M303" s="26" t="n">
        <x:v>2</x:v>
      </x:c>
      <x:c r="N303" s="26" t="n">
        <x:v>0</x:v>
      </x:c>
      <x:c r="O303" s="26" t="n">
        <x:f>MAX(M303-N303,0)</x:f>
        <x:v>2</x:v>
      </x:c>
      <x:c r="P303" s="38" t="n">
        <x:f>IFERROR(N303/M303,0)</x:f>
        <x:v>0</x:v>
      </x:c>
      <x:c r="Q303" s="26"/>
      <x:c r="R303" s="26"/>
      <x:c r="S303" s="26" t="str">
        <x:v>Pending Mapping</x:v>
      </x:c>
      <x:c r="T303" s="26"/>
      <x:c r="U303" s="26"/>
      <x:c r="V303" s="26"/>
      <x:c r="W303" s="32"/>
      <x:c r="X303" s="27" t="b">
        <x:v>1</x:v>
      </x:c>
      <x:c r="Y303" s="34" t="n">
        <x:v>46219.85319444445</x:v>
      </x:c>
      <x:c r="Z303" s="26"/>
      <x:c r="AA303" s="26" t="str"/>
      <x:c r="AB303" s="26" t="str">
        <x:v>Activity name/category not included in contribution response</x:v>
      </x:c>
    </x:row>
    <x:row r="304">
      <x:c r="A304" s="26" t="n">
        <x:v>301</x:v>
      </x:c>
      <x:c r="B304" s="26" t="n">
        <x:v>235</x:v>
      </x:c>
      <x:c r="C304" s="26" t="str">
        <x:v>Medak</x:v>
      </x:c>
      <x:c r="D304" s="26" t="n">
        <x:v>14761</x:v>
      </x:c>
      <x:c r="E304" s="26" t="str">
        <x:v>PRJ-2026-0014761</x:v>
      </x:c>
      <x:c r="F304" s="26" t="str">
        <x:v>AWC Upgradation Hastalpur</x:v>
      </x:c>
      <x:c r="G304" s="26" t="n">
        <x:v>631</x:v>
      </x:c>
      <x:c r="H304" s="26" t="n">
        <x:v>60680</x:v>
      </x:c>
      <x:c r="I304" s="26"/>
      <x:c r="J304" s="26"/>
      <x:c r="K304" s="26"/>
      <x:c r="L304" s="26" t="n">
        <x:v>20</x:v>
      </x:c>
      <x:c r="M304" s="26" t="n">
        <x:v>20</x:v>
      </x:c>
      <x:c r="N304" s="26" t="n">
        <x:v>0</x:v>
      </x:c>
      <x:c r="O304" s="26" t="n">
        <x:f>MAX(M304-N304,0)</x:f>
        <x:v>20</x:v>
      </x:c>
      <x:c r="P304" s="38" t="n">
        <x:f>IFERROR(N304/M304,0)</x:f>
        <x:v>0</x:v>
      </x:c>
      <x:c r="Q304" s="26"/>
      <x:c r="R304" s="26"/>
      <x:c r="S304" s="26" t="str">
        <x:v>Pending Mapping</x:v>
      </x:c>
      <x:c r="T304" s="26"/>
      <x:c r="U304" s="26"/>
      <x:c r="V304" s="26"/>
      <x:c r="W304" s="32"/>
      <x:c r="X304" s="27" t="b">
        <x:v>1</x:v>
      </x:c>
      <x:c r="Y304" s="34" t="n">
        <x:v>46219.85319444445</x:v>
      </x:c>
      <x:c r="Z304" s="26"/>
      <x:c r="AA304" s="26" t="str"/>
      <x:c r="AB304" s="26" t="str">
        <x:v>Activity name/category not included in contribution response</x:v>
      </x:c>
    </x:row>
    <x:row r="305">
      <x:c r="A305" s="26" t="n">
        <x:v>302</x:v>
      </x:c>
      <x:c r="B305" s="26" t="n">
        <x:v>235</x:v>
      </x:c>
      <x:c r="C305" s="26" t="str">
        <x:v>Medak</x:v>
      </x:c>
      <x:c r="D305" s="26" t="n">
        <x:v>14761</x:v>
      </x:c>
      <x:c r="E305" s="26" t="str">
        <x:v>PRJ-2026-0014761</x:v>
      </x:c>
      <x:c r="F305" s="26" t="str">
        <x:v>AWC Upgradation Hastalpur</x:v>
      </x:c>
      <x:c r="G305" s="26" t="n">
        <x:v>632</x:v>
      </x:c>
      <x:c r="H305" s="26" t="n">
        <x:v>60681</x:v>
      </x:c>
      <x:c r="I305" s="26"/>
      <x:c r="J305" s="26"/>
      <x:c r="K305" s="26"/>
      <x:c r="L305" s="26" t="n">
        <x:v>2</x:v>
      </x:c>
      <x:c r="M305" s="26" t="n">
        <x:v>2</x:v>
      </x:c>
      <x:c r="N305" s="26" t="n">
        <x:v>0</x:v>
      </x:c>
      <x:c r="O305" s="26" t="n">
        <x:f>MAX(M305-N305,0)</x:f>
        <x:v>2</x:v>
      </x:c>
      <x:c r="P305" s="38" t="n">
        <x:f>IFERROR(N305/M305,0)</x:f>
        <x:v>0</x:v>
      </x:c>
      <x:c r="Q305" s="26"/>
      <x:c r="R305" s="26"/>
      <x:c r="S305" s="26" t="str">
        <x:v>Pending Mapping</x:v>
      </x:c>
      <x:c r="T305" s="26"/>
      <x:c r="U305" s="26"/>
      <x:c r="V305" s="26"/>
      <x:c r="W305" s="32"/>
      <x:c r="X305" s="27" t="b">
        <x:v>1</x:v>
      </x:c>
      <x:c r="Y305" s="34" t="n">
        <x:v>46219.85319444445</x:v>
      </x:c>
      <x:c r="Z305" s="26"/>
      <x:c r="AA305" s="26" t="str"/>
      <x:c r="AB305" s="26" t="str">
        <x:v>Activity name/category not included in contribution response</x:v>
      </x:c>
    </x:row>
    <x:row r="306">
      <x:c r="A306" s="26" t="n">
        <x:v>303</x:v>
      </x:c>
      <x:c r="B306" s="26" t="n">
        <x:v>235</x:v>
      </x:c>
      <x:c r="C306" s="26" t="str">
        <x:v>Medak</x:v>
      </x:c>
      <x:c r="D306" s="26" t="n">
        <x:v>14761</x:v>
      </x:c>
      <x:c r="E306" s="26" t="str">
        <x:v>PRJ-2026-0014761</x:v>
      </x:c>
      <x:c r="F306" s="26" t="str">
        <x:v>AWC Upgradation Hastalpur</x:v>
      </x:c>
      <x:c r="G306" s="26" t="n">
        <x:v>633</x:v>
      </x:c>
      <x:c r="H306" s="26" t="n">
        <x:v>60682</x:v>
      </x:c>
      <x:c r="I306" s="26"/>
      <x:c r="J306" s="26"/>
      <x:c r="K306" s="26"/>
      <x:c r="L306" s="26" t="n">
        <x:v>5</x:v>
      </x:c>
      <x:c r="M306" s="26" t="n">
        <x:v>5</x:v>
      </x:c>
      <x:c r="N306" s="26" t="n">
        <x:v>0</x:v>
      </x:c>
      <x:c r="O306" s="26" t="n">
        <x:f>MAX(M306-N306,0)</x:f>
        <x:v>5</x:v>
      </x:c>
      <x:c r="P306" s="38" t="n">
        <x:f>IFERROR(N306/M306,0)</x:f>
        <x:v>0</x:v>
      </x:c>
      <x:c r="Q306" s="26"/>
      <x:c r="R306" s="26"/>
      <x:c r="S306" s="26" t="str">
        <x:v>Pending Mapping</x:v>
      </x:c>
      <x:c r="T306" s="26"/>
      <x:c r="U306" s="26"/>
      <x:c r="V306" s="26"/>
      <x:c r="W306" s="32"/>
      <x:c r="X306" s="27" t="b">
        <x:v>1</x:v>
      </x:c>
      <x:c r="Y306" s="34" t="n">
        <x:v>46219.85319444445</x:v>
      </x:c>
      <x:c r="Z306" s="26"/>
      <x:c r="AA306" s="26" t="str"/>
      <x:c r="AB306" s="26" t="str">
        <x:v>Activity name/category not included in contribution response</x:v>
      </x:c>
    </x:row>
    <x:row r="307">
      <x:c r="A307" s="26" t="n">
        <x:v>304</x:v>
      </x:c>
      <x:c r="B307" s="26" t="n">
        <x:v>232</x:v>
      </x:c>
      <x:c r="C307" s="26" t="str">
        <x:v>Medak</x:v>
      </x:c>
      <x:c r="D307" s="26" t="n">
        <x:v>14765</x:v>
      </x:c>
      <x:c r="E307" s="26" t="str">
        <x:v>PRJ-2026-0014765</x:v>
      </x:c>
      <x:c r="F307" s="26" t="str">
        <x:v>AWC Upgradation Ramanthapur LT</x:v>
      </x:c>
      <x:c r="G307" s="26" t="n">
        <x:v>615</x:v>
      </x:c>
      <x:c r="H307" s="26" t="n">
        <x:v>60700</x:v>
      </x:c>
      <x:c r="I307" s="26"/>
      <x:c r="J307" s="26"/>
      <x:c r="K307" s="26"/>
      <x:c r="L307" s="26" t="n">
        <x:v>2</x:v>
      </x:c>
      <x:c r="M307" s="26" t="n">
        <x:v>2</x:v>
      </x:c>
      <x:c r="N307" s="26" t="n">
        <x:v>0</x:v>
      </x:c>
      <x:c r="O307" s="26" t="n">
        <x:f>MAX(M307-N307,0)</x:f>
        <x:v>2</x:v>
      </x:c>
      <x:c r="P307" s="38" t="n">
        <x:f>IFERROR(N307/M307,0)</x:f>
        <x:v>0</x:v>
      </x:c>
      <x:c r="Q307" s="26"/>
      <x:c r="R307" s="26"/>
      <x:c r="S307" s="26" t="str">
        <x:v>Pending Mapping</x:v>
      </x:c>
      <x:c r="T307" s="26"/>
      <x:c r="U307" s="26"/>
      <x:c r="V307" s="26"/>
      <x:c r="W307" s="32"/>
      <x:c r="X307" s="27" t="b">
        <x:v>1</x:v>
      </x:c>
      <x:c r="Y307" s="34" t="n">
        <x:v>46219.85318287037</x:v>
      </x:c>
      <x:c r="Z307" s="26"/>
      <x:c r="AA307" s="26" t="str"/>
      <x:c r="AB307" s="26" t="str">
        <x:v>Activity name/category not included in contribution response</x:v>
      </x:c>
    </x:row>
    <x:row r="308">
      <x:c r="A308" s="26" t="n">
        <x:v>305</x:v>
      </x:c>
      <x:c r="B308" s="26" t="n">
        <x:v>232</x:v>
      </x:c>
      <x:c r="C308" s="26" t="str">
        <x:v>Medak</x:v>
      </x:c>
      <x:c r="D308" s="26" t="n">
        <x:v>14765</x:v>
      </x:c>
      <x:c r="E308" s="26" t="str">
        <x:v>PRJ-2026-0014765</x:v>
      </x:c>
      <x:c r="F308" s="26" t="str">
        <x:v>AWC Upgradation Ramanthapur LT</x:v>
      </x:c>
      <x:c r="G308" s="26" t="n">
        <x:v>616</x:v>
      </x:c>
      <x:c r="H308" s="26" t="n">
        <x:v>60701</x:v>
      </x:c>
      <x:c r="I308" s="26"/>
      <x:c r="J308" s="26"/>
      <x:c r="K308" s="26"/>
      <x:c r="L308" s="26" t="n">
        <x:v>20</x:v>
      </x:c>
      <x:c r="M308" s="26" t="n">
        <x:v>20</x:v>
      </x:c>
      <x:c r="N308" s="26" t="n">
        <x:v>0</x:v>
      </x:c>
      <x:c r="O308" s="26" t="n">
        <x:f>MAX(M308-N308,0)</x:f>
        <x:v>20</x:v>
      </x:c>
      <x:c r="P308" s="38" t="n">
        <x:f>IFERROR(N308/M308,0)</x:f>
        <x:v>0</x:v>
      </x:c>
      <x:c r="Q308" s="26"/>
      <x:c r="R308" s="26"/>
      <x:c r="S308" s="26" t="str">
        <x:v>Pending Mapping</x:v>
      </x:c>
      <x:c r="T308" s="26"/>
      <x:c r="U308" s="26"/>
      <x:c r="V308" s="26"/>
      <x:c r="W308" s="32"/>
      <x:c r="X308" s="27" t="b">
        <x:v>1</x:v>
      </x:c>
      <x:c r="Y308" s="34" t="n">
        <x:v>46219.85318287037</x:v>
      </x:c>
      <x:c r="Z308" s="26"/>
      <x:c r="AA308" s="26" t="str"/>
      <x:c r="AB308" s="26" t="str">
        <x:v>Activity name/category not included in contribution response</x:v>
      </x:c>
    </x:row>
    <x:row r="309">
      <x:c r="A309" s="26" t="n">
        <x:v>306</x:v>
      </x:c>
      <x:c r="B309" s="26" t="n">
        <x:v>232</x:v>
      </x:c>
      <x:c r="C309" s="26" t="str">
        <x:v>Medak</x:v>
      </x:c>
      <x:c r="D309" s="26" t="n">
        <x:v>14765</x:v>
      </x:c>
      <x:c r="E309" s="26" t="str">
        <x:v>PRJ-2026-0014765</x:v>
      </x:c>
      <x:c r="F309" s="26" t="str">
        <x:v>AWC Upgradation Ramanthapur LT</x:v>
      </x:c>
      <x:c r="G309" s="26" t="n">
        <x:v>617</x:v>
      </x:c>
      <x:c r="H309" s="26" t="n">
        <x:v>60702</x:v>
      </x:c>
      <x:c r="I309" s="26"/>
      <x:c r="J309" s="26"/>
      <x:c r="K309" s="26"/>
      <x:c r="L309" s="26" t="n">
        <x:v>2</x:v>
      </x:c>
      <x:c r="M309" s="26" t="n">
        <x:v>2</x:v>
      </x:c>
      <x:c r="N309" s="26" t="n">
        <x:v>0</x:v>
      </x:c>
      <x:c r="O309" s="26" t="n">
        <x:f>MAX(M309-N309,0)</x:f>
        <x:v>2</x:v>
      </x:c>
      <x:c r="P309" s="38" t="n">
        <x:f>IFERROR(N309/M309,0)</x:f>
        <x:v>0</x:v>
      </x:c>
      <x:c r="Q309" s="26"/>
      <x:c r="R309" s="26"/>
      <x:c r="S309" s="26" t="str">
        <x:v>Pending Mapping</x:v>
      </x:c>
      <x:c r="T309" s="26"/>
      <x:c r="U309" s="26"/>
      <x:c r="V309" s="26"/>
      <x:c r="W309" s="32"/>
      <x:c r="X309" s="27" t="b">
        <x:v>1</x:v>
      </x:c>
      <x:c r="Y309" s="34" t="n">
        <x:v>46219.85318287037</x:v>
      </x:c>
      <x:c r="Z309" s="26"/>
      <x:c r="AA309" s="26" t="str"/>
      <x:c r="AB309" s="26" t="str">
        <x:v>Activity name/category not included in contribution response</x:v>
      </x:c>
    </x:row>
    <x:row r="310">
      <x:c r="A310" s="26" t="n">
        <x:v>307</x:v>
      </x:c>
      <x:c r="B310" s="26" t="n">
        <x:v>232</x:v>
      </x:c>
      <x:c r="C310" s="26" t="str">
        <x:v>Medak</x:v>
      </x:c>
      <x:c r="D310" s="26" t="n">
        <x:v>14765</x:v>
      </x:c>
      <x:c r="E310" s="26" t="str">
        <x:v>PRJ-2026-0014765</x:v>
      </x:c>
      <x:c r="F310" s="26" t="str">
        <x:v>AWC Upgradation Ramanthapur LT</x:v>
      </x:c>
      <x:c r="G310" s="26" t="n">
        <x:v>618</x:v>
      </x:c>
      <x:c r="H310" s="26" t="n">
        <x:v>60703</x:v>
      </x:c>
      <x:c r="I310" s="26"/>
      <x:c r="J310" s="26"/>
      <x:c r="K310" s="26"/>
      <x:c r="L310" s="26" t="n">
        <x:v>4</x:v>
      </x:c>
      <x:c r="M310" s="26" t="n">
        <x:v>4</x:v>
      </x:c>
      <x:c r="N310" s="26" t="n">
        <x:v>0</x:v>
      </x:c>
      <x:c r="O310" s="26" t="n">
        <x:f>MAX(M310-N310,0)</x:f>
        <x:v>4</x:v>
      </x:c>
      <x:c r="P310" s="38" t="n">
        <x:f>IFERROR(N310/M310,0)</x:f>
        <x:v>0</x:v>
      </x:c>
      <x:c r="Q310" s="26"/>
      <x:c r="R310" s="26"/>
      <x:c r="S310" s="26" t="str">
        <x:v>Pending Mapping</x:v>
      </x:c>
      <x:c r="T310" s="26"/>
      <x:c r="U310" s="26"/>
      <x:c r="V310" s="26"/>
      <x:c r="W310" s="32"/>
      <x:c r="X310" s="27" t="b">
        <x:v>1</x:v>
      </x:c>
      <x:c r="Y310" s="34" t="n">
        <x:v>46219.85318287037</x:v>
      </x:c>
      <x:c r="Z310" s="26"/>
      <x:c r="AA310" s="26" t="str"/>
      <x:c r="AB310" s="26" t="str">
        <x:v>Activity name/category not included in contribution response</x:v>
      </x:c>
    </x:row>
    <x:row r="311">
      <x:c r="A311" s="26" t="n">
        <x:v>308</x:v>
      </x:c>
      <x:c r="B311" s="26" t="n">
        <x:v>232</x:v>
      </x:c>
      <x:c r="C311" s="26" t="str">
        <x:v>Medak</x:v>
      </x:c>
      <x:c r="D311" s="26" t="n">
        <x:v>14765</x:v>
      </x:c>
      <x:c r="E311" s="26" t="str">
        <x:v>PRJ-2026-0014765</x:v>
      </x:c>
      <x:c r="F311" s="26" t="str">
        <x:v>AWC Upgradation Ramanthapur LT</x:v>
      </x:c>
      <x:c r="G311" s="26" t="n">
        <x:v>619</x:v>
      </x:c>
      <x:c r="H311" s="26" t="n">
        <x:v>60704</x:v>
      </x:c>
      <x:c r="I311" s="26"/>
      <x:c r="J311" s="26"/>
      <x:c r="K311" s="26"/>
      <x:c r="L311" s="26" t="n">
        <x:v>1</x:v>
      </x:c>
      <x:c r="M311" s="26" t="n">
        <x:v>1</x:v>
      </x:c>
      <x:c r="N311" s="26" t="n">
        <x:v>0</x:v>
      </x:c>
      <x:c r="O311" s="26" t="n">
        <x:f>MAX(M311-N311,0)</x:f>
        <x:v>1</x:v>
      </x:c>
      <x:c r="P311" s="38" t="n">
        <x:f>IFERROR(N311/M311,0)</x:f>
        <x:v>0</x:v>
      </x:c>
      <x:c r="Q311" s="26"/>
      <x:c r="R311" s="26"/>
      <x:c r="S311" s="26" t="str">
        <x:v>Pending Mapping</x:v>
      </x:c>
      <x:c r="T311" s="26"/>
      <x:c r="U311" s="26"/>
      <x:c r="V311" s="26"/>
      <x:c r="W311" s="32"/>
      <x:c r="X311" s="27" t="b">
        <x:v>1</x:v>
      </x:c>
      <x:c r="Y311" s="34" t="n">
        <x:v>46219.85318287037</x:v>
      </x:c>
      <x:c r="Z311" s="26"/>
      <x:c r="AA311" s="26" t="str"/>
      <x:c r="AB311" s="26" t="str">
        <x:v>Activity name/category not included in contribution response</x:v>
      </x:c>
    </x:row>
    <x:row r="312">
      <x:c r="A312" s="26" t="n">
        <x:v>309</x:v>
      </x:c>
      <x:c r="B312" s="26" t="n">
        <x:v>233</x:v>
      </x:c>
      <x:c r="C312" s="26" t="str">
        <x:v>Medak</x:v>
      </x:c>
      <x:c r="D312" s="26" t="n">
        <x:v>14759</x:v>
      </x:c>
      <x:c r="E312" s="26" t="str">
        <x:v>PRJ-2026-0014759</x:v>
      </x:c>
      <x:c r="F312" s="26" t="str">
        <x:v>AWC Upgradation Masaipet V</x:v>
      </x:c>
      <x:c r="G312" s="26" t="n">
        <x:v>620</x:v>
      </x:c>
      <x:c r="H312" s="26" t="n">
        <x:v>60673</x:v>
      </x:c>
      <x:c r="I312" s="26"/>
      <x:c r="J312" s="26"/>
      <x:c r="K312" s="26"/>
      <x:c r="L312" s="26" t="n">
        <x:v>2</x:v>
      </x:c>
      <x:c r="M312" s="26" t="n">
        <x:v>2</x:v>
      </x:c>
      <x:c r="N312" s="26" t="n">
        <x:v>0</x:v>
      </x:c>
      <x:c r="O312" s="26" t="n">
        <x:f>MAX(M312-N312,0)</x:f>
        <x:v>2</x:v>
      </x:c>
      <x:c r="P312" s="38" t="n">
        <x:f>IFERROR(N312/M312,0)</x:f>
        <x:v>0</x:v>
      </x:c>
      <x:c r="Q312" s="26"/>
      <x:c r="R312" s="26"/>
      <x:c r="S312" s="26" t="str">
        <x:v>Pending Mapping</x:v>
      </x:c>
      <x:c r="T312" s="26"/>
      <x:c r="U312" s="26"/>
      <x:c r="V312" s="26"/>
      <x:c r="W312" s="32"/>
      <x:c r="X312" s="27" t="b">
        <x:v>1</x:v>
      </x:c>
      <x:c r="Y312" s="34" t="n">
        <x:v>46219.85318287037</x:v>
      </x:c>
      <x:c r="Z312" s="26"/>
      <x:c r="AA312" s="26" t="str"/>
      <x:c r="AB312" s="26" t="str">
        <x:v>Activity name/category not included in contribution response</x:v>
      </x:c>
    </x:row>
    <x:row r="313">
      <x:c r="A313" s="26" t="n">
        <x:v>310</x:v>
      </x:c>
      <x:c r="B313" s="26" t="n">
        <x:v>233</x:v>
      </x:c>
      <x:c r="C313" s="26" t="str">
        <x:v>Medak</x:v>
      </x:c>
      <x:c r="D313" s="26" t="n">
        <x:v>14759</x:v>
      </x:c>
      <x:c r="E313" s="26" t="str">
        <x:v>PRJ-2026-0014759</x:v>
      </x:c>
      <x:c r="F313" s="26" t="str">
        <x:v>AWC Upgradation Masaipet V</x:v>
      </x:c>
      <x:c r="G313" s="26" t="n">
        <x:v>621</x:v>
      </x:c>
      <x:c r="H313" s="26" t="n">
        <x:v>60674</x:v>
      </x:c>
      <x:c r="I313" s="26"/>
      <x:c r="J313" s="26"/>
      <x:c r="K313" s="26"/>
      <x:c r="L313" s="26" t="n">
        <x:v>20</x:v>
      </x:c>
      <x:c r="M313" s="26" t="n">
        <x:v>20</x:v>
      </x:c>
      <x:c r="N313" s="26" t="n">
        <x:v>0</x:v>
      </x:c>
      <x:c r="O313" s="26" t="n">
        <x:f>MAX(M313-N313,0)</x:f>
        <x:v>20</x:v>
      </x:c>
      <x:c r="P313" s="38" t="n">
        <x:f>IFERROR(N313/M313,0)</x:f>
        <x:v>0</x:v>
      </x:c>
      <x:c r="Q313" s="26"/>
      <x:c r="R313" s="26"/>
      <x:c r="S313" s="26" t="str">
        <x:v>Pending Mapping</x:v>
      </x:c>
      <x:c r="T313" s="26"/>
      <x:c r="U313" s="26"/>
      <x:c r="V313" s="26"/>
      <x:c r="W313" s="32"/>
      <x:c r="X313" s="27" t="b">
        <x:v>1</x:v>
      </x:c>
      <x:c r="Y313" s="34" t="n">
        <x:v>46219.85318287037</x:v>
      </x:c>
      <x:c r="Z313" s="26"/>
      <x:c r="AA313" s="26" t="str"/>
      <x:c r="AB313" s="26" t="str">
        <x:v>Activity name/category not included in contribution response</x:v>
      </x:c>
    </x:row>
    <x:row r="314">
      <x:c r="A314" s="26" t="n">
        <x:v>311</x:v>
      </x:c>
      <x:c r="B314" s="26" t="n">
        <x:v>233</x:v>
      </x:c>
      <x:c r="C314" s="26" t="str">
        <x:v>Medak</x:v>
      </x:c>
      <x:c r="D314" s="26" t="n">
        <x:v>14759</x:v>
      </x:c>
      <x:c r="E314" s="26" t="str">
        <x:v>PRJ-2026-0014759</x:v>
      </x:c>
      <x:c r="F314" s="26" t="str">
        <x:v>AWC Upgradation Masaipet V</x:v>
      </x:c>
      <x:c r="G314" s="26" t="n">
        <x:v>622</x:v>
      </x:c>
      <x:c r="H314" s="26" t="n">
        <x:v>60675</x:v>
      </x:c>
      <x:c r="I314" s="26"/>
      <x:c r="J314" s="26"/>
      <x:c r="K314" s="26"/>
      <x:c r="L314" s="26" t="n">
        <x:v>2</x:v>
      </x:c>
      <x:c r="M314" s="26" t="n">
        <x:v>2</x:v>
      </x:c>
      <x:c r="N314" s="26" t="n">
        <x:v>0</x:v>
      </x:c>
      <x:c r="O314" s="26" t="n">
        <x:f>MAX(M314-N314,0)</x:f>
        <x:v>2</x:v>
      </x:c>
      <x:c r="P314" s="38" t="n">
        <x:f>IFERROR(N314/M314,0)</x:f>
        <x:v>0</x:v>
      </x:c>
      <x:c r="Q314" s="26"/>
      <x:c r="R314" s="26"/>
      <x:c r="S314" s="26" t="str">
        <x:v>Pending Mapping</x:v>
      </x:c>
      <x:c r="T314" s="26"/>
      <x:c r="U314" s="26"/>
      <x:c r="V314" s="26"/>
      <x:c r="W314" s="32"/>
      <x:c r="X314" s="27" t="b">
        <x:v>1</x:v>
      </x:c>
      <x:c r="Y314" s="34" t="n">
        <x:v>46219.85318287037</x:v>
      </x:c>
      <x:c r="Z314" s="26"/>
      <x:c r="AA314" s="26" t="str"/>
      <x:c r="AB314" s="26" t="str">
        <x:v>Activity name/category not included in contribution response</x:v>
      </x:c>
    </x:row>
    <x:row r="315">
      <x:c r="A315" s="26" t="n">
        <x:v>312</x:v>
      </x:c>
      <x:c r="B315" s="26" t="n">
        <x:v>233</x:v>
      </x:c>
      <x:c r="C315" s="26" t="str">
        <x:v>Medak</x:v>
      </x:c>
      <x:c r="D315" s="26" t="n">
        <x:v>14759</x:v>
      </x:c>
      <x:c r="E315" s="26" t="str">
        <x:v>PRJ-2026-0014759</x:v>
      </x:c>
      <x:c r="F315" s="26" t="str">
        <x:v>AWC Upgradation Masaipet V</x:v>
      </x:c>
      <x:c r="G315" s="26" t="n">
        <x:v>623</x:v>
      </x:c>
      <x:c r="H315" s="26" t="n">
        <x:v>60676</x:v>
      </x:c>
      <x:c r="I315" s="26"/>
      <x:c r="J315" s="26"/>
      <x:c r="K315" s="26"/>
      <x:c r="L315" s="26" t="n">
        <x:v>4</x:v>
      </x:c>
      <x:c r="M315" s="26" t="n">
        <x:v>4</x:v>
      </x:c>
      <x:c r="N315" s="26" t="n">
        <x:v>0</x:v>
      </x:c>
      <x:c r="O315" s="26" t="n">
        <x:f>MAX(M315-N315,0)</x:f>
        <x:v>4</x:v>
      </x:c>
      <x:c r="P315" s="38" t="n">
        <x:f>IFERROR(N315/M315,0)</x:f>
        <x:v>0</x:v>
      </x:c>
      <x:c r="Q315" s="26"/>
      <x:c r="R315" s="26"/>
      <x:c r="S315" s="26" t="str">
        <x:v>Pending Mapping</x:v>
      </x:c>
      <x:c r="T315" s="26"/>
      <x:c r="U315" s="26"/>
      <x:c r="V315" s="26"/>
      <x:c r="W315" s="32"/>
      <x:c r="X315" s="27" t="b">
        <x:v>1</x:v>
      </x:c>
      <x:c r="Y315" s="34" t="n">
        <x:v>46219.85318287037</x:v>
      </x:c>
      <x:c r="Z315" s="26"/>
      <x:c r="AA315" s="26" t="str"/>
      <x:c r="AB315" s="26" t="str">
        <x:v>Activity name/category not included in contribution response</x:v>
      </x:c>
    </x:row>
    <x:row r="316">
      <x:c r="A316" s="26" t="n">
        <x:v>313</x:v>
      </x:c>
      <x:c r="B316" s="26" t="n">
        <x:v>233</x:v>
      </x:c>
      <x:c r="C316" s="26" t="str">
        <x:v>Medak</x:v>
      </x:c>
      <x:c r="D316" s="26" t="n">
        <x:v>14759</x:v>
      </x:c>
      <x:c r="E316" s="26" t="str">
        <x:v>PRJ-2026-0014759</x:v>
      </x:c>
      <x:c r="F316" s="26" t="str">
        <x:v>AWC Upgradation Masaipet V</x:v>
      </x:c>
      <x:c r="G316" s="26" t="n">
        <x:v>624</x:v>
      </x:c>
      <x:c r="H316" s="26" t="n">
        <x:v>60677</x:v>
      </x:c>
      <x:c r="I316" s="26"/>
      <x:c r="J316" s="26"/>
      <x:c r="K316" s="26"/>
      <x:c r="L316" s="26" t="n">
        <x:v>1</x:v>
      </x:c>
      <x:c r="M316" s="26" t="n">
        <x:v>1</x:v>
      </x:c>
      <x:c r="N316" s="26" t="n">
        <x:v>0</x:v>
      </x:c>
      <x:c r="O316" s="26" t="n">
        <x:f>MAX(M316-N316,0)</x:f>
        <x:v>1</x:v>
      </x:c>
      <x:c r="P316" s="38" t="n">
        <x:f>IFERROR(N316/M316,0)</x:f>
        <x:v>0</x:v>
      </x:c>
      <x:c r="Q316" s="26"/>
      <x:c r="R316" s="26"/>
      <x:c r="S316" s="26" t="str">
        <x:v>Pending Mapping</x:v>
      </x:c>
      <x:c r="T316" s="26"/>
      <x:c r="U316" s="26"/>
      <x:c r="V316" s="26"/>
      <x:c r="W316" s="32"/>
      <x:c r="X316" s="27" t="b">
        <x:v>1</x:v>
      </x:c>
      <x:c r="Y316" s="34" t="n">
        <x:v>46219.85318287037</x:v>
      </x:c>
      <x:c r="Z316" s="26"/>
      <x:c r="AA316" s="26" t="str"/>
      <x:c r="AB316" s="26" t="str">
        <x:v>Activity name/category not included in contribution response</x:v>
      </x:c>
    </x:row>
    <x:row r="317">
      <x:c r="A317" s="26" t="n">
        <x:v>314</x:v>
      </x:c>
      <x:c r="B317" s="26" t="n">
        <x:v>231</x:v>
      </x:c>
      <x:c r="C317" s="26" t="str">
        <x:v>Medak</x:v>
      </x:c>
      <x:c r="D317" s="26" t="n">
        <x:v>14771</x:v>
      </x:c>
      <x:c r="E317" s="26" t="str">
        <x:v>PRJ-2026-0014771</x:v>
      </x:c>
      <x:c r="F317" s="26" t="str">
        <x:v>AWC Upgradation Bandamedipally</x:v>
      </x:c>
      <x:c r="G317" s="26" t="n">
        <x:v>610</x:v>
      </x:c>
      <x:c r="H317" s="26" t="n">
        <x:v>60733</x:v>
      </x:c>
      <x:c r="I317" s="26"/>
      <x:c r="J317" s="26"/>
      <x:c r="K317" s="26"/>
      <x:c r="L317" s="26" t="n">
        <x:v>2</x:v>
      </x:c>
      <x:c r="M317" s="26" t="n">
        <x:v>2</x:v>
      </x:c>
      <x:c r="N317" s="26" t="n">
        <x:v>0</x:v>
      </x:c>
      <x:c r="O317" s="26" t="n">
        <x:f>MAX(M317-N317,0)</x:f>
        <x:v>2</x:v>
      </x:c>
      <x:c r="P317" s="38" t="n">
        <x:f>IFERROR(N317/M317,0)</x:f>
        <x:v>0</x:v>
      </x:c>
      <x:c r="Q317" s="26"/>
      <x:c r="R317" s="26"/>
      <x:c r="S317" s="26" t="str">
        <x:v>Pending Mapping</x:v>
      </x:c>
      <x:c r="T317" s="26"/>
      <x:c r="U317" s="26"/>
      <x:c r="V317" s="26"/>
      <x:c r="W317" s="32"/>
      <x:c r="X317" s="27" t="b">
        <x:v>1</x:v>
      </x:c>
      <x:c r="Y317" s="34" t="n">
        <x:v>46219.853171296294</x:v>
      </x:c>
      <x:c r="Z317" s="26"/>
      <x:c r="AA317" s="26" t="str"/>
      <x:c r="AB317" s="26" t="str">
        <x:v>Activity name/category not included in contribution response</x:v>
      </x:c>
    </x:row>
    <x:row r="318">
      <x:c r="A318" s="26" t="n">
        <x:v>315</x:v>
      </x:c>
      <x:c r="B318" s="26" t="n">
        <x:v>231</x:v>
      </x:c>
      <x:c r="C318" s="26" t="str">
        <x:v>Medak</x:v>
      </x:c>
      <x:c r="D318" s="26" t="n">
        <x:v>14771</x:v>
      </x:c>
      <x:c r="E318" s="26" t="str">
        <x:v>PRJ-2026-0014771</x:v>
      </x:c>
      <x:c r="F318" s="26" t="str">
        <x:v>AWC Upgradation Bandamedipally</x:v>
      </x:c>
      <x:c r="G318" s="26" t="n">
        <x:v>611</x:v>
      </x:c>
      <x:c r="H318" s="26" t="n">
        <x:v>60734</x:v>
      </x:c>
      <x:c r="I318" s="26"/>
      <x:c r="J318" s="26"/>
      <x:c r="K318" s="26"/>
      <x:c r="L318" s="26" t="n">
        <x:v>20</x:v>
      </x:c>
      <x:c r="M318" s="26" t="n">
        <x:v>20</x:v>
      </x:c>
      <x:c r="N318" s="26" t="n">
        <x:v>0</x:v>
      </x:c>
      <x:c r="O318" s="26" t="n">
        <x:f>MAX(M318-N318,0)</x:f>
        <x:v>20</x:v>
      </x:c>
      <x:c r="P318" s="38" t="n">
        <x:f>IFERROR(N318/M318,0)</x:f>
        <x:v>0</x:v>
      </x:c>
      <x:c r="Q318" s="26"/>
      <x:c r="R318" s="26"/>
      <x:c r="S318" s="26" t="str">
        <x:v>Pending Mapping</x:v>
      </x:c>
      <x:c r="T318" s="26"/>
      <x:c r="U318" s="26"/>
      <x:c r="V318" s="26"/>
      <x:c r="W318" s="32"/>
      <x:c r="X318" s="27" t="b">
        <x:v>1</x:v>
      </x:c>
      <x:c r="Y318" s="34" t="n">
        <x:v>46219.853171296294</x:v>
      </x:c>
      <x:c r="Z318" s="26"/>
      <x:c r="AA318" s="26" t="str"/>
      <x:c r="AB318" s="26" t="str">
        <x:v>Activity name/category not included in contribution response</x:v>
      </x:c>
    </x:row>
    <x:row r="319">
      <x:c r="A319" s="26" t="n">
        <x:v>316</x:v>
      </x:c>
      <x:c r="B319" s="26" t="n">
        <x:v>231</x:v>
      </x:c>
      <x:c r="C319" s="26" t="str">
        <x:v>Medak</x:v>
      </x:c>
      <x:c r="D319" s="26" t="n">
        <x:v>14771</x:v>
      </x:c>
      <x:c r="E319" s="26" t="str">
        <x:v>PRJ-2026-0014771</x:v>
      </x:c>
      <x:c r="F319" s="26" t="str">
        <x:v>AWC Upgradation Bandamedipally</x:v>
      </x:c>
      <x:c r="G319" s="26" t="n">
        <x:v>612</x:v>
      </x:c>
      <x:c r="H319" s="26" t="n">
        <x:v>60735</x:v>
      </x:c>
      <x:c r="I319" s="26"/>
      <x:c r="J319" s="26"/>
      <x:c r="K319" s="26"/>
      <x:c r="L319" s="26" t="n">
        <x:v>2</x:v>
      </x:c>
      <x:c r="M319" s="26" t="n">
        <x:v>2</x:v>
      </x:c>
      <x:c r="N319" s="26" t="n">
        <x:v>0</x:v>
      </x:c>
      <x:c r="O319" s="26" t="n">
        <x:f>MAX(M319-N319,0)</x:f>
        <x:v>2</x:v>
      </x:c>
      <x:c r="P319" s="38" t="n">
        <x:f>IFERROR(N319/M319,0)</x:f>
        <x:v>0</x:v>
      </x:c>
      <x:c r="Q319" s="26"/>
      <x:c r="R319" s="26"/>
      <x:c r="S319" s="26" t="str">
        <x:v>Pending Mapping</x:v>
      </x:c>
      <x:c r="T319" s="26"/>
      <x:c r="U319" s="26"/>
      <x:c r="V319" s="26"/>
      <x:c r="W319" s="32"/>
      <x:c r="X319" s="27" t="b">
        <x:v>1</x:v>
      </x:c>
      <x:c r="Y319" s="34" t="n">
        <x:v>46219.853171296294</x:v>
      </x:c>
      <x:c r="Z319" s="26"/>
      <x:c r="AA319" s="26" t="str"/>
      <x:c r="AB319" s="26" t="str">
        <x:v>Activity name/category not included in contribution response</x:v>
      </x:c>
    </x:row>
    <x:row r="320">
      <x:c r="A320" s="26" t="n">
        <x:v>317</x:v>
      </x:c>
      <x:c r="B320" s="26" t="n">
        <x:v>231</x:v>
      </x:c>
      <x:c r="C320" s="26" t="str">
        <x:v>Medak</x:v>
      </x:c>
      <x:c r="D320" s="26" t="n">
        <x:v>14771</x:v>
      </x:c>
      <x:c r="E320" s="26" t="str">
        <x:v>PRJ-2026-0014771</x:v>
      </x:c>
      <x:c r="F320" s="26" t="str">
        <x:v>AWC Upgradation Bandamedipally</x:v>
      </x:c>
      <x:c r="G320" s="26" t="n">
        <x:v>613</x:v>
      </x:c>
      <x:c r="H320" s="26" t="n">
        <x:v>60736</x:v>
      </x:c>
      <x:c r="I320" s="26"/>
      <x:c r="J320" s="26"/>
      <x:c r="K320" s="26"/>
      <x:c r="L320" s="26" t="n">
        <x:v>4</x:v>
      </x:c>
      <x:c r="M320" s="26" t="n">
        <x:v>4</x:v>
      </x:c>
      <x:c r="N320" s="26" t="n">
        <x:v>0</x:v>
      </x:c>
      <x:c r="O320" s="26" t="n">
        <x:f>MAX(M320-N320,0)</x:f>
        <x:v>4</x:v>
      </x:c>
      <x:c r="P320" s="38" t="n">
        <x:f>IFERROR(N320/M320,0)</x:f>
        <x:v>0</x:v>
      </x:c>
      <x:c r="Q320" s="26"/>
      <x:c r="R320" s="26"/>
      <x:c r="S320" s="26" t="str">
        <x:v>Pending Mapping</x:v>
      </x:c>
      <x:c r="T320" s="26"/>
      <x:c r="U320" s="26"/>
      <x:c r="V320" s="26"/>
      <x:c r="W320" s="32"/>
      <x:c r="X320" s="27" t="b">
        <x:v>1</x:v>
      </x:c>
      <x:c r="Y320" s="34" t="n">
        <x:v>46219.853171296294</x:v>
      </x:c>
      <x:c r="Z320" s="26"/>
      <x:c r="AA320" s="26" t="str"/>
      <x:c r="AB320" s="26" t="str">
        <x:v>Activity name/category not included in contribution response</x:v>
      </x:c>
    </x:row>
    <x:row r="321">
      <x:c r="A321" s="26" t="n">
        <x:v>318</x:v>
      </x:c>
      <x:c r="B321" s="26" t="n">
        <x:v>231</x:v>
      </x:c>
      <x:c r="C321" s="26" t="str">
        <x:v>Medak</x:v>
      </x:c>
      <x:c r="D321" s="26" t="n">
        <x:v>14771</x:v>
      </x:c>
      <x:c r="E321" s="26" t="str">
        <x:v>PRJ-2026-0014771</x:v>
      </x:c>
      <x:c r="F321" s="26" t="str">
        <x:v>AWC Upgradation Bandamedipally</x:v>
      </x:c>
      <x:c r="G321" s="26" t="n">
        <x:v>614</x:v>
      </x:c>
      <x:c r="H321" s="26" t="n">
        <x:v>60737</x:v>
      </x:c>
      <x:c r="I321" s="26"/>
      <x:c r="J321" s="26"/>
      <x:c r="K321" s="26"/>
      <x:c r="L321" s="26" t="n">
        <x:v>1</x:v>
      </x:c>
      <x:c r="M321" s="26" t="n">
        <x:v>1</x:v>
      </x:c>
      <x:c r="N321" s="26" t="n">
        <x:v>0</x:v>
      </x:c>
      <x:c r="O321" s="26" t="n">
        <x:f>MAX(M321-N321,0)</x:f>
        <x:v>1</x:v>
      </x:c>
      <x:c r="P321" s="38" t="n">
        <x:f>IFERROR(N321/M321,0)</x:f>
        <x:v>0</x:v>
      </x:c>
      <x:c r="Q321" s="26"/>
      <x:c r="R321" s="26"/>
      <x:c r="S321" s="26" t="str">
        <x:v>Pending Mapping</x:v>
      </x:c>
      <x:c r="T321" s="26"/>
      <x:c r="U321" s="26"/>
      <x:c r="V321" s="26"/>
      <x:c r="W321" s="32"/>
      <x:c r="X321" s="27" t="b">
        <x:v>1</x:v>
      </x:c>
      <x:c r="Y321" s="34" t="n">
        <x:v>46219.853171296294</x:v>
      </x:c>
      <x:c r="Z321" s="26"/>
      <x:c r="AA321" s="26" t="str"/>
      <x:c r="AB321" s="26" t="str">
        <x:v>Activity name/category not included in contribution response</x:v>
      </x:c>
    </x:row>
    <x:row r="322">
      <x:c r="A322" s="26" t="n">
        <x:v>319</x:v>
      </x:c>
      <x:c r="B322" s="26" t="n">
        <x:v>229</x:v>
      </x:c>
      <x:c r="C322" s="26" t="str">
        <x:v>Medak</x:v>
      </x:c>
      <x:c r="D322" s="26" t="n">
        <x:v>114082</x:v>
      </x:c>
      <x:c r="E322" s="26" t="str">
        <x:v>PRJ-2026-0114082</x:v>
      </x:c>
      <x:c r="F322" s="26" t="str">
        <x:v>AWC Upgradation of Komatipally-2</x:v>
      </x:c>
      <x:c r="G322" s="26" t="n">
        <x:v>598</x:v>
      </x:c>
      <x:c r="H322" s="26" t="n">
        <x:v>388740</x:v>
      </x:c>
      <x:c r="I322" s="26"/>
      <x:c r="J322" s="26"/>
      <x:c r="K322" s="26"/>
      <x:c r="L322" s="26" t="n">
        <x:v>1</x:v>
      </x:c>
      <x:c r="M322" s="26" t="n">
        <x:v>1</x:v>
      </x:c>
      <x:c r="N322" s="26" t="n">
        <x:v>0</x:v>
      </x:c>
      <x:c r="O322" s="26" t="n">
        <x:f>MAX(M322-N322,0)</x:f>
        <x:v>1</x:v>
      </x:c>
      <x:c r="P322" s="38" t="n">
        <x:f>IFERROR(N322/M322,0)</x:f>
        <x:v>0</x:v>
      </x:c>
      <x:c r="Q322" s="26"/>
      <x:c r="R322" s="26"/>
      <x:c r="S322" s="26" t="str">
        <x:v>Pending Mapping</x:v>
      </x:c>
      <x:c r="T322" s="26"/>
      <x:c r="U322" s="26"/>
      <x:c r="V322" s="26"/>
      <x:c r="W322" s="32"/>
      <x:c r="X322" s="27" t="b">
        <x:v>1</x:v>
      </x:c>
      <x:c r="Y322" s="34" t="n">
        <x:v>46219.853159722225</x:v>
      </x:c>
      <x:c r="Z322" s="26"/>
      <x:c r="AA322" s="26" t="str"/>
      <x:c r="AB322" s="26" t="str">
        <x:v>Activity name/category not included in contribution response</x:v>
      </x:c>
    </x:row>
    <x:row r="323">
      <x:c r="A323" s="26" t="n">
        <x:v>320</x:v>
      </x:c>
      <x:c r="B323" s="26" t="n">
        <x:v>229</x:v>
      </x:c>
      <x:c r="C323" s="26" t="str">
        <x:v>Medak</x:v>
      </x:c>
      <x:c r="D323" s="26" t="n">
        <x:v>114082</x:v>
      </x:c>
      <x:c r="E323" s="26" t="str">
        <x:v>PRJ-2026-0114082</x:v>
      </x:c>
      <x:c r="F323" s="26" t="str">
        <x:v>AWC Upgradation of Komatipally-2</x:v>
      </x:c>
      <x:c r="G323" s="26" t="n">
        <x:v>599</x:v>
      </x:c>
      <x:c r="H323" s="26" t="n">
        <x:v>388741</x:v>
      </x:c>
      <x:c r="I323" s="26"/>
      <x:c r="J323" s="26"/>
      <x:c r="K323" s="26"/>
      <x:c r="L323" s="26" t="n">
        <x:v>2</x:v>
      </x:c>
      <x:c r="M323" s="26" t="n">
        <x:v>2</x:v>
      </x:c>
      <x:c r="N323" s="26" t="n">
        <x:v>0</x:v>
      </x:c>
      <x:c r="O323" s="26" t="n">
        <x:f>MAX(M323-N323,0)</x:f>
        <x:v>2</x:v>
      </x:c>
      <x:c r="P323" s="38" t="n">
        <x:f>IFERROR(N323/M323,0)</x:f>
        <x:v>0</x:v>
      </x:c>
      <x:c r="Q323" s="26"/>
      <x:c r="R323" s="26"/>
      <x:c r="S323" s="26" t="str">
        <x:v>Pending Mapping</x:v>
      </x:c>
      <x:c r="T323" s="26"/>
      <x:c r="U323" s="26"/>
      <x:c r="V323" s="26"/>
      <x:c r="W323" s="32"/>
      <x:c r="X323" s="27" t="b">
        <x:v>1</x:v>
      </x:c>
      <x:c r="Y323" s="34" t="n">
        <x:v>46219.853159722225</x:v>
      </x:c>
      <x:c r="Z323" s="26"/>
      <x:c r="AA323" s="26" t="str"/>
      <x:c r="AB323" s="26" t="str">
        <x:v>Activity name/category not included in contribution response</x:v>
      </x:c>
    </x:row>
    <x:row r="324">
      <x:c r="A324" s="26" t="n">
        <x:v>321</x:v>
      </x:c>
      <x:c r="B324" s="26" t="n">
        <x:v>229</x:v>
      </x:c>
      <x:c r="C324" s="26" t="str">
        <x:v>Medak</x:v>
      </x:c>
      <x:c r="D324" s="26" t="n">
        <x:v>114082</x:v>
      </x:c>
      <x:c r="E324" s="26" t="str">
        <x:v>PRJ-2026-0114082</x:v>
      </x:c>
      <x:c r="F324" s="26" t="str">
        <x:v>AWC Upgradation of Komatipally-2</x:v>
      </x:c>
      <x:c r="G324" s="26" t="n">
        <x:v>600</x:v>
      </x:c>
      <x:c r="H324" s="26" t="n">
        <x:v>388742</x:v>
      </x:c>
      <x:c r="I324" s="26"/>
      <x:c r="J324" s="26"/>
      <x:c r="K324" s="26"/>
      <x:c r="L324" s="26" t="n">
        <x:v>20</x:v>
      </x:c>
      <x:c r="M324" s="26" t="n">
        <x:v>20</x:v>
      </x:c>
      <x:c r="N324" s="26" t="n">
        <x:v>0</x:v>
      </x:c>
      <x:c r="O324" s="26" t="n">
        <x:f>MAX(M324-N324,0)</x:f>
        <x:v>20</x:v>
      </x:c>
      <x:c r="P324" s="38" t="n">
        <x:f>IFERROR(N324/M324,0)</x:f>
        <x:v>0</x:v>
      </x:c>
      <x:c r="Q324" s="26"/>
      <x:c r="R324" s="26"/>
      <x:c r="S324" s="26" t="str">
        <x:v>Pending Mapping</x:v>
      </x:c>
      <x:c r="T324" s="26"/>
      <x:c r="U324" s="26"/>
      <x:c r="V324" s="26"/>
      <x:c r="W324" s="32"/>
      <x:c r="X324" s="27" t="b">
        <x:v>1</x:v>
      </x:c>
      <x:c r="Y324" s="34" t="n">
        <x:v>46219.853159722225</x:v>
      </x:c>
      <x:c r="Z324" s="26"/>
      <x:c r="AA324" s="26" t="str"/>
      <x:c r="AB324" s="26" t="str">
        <x:v>Activity name/category not included in contribution response</x:v>
      </x:c>
    </x:row>
    <x:row r="325">
      <x:c r="A325" s="26" t="n">
        <x:v>322</x:v>
      </x:c>
      <x:c r="B325" s="26" t="n">
        <x:v>229</x:v>
      </x:c>
      <x:c r="C325" s="26" t="str">
        <x:v>Medak</x:v>
      </x:c>
      <x:c r="D325" s="26" t="n">
        <x:v>114082</x:v>
      </x:c>
      <x:c r="E325" s="26" t="str">
        <x:v>PRJ-2026-0114082</x:v>
      </x:c>
      <x:c r="F325" s="26" t="str">
        <x:v>AWC Upgradation of Komatipally-2</x:v>
      </x:c>
      <x:c r="G325" s="26" t="n">
        <x:v>601</x:v>
      </x:c>
      <x:c r="H325" s="26" t="n">
        <x:v>388743</x:v>
      </x:c>
      <x:c r="I325" s="26"/>
      <x:c r="J325" s="26"/>
      <x:c r="K325" s="26"/>
      <x:c r="L325" s="26" t="n">
        <x:v>2</x:v>
      </x:c>
      <x:c r="M325" s="26" t="n">
        <x:v>2</x:v>
      </x:c>
      <x:c r="N325" s="26" t="n">
        <x:v>0</x:v>
      </x:c>
      <x:c r="O325" s="26" t="n">
        <x:f>MAX(M325-N325,0)</x:f>
        <x:v>2</x:v>
      </x:c>
      <x:c r="P325" s="38" t="n">
        <x:f>IFERROR(N325/M325,0)</x:f>
        <x:v>0</x:v>
      </x:c>
      <x:c r="Q325" s="26"/>
      <x:c r="R325" s="26"/>
      <x:c r="S325" s="26" t="str">
        <x:v>Pending Mapping</x:v>
      </x:c>
      <x:c r="T325" s="26"/>
      <x:c r="U325" s="26"/>
      <x:c r="V325" s="26"/>
      <x:c r="W325" s="32"/>
      <x:c r="X325" s="27" t="b">
        <x:v>1</x:v>
      </x:c>
      <x:c r="Y325" s="34" t="n">
        <x:v>46219.853159722225</x:v>
      </x:c>
      <x:c r="Z325" s="26"/>
      <x:c r="AA325" s="26" t="str"/>
      <x:c r="AB325" s="26" t="str">
        <x:v>Activity name/category not included in contribution response</x:v>
      </x:c>
    </x:row>
    <x:row r="326">
      <x:c r="A326" s="26" t="n">
        <x:v>323</x:v>
      </x:c>
      <x:c r="B326" s="26" t="n">
        <x:v>229</x:v>
      </x:c>
      <x:c r="C326" s="26" t="str">
        <x:v>Medak</x:v>
      </x:c>
      <x:c r="D326" s="26" t="n">
        <x:v>114082</x:v>
      </x:c>
      <x:c r="E326" s="26" t="str">
        <x:v>PRJ-2026-0114082</x:v>
      </x:c>
      <x:c r="F326" s="26" t="str">
        <x:v>AWC Upgradation of Komatipally-2</x:v>
      </x:c>
      <x:c r="G326" s="26" t="n">
        <x:v>602</x:v>
      </x:c>
      <x:c r="H326" s="26" t="n">
        <x:v>388744</x:v>
      </x:c>
      <x:c r="I326" s="26"/>
      <x:c r="J326" s="26"/>
      <x:c r="K326" s="26"/>
      <x:c r="L326" s="26" t="n">
        <x:v>3</x:v>
      </x:c>
      <x:c r="M326" s="26" t="n">
        <x:v>3</x:v>
      </x:c>
      <x:c r="N326" s="26" t="n">
        <x:v>0</x:v>
      </x:c>
      <x:c r="O326" s="26" t="n">
        <x:f>MAX(M326-N326,0)</x:f>
        <x:v>3</x:v>
      </x:c>
      <x:c r="P326" s="38" t="n">
        <x:f>IFERROR(N326/M326,0)</x:f>
        <x:v>0</x:v>
      </x:c>
      <x:c r="Q326" s="26"/>
      <x:c r="R326" s="26"/>
      <x:c r="S326" s="26" t="str">
        <x:v>Pending Mapping</x:v>
      </x:c>
      <x:c r="T326" s="26"/>
      <x:c r="U326" s="26"/>
      <x:c r="V326" s="26"/>
      <x:c r="W326" s="32"/>
      <x:c r="X326" s="27" t="b">
        <x:v>1</x:v>
      </x:c>
      <x:c r="Y326" s="34" t="n">
        <x:v>46219.853159722225</x:v>
      </x:c>
      <x:c r="Z326" s="26"/>
      <x:c r="AA326" s="26" t="str"/>
      <x:c r="AB326" s="26" t="str">
        <x:v>Activity name/category not included in contribution response</x:v>
      </x:c>
    </x:row>
    <x:row r="327">
      <x:c r="A327" s="26" t="n">
        <x:v>324</x:v>
      </x:c>
      <x:c r="B327" s="26" t="n">
        <x:v>229</x:v>
      </x:c>
      <x:c r="C327" s="26" t="str">
        <x:v>Medak</x:v>
      </x:c>
      <x:c r="D327" s="26" t="n">
        <x:v>114082</x:v>
      </x:c>
      <x:c r="E327" s="26" t="str">
        <x:v>PRJ-2026-0114082</x:v>
      </x:c>
      <x:c r="F327" s="26" t="str">
        <x:v>AWC Upgradation of Komatipally-2</x:v>
      </x:c>
      <x:c r="G327" s="26" t="n">
        <x:v>603</x:v>
      </x:c>
      <x:c r="H327" s="26" t="n">
        <x:v>388745</x:v>
      </x:c>
      <x:c r="I327" s="26"/>
      <x:c r="J327" s="26"/>
      <x:c r="K327" s="26"/>
      <x:c r="L327" s="26" t="n">
        <x:v>1</x:v>
      </x:c>
      <x:c r="M327" s="26" t="n">
        <x:v>1</x:v>
      </x:c>
      <x:c r="N327" s="26" t="n">
        <x:v>0</x:v>
      </x:c>
      <x:c r="O327" s="26" t="n">
        <x:f>MAX(M327-N327,0)</x:f>
        <x:v>1</x:v>
      </x:c>
      <x:c r="P327" s="38" t="n">
        <x:f>IFERROR(N327/M327,0)</x:f>
        <x:v>0</x:v>
      </x:c>
      <x:c r="Q327" s="26"/>
      <x:c r="R327" s="26"/>
      <x:c r="S327" s="26" t="str">
        <x:v>Pending Mapping</x:v>
      </x:c>
      <x:c r="T327" s="26"/>
      <x:c r="U327" s="26"/>
      <x:c r="V327" s="26"/>
      <x:c r="W327" s="32"/>
      <x:c r="X327" s="27" t="b">
        <x:v>1</x:v>
      </x:c>
      <x:c r="Y327" s="34" t="n">
        <x:v>46219.853159722225</x:v>
      </x:c>
      <x:c r="Z327" s="26"/>
      <x:c r="AA327" s="26" t="str"/>
      <x:c r="AB327" s="26" t="str">
        <x:v>Activity name/category not included in contribution response</x:v>
      </x:c>
    </x:row>
    <x:row r="328">
      <x:c r="A328" s="26" t="n">
        <x:v>325</x:v>
      </x:c>
      <x:c r="B328" s="26" t="n">
        <x:v>230</x:v>
      </x:c>
      <x:c r="C328" s="26" t="str">
        <x:v>Medak</x:v>
      </x:c>
      <x:c r="D328" s="26" t="n">
        <x:v>114017</x:v>
      </x:c>
      <x:c r="E328" s="26" t="str">
        <x:v>PRJ-2026-0114017</x:v>
      </x:c>
      <x:c r="F328" s="26" t="str">
        <x:v>AWC Upgradation of Cheriapally</x:v>
      </x:c>
      <x:c r="G328" s="26" t="n">
        <x:v>604</x:v>
      </x:c>
      <x:c r="H328" s="26" t="n">
        <x:v>388517</x:v>
      </x:c>
      <x:c r="I328" s="26"/>
      <x:c r="J328" s="26"/>
      <x:c r="K328" s="26"/>
      <x:c r="L328" s="26" t="n">
        <x:v>1</x:v>
      </x:c>
      <x:c r="M328" s="26" t="n">
        <x:v>1</x:v>
      </x:c>
      <x:c r="N328" s="26" t="n">
        <x:v>0</x:v>
      </x:c>
      <x:c r="O328" s="26" t="n">
        <x:f>MAX(M328-N328,0)</x:f>
        <x:v>1</x:v>
      </x:c>
      <x:c r="P328" s="38" t="n">
        <x:f>IFERROR(N328/M328,0)</x:f>
        <x:v>0</x:v>
      </x:c>
      <x:c r="Q328" s="26"/>
      <x:c r="R328" s="26"/>
      <x:c r="S328" s="26" t="str">
        <x:v>Pending Mapping</x:v>
      </x:c>
      <x:c r="T328" s="26"/>
      <x:c r="U328" s="26"/>
      <x:c r="V328" s="26"/>
      <x:c r="W328" s="32"/>
      <x:c r="X328" s="27" t="b">
        <x:v>1</x:v>
      </x:c>
      <x:c r="Y328" s="34" t="n">
        <x:v>46219.853159722225</x:v>
      </x:c>
      <x:c r="Z328" s="26"/>
      <x:c r="AA328" s="26" t="str"/>
      <x:c r="AB328" s="26" t="str">
        <x:v>Activity name/category not included in contribution response</x:v>
      </x:c>
    </x:row>
    <x:row r="329">
      <x:c r="A329" s="26" t="n">
        <x:v>326</x:v>
      </x:c>
      <x:c r="B329" s="26" t="n">
        <x:v>230</x:v>
      </x:c>
      <x:c r="C329" s="26" t="str">
        <x:v>Medak</x:v>
      </x:c>
      <x:c r="D329" s="26" t="n">
        <x:v>114017</x:v>
      </x:c>
      <x:c r="E329" s="26" t="str">
        <x:v>PRJ-2026-0114017</x:v>
      </x:c>
      <x:c r="F329" s="26" t="str">
        <x:v>AWC Upgradation of Cheriapally</x:v>
      </x:c>
      <x:c r="G329" s="26" t="n">
        <x:v>605</x:v>
      </x:c>
      <x:c r="H329" s="26" t="n">
        <x:v>388518</x:v>
      </x:c>
      <x:c r="I329" s="26"/>
      <x:c r="J329" s="26"/>
      <x:c r="K329" s="26"/>
      <x:c r="L329" s="26" t="n">
        <x:v>2</x:v>
      </x:c>
      <x:c r="M329" s="26" t="n">
        <x:v>2</x:v>
      </x:c>
      <x:c r="N329" s="26" t="n">
        <x:v>0</x:v>
      </x:c>
      <x:c r="O329" s="26" t="n">
        <x:f>MAX(M329-N329,0)</x:f>
        <x:v>2</x:v>
      </x:c>
      <x:c r="P329" s="38" t="n">
        <x:f>IFERROR(N329/M329,0)</x:f>
        <x:v>0</x:v>
      </x:c>
      <x:c r="Q329" s="26"/>
      <x:c r="R329" s="26"/>
      <x:c r="S329" s="26" t="str">
        <x:v>Pending Mapping</x:v>
      </x:c>
      <x:c r="T329" s="26"/>
      <x:c r="U329" s="26"/>
      <x:c r="V329" s="26"/>
      <x:c r="W329" s="32"/>
      <x:c r="X329" s="27" t="b">
        <x:v>1</x:v>
      </x:c>
      <x:c r="Y329" s="34" t="n">
        <x:v>46219.853159722225</x:v>
      </x:c>
      <x:c r="Z329" s="26"/>
      <x:c r="AA329" s="26" t="str"/>
      <x:c r="AB329" s="26" t="str">
        <x:v>Activity name/category not included in contribution response</x:v>
      </x:c>
    </x:row>
    <x:row r="330">
      <x:c r="A330" s="26" t="n">
        <x:v>327</x:v>
      </x:c>
      <x:c r="B330" s="26" t="n">
        <x:v>230</x:v>
      </x:c>
      <x:c r="C330" s="26" t="str">
        <x:v>Medak</x:v>
      </x:c>
      <x:c r="D330" s="26" t="n">
        <x:v>114017</x:v>
      </x:c>
      <x:c r="E330" s="26" t="str">
        <x:v>PRJ-2026-0114017</x:v>
      </x:c>
      <x:c r="F330" s="26" t="str">
        <x:v>AWC Upgradation of Cheriapally</x:v>
      </x:c>
      <x:c r="G330" s="26" t="n">
        <x:v>606</x:v>
      </x:c>
      <x:c r="H330" s="26" t="n">
        <x:v>388519</x:v>
      </x:c>
      <x:c r="I330" s="26"/>
      <x:c r="J330" s="26"/>
      <x:c r="K330" s="26"/>
      <x:c r="L330" s="26" t="n">
        <x:v>20</x:v>
      </x:c>
      <x:c r="M330" s="26" t="n">
        <x:v>20</x:v>
      </x:c>
      <x:c r="N330" s="26" t="n">
        <x:v>0</x:v>
      </x:c>
      <x:c r="O330" s="26" t="n">
        <x:f>MAX(M330-N330,0)</x:f>
        <x:v>20</x:v>
      </x:c>
      <x:c r="P330" s="38" t="n">
        <x:f>IFERROR(N330/M330,0)</x:f>
        <x:v>0</x:v>
      </x:c>
      <x:c r="Q330" s="26"/>
      <x:c r="R330" s="26"/>
      <x:c r="S330" s="26" t="str">
        <x:v>Pending Mapping</x:v>
      </x:c>
      <x:c r="T330" s="26"/>
      <x:c r="U330" s="26"/>
      <x:c r="V330" s="26"/>
      <x:c r="W330" s="32"/>
      <x:c r="X330" s="27" t="b">
        <x:v>1</x:v>
      </x:c>
      <x:c r="Y330" s="34" t="n">
        <x:v>46219.853159722225</x:v>
      </x:c>
      <x:c r="Z330" s="26"/>
      <x:c r="AA330" s="26" t="str"/>
      <x:c r="AB330" s="26" t="str">
        <x:v>Activity name/category not included in contribution response</x:v>
      </x:c>
    </x:row>
    <x:row r="331">
      <x:c r="A331" s="26" t="n">
        <x:v>328</x:v>
      </x:c>
      <x:c r="B331" s="26" t="n">
        <x:v>230</x:v>
      </x:c>
      <x:c r="C331" s="26" t="str">
        <x:v>Medak</x:v>
      </x:c>
      <x:c r="D331" s="26" t="n">
        <x:v>114017</x:v>
      </x:c>
      <x:c r="E331" s="26" t="str">
        <x:v>PRJ-2026-0114017</x:v>
      </x:c>
      <x:c r="F331" s="26" t="str">
        <x:v>AWC Upgradation of Cheriapally</x:v>
      </x:c>
      <x:c r="G331" s="26" t="n">
        <x:v>607</x:v>
      </x:c>
      <x:c r="H331" s="26" t="n">
        <x:v>388520</x:v>
      </x:c>
      <x:c r="I331" s="26"/>
      <x:c r="J331" s="26"/>
      <x:c r="K331" s="26"/>
      <x:c r="L331" s="26" t="n">
        <x:v>2</x:v>
      </x:c>
      <x:c r="M331" s="26" t="n">
        <x:v>2</x:v>
      </x:c>
      <x:c r="N331" s="26" t="n">
        <x:v>0</x:v>
      </x:c>
      <x:c r="O331" s="26" t="n">
        <x:f>MAX(M331-N331,0)</x:f>
        <x:v>2</x:v>
      </x:c>
      <x:c r="P331" s="38" t="n">
        <x:f>IFERROR(N331/M331,0)</x:f>
        <x:v>0</x:v>
      </x:c>
      <x:c r="Q331" s="26"/>
      <x:c r="R331" s="26"/>
      <x:c r="S331" s="26" t="str">
        <x:v>Pending Mapping</x:v>
      </x:c>
      <x:c r="T331" s="26"/>
      <x:c r="U331" s="26"/>
      <x:c r="V331" s="26"/>
      <x:c r="W331" s="32"/>
      <x:c r="X331" s="27" t="b">
        <x:v>1</x:v>
      </x:c>
      <x:c r="Y331" s="34" t="n">
        <x:v>46219.853159722225</x:v>
      </x:c>
      <x:c r="Z331" s="26"/>
      <x:c r="AA331" s="26" t="str"/>
      <x:c r="AB331" s="26" t="str">
        <x:v>Activity name/category not included in contribution response</x:v>
      </x:c>
    </x:row>
    <x:row r="332">
      <x:c r="A332" s="26" t="n">
        <x:v>329</x:v>
      </x:c>
      <x:c r="B332" s="26" t="n">
        <x:v>230</x:v>
      </x:c>
      <x:c r="C332" s="26" t="str">
        <x:v>Medak</x:v>
      </x:c>
      <x:c r="D332" s="26" t="n">
        <x:v>114017</x:v>
      </x:c>
      <x:c r="E332" s="26" t="str">
        <x:v>PRJ-2026-0114017</x:v>
      </x:c>
      <x:c r="F332" s="26" t="str">
        <x:v>AWC Upgradation of Cheriapally</x:v>
      </x:c>
      <x:c r="G332" s="26" t="n">
        <x:v>608</x:v>
      </x:c>
      <x:c r="H332" s="26" t="n">
        <x:v>388521</x:v>
      </x:c>
      <x:c r="I332" s="26"/>
      <x:c r="J332" s="26"/>
      <x:c r="K332" s="26"/>
      <x:c r="L332" s="26" t="n">
        <x:v>1</x:v>
      </x:c>
      <x:c r="M332" s="26" t="n">
        <x:v>1</x:v>
      </x:c>
      <x:c r="N332" s="26" t="n">
        <x:v>0</x:v>
      </x:c>
      <x:c r="O332" s="26" t="n">
        <x:f>MAX(M332-N332,0)</x:f>
        <x:v>1</x:v>
      </x:c>
      <x:c r="P332" s="38" t="n">
        <x:f>IFERROR(N332/M332,0)</x:f>
        <x:v>0</x:v>
      </x:c>
      <x:c r="Q332" s="26"/>
      <x:c r="R332" s="26"/>
      <x:c r="S332" s="26" t="str">
        <x:v>Pending Mapping</x:v>
      </x:c>
      <x:c r="T332" s="26"/>
      <x:c r="U332" s="26"/>
      <x:c r="V332" s="26"/>
      <x:c r="W332" s="32"/>
      <x:c r="X332" s="27" t="b">
        <x:v>1</x:v>
      </x:c>
      <x:c r="Y332" s="34" t="n">
        <x:v>46219.853159722225</x:v>
      </x:c>
      <x:c r="Z332" s="26"/>
      <x:c r="AA332" s="26" t="str"/>
      <x:c r="AB332" s="26" t="str">
        <x:v>Activity name/category not included in contribution response</x:v>
      </x:c>
    </x:row>
    <x:row r="333">
      <x:c r="A333" s="26" t="n">
        <x:v>330</x:v>
      </x:c>
      <x:c r="B333" s="26" t="n">
        <x:v>230</x:v>
      </x:c>
      <x:c r="C333" s="26" t="str">
        <x:v>Medak</x:v>
      </x:c>
      <x:c r="D333" s="26" t="n">
        <x:v>114017</x:v>
      </x:c>
      <x:c r="E333" s="26" t="str">
        <x:v>PRJ-2026-0114017</x:v>
      </x:c>
      <x:c r="F333" s="26" t="str">
        <x:v>AWC Upgradation of Cheriapally</x:v>
      </x:c>
      <x:c r="G333" s="26" t="n">
        <x:v>609</x:v>
      </x:c>
      <x:c r="H333" s="26" t="n">
        <x:v>388522</x:v>
      </x:c>
      <x:c r="I333" s="26"/>
      <x:c r="J333" s="26"/>
      <x:c r="K333" s="26"/>
      <x:c r="L333" s="26" t="n">
        <x:v>1</x:v>
      </x:c>
      <x:c r="M333" s="26" t="n">
        <x:v>1</x:v>
      </x:c>
      <x:c r="N333" s="26" t="n">
        <x:v>0</x:v>
      </x:c>
      <x:c r="O333" s="26" t="n">
        <x:f>MAX(M333-N333,0)</x:f>
        <x:v>1</x:v>
      </x:c>
      <x:c r="P333" s="38" t="n">
        <x:f>IFERROR(N333/M333,0)</x:f>
        <x:v>0</x:v>
      </x:c>
      <x:c r="Q333" s="26"/>
      <x:c r="R333" s="26"/>
      <x:c r="S333" s="26" t="str">
        <x:v>Pending Mapping</x:v>
      </x:c>
      <x:c r="T333" s="26"/>
      <x:c r="U333" s="26"/>
      <x:c r="V333" s="26"/>
      <x:c r="W333" s="32"/>
      <x:c r="X333" s="27" t="b">
        <x:v>1</x:v>
      </x:c>
      <x:c r="Y333" s="34" t="n">
        <x:v>46219.853159722225</x:v>
      </x:c>
      <x:c r="Z333" s="26"/>
      <x:c r="AA333" s="26" t="str"/>
      <x:c r="AB333" s="26" t="str">
        <x:v>Activity name/category not included in contribution response</x:v>
      </x:c>
    </x:row>
    <x:row r="334">
      <x:c r="A334" s="26" t="n">
        <x:v>331</x:v>
      </x:c>
      <x:c r="B334" s="26" t="n">
        <x:v>227</x:v>
      </x:c>
      <x:c r="C334" s="26" t="str">
        <x:v>Medak</x:v>
      </x:c>
      <x:c r="D334" s="26" t="n">
        <x:v>114202</x:v>
      </x:c>
      <x:c r="E334" s="26" t="str">
        <x:v>PRJ-2026-0114202</x:v>
      </x:c>
      <x:c r="F334" s="26" t="str">
        <x:v>AWC Upgradation of Manepally</x:v>
      </x:c>
      <x:c r="G334" s="26" t="n">
        <x:v>590</x:v>
      </x:c>
      <x:c r="H334" s="26" t="n">
        <x:v>389119</x:v>
      </x:c>
      <x:c r="I334" s="26"/>
      <x:c r="J334" s="26"/>
      <x:c r="K334" s="26"/>
      <x:c r="L334" s="26" t="n">
        <x:v>2</x:v>
      </x:c>
      <x:c r="M334" s="26" t="n">
        <x:v>2</x:v>
      </x:c>
      <x:c r="N334" s="26" t="n">
        <x:v>0</x:v>
      </x:c>
      <x:c r="O334" s="26" t="n">
        <x:f>MAX(M334-N334,0)</x:f>
        <x:v>2</x:v>
      </x:c>
      <x:c r="P334" s="38" t="n">
        <x:f>IFERROR(N334/M334,0)</x:f>
        <x:v>0</x:v>
      </x:c>
      <x:c r="Q334" s="26"/>
      <x:c r="R334" s="26"/>
      <x:c r="S334" s="26" t="str">
        <x:v>Pending Mapping</x:v>
      </x:c>
      <x:c r="T334" s="26"/>
      <x:c r="U334" s="26"/>
      <x:c r="V334" s="26"/>
      <x:c r="W334" s="32"/>
      <x:c r="X334" s="27" t="b">
        <x:v>1</x:v>
      </x:c>
      <x:c r="Y334" s="34" t="n">
        <x:v>46219.85314814815</x:v>
      </x:c>
      <x:c r="Z334" s="26"/>
      <x:c r="AA334" s="26" t="str"/>
      <x:c r="AB334" s="26" t="str">
        <x:v>Activity name/category not included in contribution response</x:v>
      </x:c>
    </x:row>
    <x:row r="335">
      <x:c r="A335" s="26" t="n">
        <x:v>332</x:v>
      </x:c>
      <x:c r="B335" s="26" t="n">
        <x:v>227</x:v>
      </x:c>
      <x:c r="C335" s="26" t="str">
        <x:v>Medak</x:v>
      </x:c>
      <x:c r="D335" s="26" t="n">
        <x:v>114202</x:v>
      </x:c>
      <x:c r="E335" s="26" t="str">
        <x:v>PRJ-2026-0114202</x:v>
      </x:c>
      <x:c r="F335" s="26" t="str">
        <x:v>AWC Upgradation of Manepally</x:v>
      </x:c>
      <x:c r="G335" s="26" t="n">
        <x:v>591</x:v>
      </x:c>
      <x:c r="H335" s="26" t="n">
        <x:v>389120</x:v>
      </x:c>
      <x:c r="I335" s="26"/>
      <x:c r="J335" s="26"/>
      <x:c r="K335" s="26"/>
      <x:c r="L335" s="26" t="n">
        <x:v>20</x:v>
      </x:c>
      <x:c r="M335" s="26" t="n">
        <x:v>20</x:v>
      </x:c>
      <x:c r="N335" s="26" t="n">
        <x:v>0</x:v>
      </x:c>
      <x:c r="O335" s="26" t="n">
        <x:f>MAX(M335-N335,0)</x:f>
        <x:v>20</x:v>
      </x:c>
      <x:c r="P335" s="38" t="n">
        <x:f>IFERROR(N335/M335,0)</x:f>
        <x:v>0</x:v>
      </x:c>
      <x:c r="Q335" s="26"/>
      <x:c r="R335" s="26"/>
      <x:c r="S335" s="26" t="str">
        <x:v>Pending Mapping</x:v>
      </x:c>
      <x:c r="T335" s="26"/>
      <x:c r="U335" s="26"/>
      <x:c r="V335" s="26"/>
      <x:c r="W335" s="32"/>
      <x:c r="X335" s="27" t="b">
        <x:v>1</x:v>
      </x:c>
      <x:c r="Y335" s="34" t="n">
        <x:v>46219.85314814815</x:v>
      </x:c>
      <x:c r="Z335" s="26"/>
      <x:c r="AA335" s="26" t="str"/>
      <x:c r="AB335" s="26" t="str">
        <x:v>Activity name/category not included in contribution response</x:v>
      </x:c>
    </x:row>
    <x:row r="336">
      <x:c r="A336" s="26" t="n">
        <x:v>333</x:v>
      </x:c>
      <x:c r="B336" s="26" t="n">
        <x:v>227</x:v>
      </x:c>
      <x:c r="C336" s="26" t="str">
        <x:v>Medak</x:v>
      </x:c>
      <x:c r="D336" s="26" t="n">
        <x:v>114202</x:v>
      </x:c>
      <x:c r="E336" s="26" t="str">
        <x:v>PRJ-2026-0114202</x:v>
      </x:c>
      <x:c r="F336" s="26" t="str">
        <x:v>AWC Upgradation of Manepally</x:v>
      </x:c>
      <x:c r="G336" s="26" t="n">
        <x:v>592</x:v>
      </x:c>
      <x:c r="H336" s="26" t="n">
        <x:v>389121</x:v>
      </x:c>
      <x:c r="I336" s="26"/>
      <x:c r="J336" s="26"/>
      <x:c r="K336" s="26"/>
      <x:c r="L336" s="26" t="n">
        <x:v>2</x:v>
      </x:c>
      <x:c r="M336" s="26" t="n">
        <x:v>2</x:v>
      </x:c>
      <x:c r="N336" s="26" t="n">
        <x:v>0</x:v>
      </x:c>
      <x:c r="O336" s="26" t="n">
        <x:f>MAX(M336-N336,0)</x:f>
        <x:v>2</x:v>
      </x:c>
      <x:c r="P336" s="38" t="n">
        <x:f>IFERROR(N336/M336,0)</x:f>
        <x:v>0</x:v>
      </x:c>
      <x:c r="Q336" s="26"/>
      <x:c r="R336" s="26"/>
      <x:c r="S336" s="26" t="str">
        <x:v>Pending Mapping</x:v>
      </x:c>
      <x:c r="T336" s="26"/>
      <x:c r="U336" s="26"/>
      <x:c r="V336" s="26"/>
      <x:c r="W336" s="32"/>
      <x:c r="X336" s="27" t="b">
        <x:v>1</x:v>
      </x:c>
      <x:c r="Y336" s="34" t="n">
        <x:v>46219.85314814815</x:v>
      </x:c>
      <x:c r="Z336" s="26"/>
      <x:c r="AA336" s="26" t="str"/>
      <x:c r="AB336" s="26" t="str">
        <x:v>Activity name/category not included in contribution response</x:v>
      </x:c>
    </x:row>
    <x:row r="337">
      <x:c r="A337" s="26" t="n">
        <x:v>334</x:v>
      </x:c>
      <x:c r="B337" s="26" t="n">
        <x:v>227</x:v>
      </x:c>
      <x:c r="C337" s="26" t="str">
        <x:v>Medak</x:v>
      </x:c>
      <x:c r="D337" s="26" t="n">
        <x:v>114202</x:v>
      </x:c>
      <x:c r="E337" s="26" t="str">
        <x:v>PRJ-2026-0114202</x:v>
      </x:c>
      <x:c r="F337" s="26" t="str">
        <x:v>AWC Upgradation of Manepally</x:v>
      </x:c>
      <x:c r="G337" s="26" t="n">
        <x:v>593</x:v>
      </x:c>
      <x:c r="H337" s="26" t="n">
        <x:v>389122</x:v>
      </x:c>
      <x:c r="I337" s="26"/>
      <x:c r="J337" s="26"/>
      <x:c r="K337" s="26"/>
      <x:c r="L337" s="26" t="n">
        <x:v>4</x:v>
      </x:c>
      <x:c r="M337" s="26" t="n">
        <x:v>4</x:v>
      </x:c>
      <x:c r="N337" s="26" t="n">
        <x:v>0</x:v>
      </x:c>
      <x:c r="O337" s="26" t="n">
        <x:f>MAX(M337-N337,0)</x:f>
        <x:v>4</x:v>
      </x:c>
      <x:c r="P337" s="38" t="n">
        <x:f>IFERROR(N337/M337,0)</x:f>
        <x:v>0</x:v>
      </x:c>
      <x:c r="Q337" s="26"/>
      <x:c r="R337" s="26"/>
      <x:c r="S337" s="26" t="str">
        <x:v>Pending Mapping</x:v>
      </x:c>
      <x:c r="T337" s="26"/>
      <x:c r="U337" s="26"/>
      <x:c r="V337" s="26"/>
      <x:c r="W337" s="32"/>
      <x:c r="X337" s="27" t="b">
        <x:v>1</x:v>
      </x:c>
      <x:c r="Y337" s="34" t="n">
        <x:v>46219.85314814815</x:v>
      </x:c>
      <x:c r="Z337" s="26"/>
      <x:c r="AA337" s="26" t="str"/>
      <x:c r="AB337" s="26" t="str">
        <x:v>Activity name/category not included in contribution response</x:v>
      </x:c>
    </x:row>
    <x:row r="338">
      <x:c r="A338" s="26" t="n">
        <x:v>335</x:v>
      </x:c>
      <x:c r="B338" s="26" t="n">
        <x:v>228</x:v>
      </x:c>
      <x:c r="C338" s="26" t="str">
        <x:v>Medak</x:v>
      </x:c>
      <x:c r="D338" s="26" t="n">
        <x:v>114248</x:v>
      </x:c>
      <x:c r="E338" s="26" t="str">
        <x:v>PRJ-2026-0114248</x:v>
      </x:c>
      <x:c r="F338" s="26" t="str">
        <x:v>AWC Upgradation of Mangalparthy</x:v>
      </x:c>
      <x:c r="G338" s="26" t="n">
        <x:v>594</x:v>
      </x:c>
      <x:c r="H338" s="26" t="n">
        <x:v>389252</x:v>
      </x:c>
      <x:c r="I338" s="26"/>
      <x:c r="J338" s="26"/>
      <x:c r="K338" s="26"/>
      <x:c r="L338" s="26" t="n">
        <x:v>2</x:v>
      </x:c>
      <x:c r="M338" s="26" t="n">
        <x:v>2</x:v>
      </x:c>
      <x:c r="N338" s="26" t="n">
        <x:v>0</x:v>
      </x:c>
      <x:c r="O338" s="26" t="n">
        <x:f>MAX(M338-N338,0)</x:f>
        <x:v>2</x:v>
      </x:c>
      <x:c r="P338" s="38" t="n">
        <x:f>IFERROR(N338/M338,0)</x:f>
        <x:v>0</x:v>
      </x:c>
      <x:c r="Q338" s="26"/>
      <x:c r="R338" s="26"/>
      <x:c r="S338" s="26" t="str">
        <x:v>Pending Mapping</x:v>
      </x:c>
      <x:c r="T338" s="26"/>
      <x:c r="U338" s="26"/>
      <x:c r="V338" s="26"/>
      <x:c r="W338" s="32"/>
      <x:c r="X338" s="27" t="b">
        <x:v>1</x:v>
      </x:c>
      <x:c r="Y338" s="34" t="n">
        <x:v>46219.85314814815</x:v>
      </x:c>
      <x:c r="Z338" s="26"/>
      <x:c r="AA338" s="26" t="str"/>
      <x:c r="AB338" s="26" t="str">
        <x:v>Activity name/category not included in contribution response</x:v>
      </x:c>
    </x:row>
    <x:row r="339">
      <x:c r="A339" s="26" t="n">
        <x:v>336</x:v>
      </x:c>
      <x:c r="B339" s="26" t="n">
        <x:v>228</x:v>
      </x:c>
      <x:c r="C339" s="26" t="str">
        <x:v>Medak</x:v>
      </x:c>
      <x:c r="D339" s="26" t="n">
        <x:v>114248</x:v>
      </x:c>
      <x:c r="E339" s="26" t="str">
        <x:v>PRJ-2026-0114248</x:v>
      </x:c>
      <x:c r="F339" s="26" t="str">
        <x:v>AWC Upgradation of Mangalparthy</x:v>
      </x:c>
      <x:c r="G339" s="26" t="n">
        <x:v>595</x:v>
      </x:c>
      <x:c r="H339" s="26" t="n">
        <x:v>389253</x:v>
      </x:c>
      <x:c r="I339" s="26"/>
      <x:c r="J339" s="26"/>
      <x:c r="K339" s="26"/>
      <x:c r="L339" s="26" t="n">
        <x:v>20</x:v>
      </x:c>
      <x:c r="M339" s="26" t="n">
        <x:v>20</x:v>
      </x:c>
      <x:c r="N339" s="26" t="n">
        <x:v>0</x:v>
      </x:c>
      <x:c r="O339" s="26" t="n">
        <x:f>MAX(M339-N339,0)</x:f>
        <x:v>20</x:v>
      </x:c>
      <x:c r="P339" s="38" t="n">
        <x:f>IFERROR(N339/M339,0)</x:f>
        <x:v>0</x:v>
      </x:c>
      <x:c r="Q339" s="26"/>
      <x:c r="R339" s="26"/>
      <x:c r="S339" s="26" t="str">
        <x:v>Pending Mapping</x:v>
      </x:c>
      <x:c r="T339" s="26"/>
      <x:c r="U339" s="26"/>
      <x:c r="V339" s="26"/>
      <x:c r="W339" s="32"/>
      <x:c r="X339" s="27" t="b">
        <x:v>1</x:v>
      </x:c>
      <x:c r="Y339" s="34" t="n">
        <x:v>46219.85314814815</x:v>
      </x:c>
      <x:c r="Z339" s="26"/>
      <x:c r="AA339" s="26" t="str"/>
      <x:c r="AB339" s="26" t="str">
        <x:v>Activity name/category not included in contribution response</x:v>
      </x:c>
    </x:row>
    <x:row r="340">
      <x:c r="A340" s="26" t="n">
        <x:v>337</x:v>
      </x:c>
      <x:c r="B340" s="26" t="n">
        <x:v>228</x:v>
      </x:c>
      <x:c r="C340" s="26" t="str">
        <x:v>Medak</x:v>
      </x:c>
      <x:c r="D340" s="26" t="n">
        <x:v>114248</x:v>
      </x:c>
      <x:c r="E340" s="26" t="str">
        <x:v>PRJ-2026-0114248</x:v>
      </x:c>
      <x:c r="F340" s="26" t="str">
        <x:v>AWC Upgradation of Mangalparthy</x:v>
      </x:c>
      <x:c r="G340" s="26" t="n">
        <x:v>596</x:v>
      </x:c>
      <x:c r="H340" s="26" t="n">
        <x:v>389254</x:v>
      </x:c>
      <x:c r="I340" s="26"/>
      <x:c r="J340" s="26"/>
      <x:c r="K340" s="26"/>
      <x:c r="L340" s="26" t="n">
        <x:v>2</x:v>
      </x:c>
      <x:c r="M340" s="26" t="n">
        <x:v>2</x:v>
      </x:c>
      <x:c r="N340" s="26" t="n">
        <x:v>0</x:v>
      </x:c>
      <x:c r="O340" s="26" t="n">
        <x:f>MAX(M340-N340,0)</x:f>
        <x:v>2</x:v>
      </x:c>
      <x:c r="P340" s="38" t="n">
        <x:f>IFERROR(N340/M340,0)</x:f>
        <x:v>0</x:v>
      </x:c>
      <x:c r="Q340" s="26"/>
      <x:c r="R340" s="26"/>
      <x:c r="S340" s="26" t="str">
        <x:v>Pending Mapping</x:v>
      </x:c>
      <x:c r="T340" s="26"/>
      <x:c r="U340" s="26"/>
      <x:c r="V340" s="26"/>
      <x:c r="W340" s="32"/>
      <x:c r="X340" s="27" t="b">
        <x:v>1</x:v>
      </x:c>
      <x:c r="Y340" s="34" t="n">
        <x:v>46219.85314814815</x:v>
      </x:c>
      <x:c r="Z340" s="26"/>
      <x:c r="AA340" s="26" t="str"/>
      <x:c r="AB340" s="26" t="str">
        <x:v>Activity name/category not included in contribution response</x:v>
      </x:c>
    </x:row>
    <x:row r="341">
      <x:c r="A341" s="26" t="n">
        <x:v>338</x:v>
      </x:c>
      <x:c r="B341" s="26" t="n">
        <x:v>228</x:v>
      </x:c>
      <x:c r="C341" s="26" t="str">
        <x:v>Medak</x:v>
      </x:c>
      <x:c r="D341" s="26" t="n">
        <x:v>114248</x:v>
      </x:c>
      <x:c r="E341" s="26" t="str">
        <x:v>PRJ-2026-0114248</x:v>
      </x:c>
      <x:c r="F341" s="26" t="str">
        <x:v>AWC Upgradation of Mangalparthy</x:v>
      </x:c>
      <x:c r="G341" s="26" t="n">
        <x:v>597</x:v>
      </x:c>
      <x:c r="H341" s="26" t="n">
        <x:v>389255</x:v>
      </x:c>
      <x:c r="I341" s="26"/>
      <x:c r="J341" s="26"/>
      <x:c r="K341" s="26"/>
      <x:c r="L341" s="26" t="n">
        <x:v>4</x:v>
      </x:c>
      <x:c r="M341" s="26" t="n">
        <x:v>4</x:v>
      </x:c>
      <x:c r="N341" s="26" t="n">
        <x:v>0</x:v>
      </x:c>
      <x:c r="O341" s="26" t="n">
        <x:f>MAX(M341-N341,0)</x:f>
        <x:v>4</x:v>
      </x:c>
      <x:c r="P341" s="38" t="n">
        <x:f>IFERROR(N341/M341,0)</x:f>
        <x:v>0</x:v>
      </x:c>
      <x:c r="Q341" s="26"/>
      <x:c r="R341" s="26"/>
      <x:c r="S341" s="26" t="str">
        <x:v>Pending Mapping</x:v>
      </x:c>
      <x:c r="T341" s="26"/>
      <x:c r="U341" s="26"/>
      <x:c r="V341" s="26"/>
      <x:c r="W341" s="32"/>
      <x:c r="X341" s="27" t="b">
        <x:v>1</x:v>
      </x:c>
      <x:c r="Y341" s="34" t="n">
        <x:v>46219.85314814815</x:v>
      </x:c>
      <x:c r="Z341" s="26"/>
      <x:c r="AA341" s="26" t="str"/>
      <x:c r="AB341" s="26" t="str">
        <x:v>Activity name/category not included in contribution response</x:v>
      </x:c>
    </x:row>
    <x:row r="342">
      <x:c r="A342" s="26" t="n">
        <x:v>339</x:v>
      </x:c>
      <x:c r="B342" s="26" t="n">
        <x:v>225</x:v>
      </x:c>
      <x:c r="C342" s="26" t="str">
        <x:v>Medak</x:v>
      </x:c>
      <x:c r="D342" s="26" t="n">
        <x:v>114320</x:v>
      </x:c>
      <x:c r="E342" s="26" t="str">
        <x:v>PRJ-2026-0114320</x:v>
      </x:c>
      <x:c r="F342" s="26" t="str">
        <x:v>AWC Upgradation of Mangalparthy III</x:v>
      </x:c>
      <x:c r="G342" s="26" t="n">
        <x:v>579</x:v>
      </x:c>
      <x:c r="H342" s="26" t="n">
        <x:v>389454</x:v>
      </x:c>
      <x:c r="I342" s="26"/>
      <x:c r="J342" s="26"/>
      <x:c r="K342" s="26"/>
      <x:c r="L342" s="26" t="n">
        <x:v>1</x:v>
      </x:c>
      <x:c r="M342" s="26" t="n">
        <x:v>1</x:v>
      </x:c>
      <x:c r="N342" s="26" t="n">
        <x:v>0</x:v>
      </x:c>
      <x:c r="O342" s="26" t="n">
        <x:f>MAX(M342-N342,0)</x:f>
        <x:v>1</x:v>
      </x:c>
      <x:c r="P342" s="38" t="n">
        <x:f>IFERROR(N342/M342,0)</x:f>
        <x:v>0</x:v>
      </x:c>
      <x:c r="Q342" s="26"/>
      <x:c r="R342" s="26"/>
      <x:c r="S342" s="26" t="str">
        <x:v>Pending Mapping</x:v>
      </x:c>
      <x:c r="T342" s="26"/>
      <x:c r="U342" s="26"/>
      <x:c r="V342" s="26"/>
      <x:c r="W342" s="32"/>
      <x:c r="X342" s="27" t="b">
        <x:v>1</x:v>
      </x:c>
      <x:c r="Y342" s="34" t="n">
        <x:v>46219.85313657407</x:v>
      </x:c>
      <x:c r="Z342" s="26"/>
      <x:c r="AA342" s="26" t="str"/>
      <x:c r="AB342" s="26" t="str">
        <x:v>Activity name/category not included in contribution response</x:v>
      </x:c>
    </x:row>
    <x:row r="343">
      <x:c r="A343" s="26" t="n">
        <x:v>340</x:v>
      </x:c>
      <x:c r="B343" s="26" t="n">
        <x:v>225</x:v>
      </x:c>
      <x:c r="C343" s="26" t="str">
        <x:v>Medak</x:v>
      </x:c>
      <x:c r="D343" s="26" t="n">
        <x:v>114320</x:v>
      </x:c>
      <x:c r="E343" s="26" t="str">
        <x:v>PRJ-2026-0114320</x:v>
      </x:c>
      <x:c r="F343" s="26" t="str">
        <x:v>AWC Upgradation of Mangalparthy III</x:v>
      </x:c>
      <x:c r="G343" s="26" t="n">
        <x:v>580</x:v>
      </x:c>
      <x:c r="H343" s="26" t="n">
        <x:v>389455</x:v>
      </x:c>
      <x:c r="I343" s="26"/>
      <x:c r="J343" s="26"/>
      <x:c r="K343" s="26"/>
      <x:c r="L343" s="26" t="n">
        <x:v>2</x:v>
      </x:c>
      <x:c r="M343" s="26" t="n">
        <x:v>2</x:v>
      </x:c>
      <x:c r="N343" s="26" t="n">
        <x:v>0</x:v>
      </x:c>
      <x:c r="O343" s="26" t="n">
        <x:f>MAX(M343-N343,0)</x:f>
        <x:v>2</x:v>
      </x:c>
      <x:c r="P343" s="38" t="n">
        <x:f>IFERROR(N343/M343,0)</x:f>
        <x:v>0</x:v>
      </x:c>
      <x:c r="Q343" s="26"/>
      <x:c r="R343" s="26"/>
      <x:c r="S343" s="26" t="str">
        <x:v>Pending Mapping</x:v>
      </x:c>
      <x:c r="T343" s="26"/>
      <x:c r="U343" s="26"/>
      <x:c r="V343" s="26"/>
      <x:c r="W343" s="32"/>
      <x:c r="X343" s="27" t="b">
        <x:v>1</x:v>
      </x:c>
      <x:c r="Y343" s="34" t="n">
        <x:v>46219.85313657407</x:v>
      </x:c>
      <x:c r="Z343" s="26"/>
      <x:c r="AA343" s="26" t="str"/>
      <x:c r="AB343" s="26" t="str">
        <x:v>Activity name/category not included in contribution response</x:v>
      </x:c>
    </x:row>
    <x:row r="344">
      <x:c r="A344" s="26" t="n">
        <x:v>341</x:v>
      </x:c>
      <x:c r="B344" s="26" t="n">
        <x:v>225</x:v>
      </x:c>
      <x:c r="C344" s="26" t="str">
        <x:v>Medak</x:v>
      </x:c>
      <x:c r="D344" s="26" t="n">
        <x:v>114320</x:v>
      </x:c>
      <x:c r="E344" s="26" t="str">
        <x:v>PRJ-2026-0114320</x:v>
      </x:c>
      <x:c r="F344" s="26" t="str">
        <x:v>AWC Upgradation of Mangalparthy III</x:v>
      </x:c>
      <x:c r="G344" s="26" t="n">
        <x:v>581</x:v>
      </x:c>
      <x:c r="H344" s="26" t="n">
        <x:v>389456</x:v>
      </x:c>
      <x:c r="I344" s="26"/>
      <x:c r="J344" s="26"/>
      <x:c r="K344" s="26"/>
      <x:c r="L344" s="26" t="n">
        <x:v>20</x:v>
      </x:c>
      <x:c r="M344" s="26" t="n">
        <x:v>20</x:v>
      </x:c>
      <x:c r="N344" s="26" t="n">
        <x:v>0</x:v>
      </x:c>
      <x:c r="O344" s="26" t="n">
        <x:f>MAX(M344-N344,0)</x:f>
        <x:v>20</x:v>
      </x:c>
      <x:c r="P344" s="38" t="n">
        <x:f>IFERROR(N344/M344,0)</x:f>
        <x:v>0</x:v>
      </x:c>
      <x:c r="Q344" s="26"/>
      <x:c r="R344" s="26"/>
      <x:c r="S344" s="26" t="str">
        <x:v>Pending Mapping</x:v>
      </x:c>
      <x:c r="T344" s="26"/>
      <x:c r="U344" s="26"/>
      <x:c r="V344" s="26"/>
      <x:c r="W344" s="32"/>
      <x:c r="X344" s="27" t="b">
        <x:v>1</x:v>
      </x:c>
      <x:c r="Y344" s="34" t="n">
        <x:v>46219.85313657407</x:v>
      </x:c>
      <x:c r="Z344" s="26"/>
      <x:c r="AA344" s="26" t="str"/>
      <x:c r="AB344" s="26" t="str">
        <x:v>Activity name/category not included in contribution response</x:v>
      </x:c>
    </x:row>
    <x:row r="345">
      <x:c r="A345" s="26" t="n">
        <x:v>342</x:v>
      </x:c>
      <x:c r="B345" s="26" t="n">
        <x:v>225</x:v>
      </x:c>
      <x:c r="C345" s="26" t="str">
        <x:v>Medak</x:v>
      </x:c>
      <x:c r="D345" s="26" t="n">
        <x:v>114320</x:v>
      </x:c>
      <x:c r="E345" s="26" t="str">
        <x:v>PRJ-2026-0114320</x:v>
      </x:c>
      <x:c r="F345" s="26" t="str">
        <x:v>AWC Upgradation of Mangalparthy III</x:v>
      </x:c>
      <x:c r="G345" s="26" t="n">
        <x:v>582</x:v>
      </x:c>
      <x:c r="H345" s="26" t="n">
        <x:v>389457</x:v>
      </x:c>
      <x:c r="I345" s="26"/>
      <x:c r="J345" s="26"/>
      <x:c r="K345" s="26"/>
      <x:c r="L345" s="26" t="n">
        <x:v>2</x:v>
      </x:c>
      <x:c r="M345" s="26" t="n">
        <x:v>2</x:v>
      </x:c>
      <x:c r="N345" s="26" t="n">
        <x:v>0</x:v>
      </x:c>
      <x:c r="O345" s="26" t="n">
        <x:f>MAX(M345-N345,0)</x:f>
        <x:v>2</x:v>
      </x:c>
      <x:c r="P345" s="38" t="n">
        <x:f>IFERROR(N345/M345,0)</x:f>
        <x:v>0</x:v>
      </x:c>
      <x:c r="Q345" s="26"/>
      <x:c r="R345" s="26"/>
      <x:c r="S345" s="26" t="str">
        <x:v>Pending Mapping</x:v>
      </x:c>
      <x:c r="T345" s="26"/>
      <x:c r="U345" s="26"/>
      <x:c r="V345" s="26"/>
      <x:c r="W345" s="32"/>
      <x:c r="X345" s="27" t="b">
        <x:v>1</x:v>
      </x:c>
      <x:c r="Y345" s="34" t="n">
        <x:v>46219.85313657407</x:v>
      </x:c>
      <x:c r="Z345" s="26"/>
      <x:c r="AA345" s="26" t="str"/>
      <x:c r="AB345" s="26" t="str">
        <x:v>Activity name/category not included in contribution response</x:v>
      </x:c>
    </x:row>
    <x:row r="346">
      <x:c r="A346" s="26" t="n">
        <x:v>343</x:v>
      </x:c>
      <x:c r="B346" s="26" t="n">
        <x:v>225</x:v>
      </x:c>
      <x:c r="C346" s="26" t="str">
        <x:v>Medak</x:v>
      </x:c>
      <x:c r="D346" s="26" t="n">
        <x:v>114320</x:v>
      </x:c>
      <x:c r="E346" s="26" t="str">
        <x:v>PRJ-2026-0114320</x:v>
      </x:c>
      <x:c r="F346" s="26" t="str">
        <x:v>AWC Upgradation of Mangalparthy III</x:v>
      </x:c>
      <x:c r="G346" s="26" t="n">
        <x:v>583</x:v>
      </x:c>
      <x:c r="H346" s="26" t="n">
        <x:v>389458</x:v>
      </x:c>
      <x:c r="I346" s="26"/>
      <x:c r="J346" s="26"/>
      <x:c r="K346" s="26"/>
      <x:c r="L346" s="26" t="n">
        <x:v>4</x:v>
      </x:c>
      <x:c r="M346" s="26" t="n">
        <x:v>4</x:v>
      </x:c>
      <x:c r="N346" s="26" t="n">
        <x:v>0</x:v>
      </x:c>
      <x:c r="O346" s="26" t="n">
        <x:f>MAX(M346-N346,0)</x:f>
        <x:v>4</x:v>
      </x:c>
      <x:c r="P346" s="38" t="n">
        <x:f>IFERROR(N346/M346,0)</x:f>
        <x:v>0</x:v>
      </x:c>
      <x:c r="Q346" s="26"/>
      <x:c r="R346" s="26"/>
      <x:c r="S346" s="26" t="str">
        <x:v>Pending Mapping</x:v>
      </x:c>
      <x:c r="T346" s="26"/>
      <x:c r="U346" s="26"/>
      <x:c r="V346" s="26"/>
      <x:c r="W346" s="32"/>
      <x:c r="X346" s="27" t="b">
        <x:v>1</x:v>
      </x:c>
      <x:c r="Y346" s="34" t="n">
        <x:v>46219.85313657407</x:v>
      </x:c>
      <x:c r="Z346" s="26"/>
      <x:c r="AA346" s="26" t="str"/>
      <x:c r="AB346" s="26" t="str">
        <x:v>Activity name/category not included in contribution response</x:v>
      </x:c>
    </x:row>
    <x:row r="347">
      <x:c r="A347" s="26" t="n">
        <x:v>344</x:v>
      </x:c>
      <x:c r="B347" s="26" t="n">
        <x:v>225</x:v>
      </x:c>
      <x:c r="C347" s="26" t="str">
        <x:v>Medak</x:v>
      </x:c>
      <x:c r="D347" s="26" t="n">
        <x:v>114320</x:v>
      </x:c>
      <x:c r="E347" s="26" t="str">
        <x:v>PRJ-2026-0114320</x:v>
      </x:c>
      <x:c r="F347" s="26" t="str">
        <x:v>AWC Upgradation of Mangalparthy III</x:v>
      </x:c>
      <x:c r="G347" s="26" t="n">
        <x:v>584</x:v>
      </x:c>
      <x:c r="H347" s="26" t="n">
        <x:v>389459</x:v>
      </x:c>
      <x:c r="I347" s="26"/>
      <x:c r="J347" s="26"/>
      <x:c r="K347" s="26"/>
      <x:c r="L347" s="26" t="n">
        <x:v>1</x:v>
      </x:c>
      <x:c r="M347" s="26" t="n">
        <x:v>1</x:v>
      </x:c>
      <x:c r="N347" s="26" t="n">
        <x:v>0</x:v>
      </x:c>
      <x:c r="O347" s="26" t="n">
        <x:f>MAX(M347-N347,0)</x:f>
        <x:v>1</x:v>
      </x:c>
      <x:c r="P347" s="38" t="n">
        <x:f>IFERROR(N347/M347,0)</x:f>
        <x:v>0</x:v>
      </x:c>
      <x:c r="Q347" s="26"/>
      <x:c r="R347" s="26"/>
      <x:c r="S347" s="26" t="str">
        <x:v>Pending Mapping</x:v>
      </x:c>
      <x:c r="T347" s="26"/>
      <x:c r="U347" s="26"/>
      <x:c r="V347" s="26"/>
      <x:c r="W347" s="32"/>
      <x:c r="X347" s="27" t="b">
        <x:v>1</x:v>
      </x:c>
      <x:c r="Y347" s="34" t="n">
        <x:v>46219.85313657407</x:v>
      </x:c>
      <x:c r="Z347" s="26"/>
      <x:c r="AA347" s="26" t="str"/>
      <x:c r="AB347" s="26" t="str">
        <x:v>Activity name/category not included in contribution response</x:v>
      </x:c>
    </x:row>
    <x:row r="348">
      <x:c r="A348" s="26" t="n">
        <x:v>345</x:v>
      </x:c>
      <x:c r="B348" s="26" t="n">
        <x:v>226</x:v>
      </x:c>
      <x:c r="C348" s="26" t="str">
        <x:v>Medak</x:v>
      </x:c>
      <x:c r="D348" s="26" t="n">
        <x:v>114350</x:v>
      </x:c>
      <x:c r="E348" s="26" t="str">
        <x:v>PRJ-2026-0114350</x:v>
      </x:c>
      <x:c r="F348" s="26" t="str">
        <x:v>AWC Upgradation of Mangalparthy Thanda</x:v>
      </x:c>
      <x:c r="G348" s="26" t="n">
        <x:v>585</x:v>
      </x:c>
      <x:c r="H348" s="26" t="n">
        <x:v>389578</x:v>
      </x:c>
      <x:c r="I348" s="26"/>
      <x:c r="J348" s="26"/>
      <x:c r="K348" s="26"/>
      <x:c r="L348" s="26" t="n">
        <x:v>2</x:v>
      </x:c>
      <x:c r="M348" s="26" t="n">
        <x:v>2</x:v>
      </x:c>
      <x:c r="N348" s="26" t="n">
        <x:v>0</x:v>
      </x:c>
      <x:c r="O348" s="26" t="n">
        <x:f>MAX(M348-N348,0)</x:f>
        <x:v>2</x:v>
      </x:c>
      <x:c r="P348" s="38" t="n">
        <x:f>IFERROR(N348/M348,0)</x:f>
        <x:v>0</x:v>
      </x:c>
      <x:c r="Q348" s="26"/>
      <x:c r="R348" s="26"/>
      <x:c r="S348" s="26" t="str">
        <x:v>Pending Mapping</x:v>
      </x:c>
      <x:c r="T348" s="26"/>
      <x:c r="U348" s="26"/>
      <x:c r="V348" s="26"/>
      <x:c r="W348" s="32"/>
      <x:c r="X348" s="27" t="b">
        <x:v>1</x:v>
      </x:c>
      <x:c r="Y348" s="34" t="n">
        <x:v>46219.85313657407</x:v>
      </x:c>
      <x:c r="Z348" s="26"/>
      <x:c r="AA348" s="26" t="str"/>
      <x:c r="AB348" s="26" t="str">
        <x:v>Activity name/category not included in contribution response</x:v>
      </x:c>
    </x:row>
    <x:row r="349">
      <x:c r="A349" s="26" t="n">
        <x:v>346</x:v>
      </x:c>
      <x:c r="B349" s="26" t="n">
        <x:v>226</x:v>
      </x:c>
      <x:c r="C349" s="26" t="str">
        <x:v>Medak</x:v>
      </x:c>
      <x:c r="D349" s="26" t="n">
        <x:v>114350</x:v>
      </x:c>
      <x:c r="E349" s="26" t="str">
        <x:v>PRJ-2026-0114350</x:v>
      </x:c>
      <x:c r="F349" s="26" t="str">
        <x:v>AWC Upgradation of Mangalparthy Thanda</x:v>
      </x:c>
      <x:c r="G349" s="26" t="n">
        <x:v>586</x:v>
      </x:c>
      <x:c r="H349" s="26" t="n">
        <x:v>389579</x:v>
      </x:c>
      <x:c r="I349" s="26"/>
      <x:c r="J349" s="26"/>
      <x:c r="K349" s="26"/>
      <x:c r="L349" s="26" t="n">
        <x:v>20</x:v>
      </x:c>
      <x:c r="M349" s="26" t="n">
        <x:v>20</x:v>
      </x:c>
      <x:c r="N349" s="26" t="n">
        <x:v>0</x:v>
      </x:c>
      <x:c r="O349" s="26" t="n">
        <x:f>MAX(M349-N349,0)</x:f>
        <x:v>20</x:v>
      </x:c>
      <x:c r="P349" s="38" t="n">
        <x:f>IFERROR(N349/M349,0)</x:f>
        <x:v>0</x:v>
      </x:c>
      <x:c r="Q349" s="26"/>
      <x:c r="R349" s="26"/>
      <x:c r="S349" s="26" t="str">
        <x:v>Pending Mapping</x:v>
      </x:c>
      <x:c r="T349" s="26"/>
      <x:c r="U349" s="26"/>
      <x:c r="V349" s="26"/>
      <x:c r="W349" s="32"/>
      <x:c r="X349" s="27" t="b">
        <x:v>1</x:v>
      </x:c>
      <x:c r="Y349" s="34" t="n">
        <x:v>46219.85313657407</x:v>
      </x:c>
      <x:c r="Z349" s="26"/>
      <x:c r="AA349" s="26" t="str"/>
      <x:c r="AB349" s="26" t="str">
        <x:v>Activity name/category not included in contribution response</x:v>
      </x:c>
    </x:row>
    <x:row r="350">
      <x:c r="A350" s="26" t="n">
        <x:v>347</x:v>
      </x:c>
      <x:c r="B350" s="26" t="n">
        <x:v>226</x:v>
      </x:c>
      <x:c r="C350" s="26" t="str">
        <x:v>Medak</x:v>
      </x:c>
      <x:c r="D350" s="26" t="n">
        <x:v>114350</x:v>
      </x:c>
      <x:c r="E350" s="26" t="str">
        <x:v>PRJ-2026-0114350</x:v>
      </x:c>
      <x:c r="F350" s="26" t="str">
        <x:v>AWC Upgradation of Mangalparthy Thanda</x:v>
      </x:c>
      <x:c r="G350" s="26" t="n">
        <x:v>587</x:v>
      </x:c>
      <x:c r="H350" s="26" t="n">
        <x:v>389580</x:v>
      </x:c>
      <x:c r="I350" s="26"/>
      <x:c r="J350" s="26"/>
      <x:c r="K350" s="26"/>
      <x:c r="L350" s="26" t="n">
        <x:v>2</x:v>
      </x:c>
      <x:c r="M350" s="26" t="n">
        <x:v>2</x:v>
      </x:c>
      <x:c r="N350" s="26" t="n">
        <x:v>0</x:v>
      </x:c>
      <x:c r="O350" s="26" t="n">
        <x:f>MAX(M350-N350,0)</x:f>
        <x:v>2</x:v>
      </x:c>
      <x:c r="P350" s="38" t="n">
        <x:f>IFERROR(N350/M350,0)</x:f>
        <x:v>0</x:v>
      </x:c>
      <x:c r="Q350" s="26"/>
      <x:c r="R350" s="26"/>
      <x:c r="S350" s="26" t="str">
        <x:v>Pending Mapping</x:v>
      </x:c>
      <x:c r="T350" s="26"/>
      <x:c r="U350" s="26"/>
      <x:c r="V350" s="26"/>
      <x:c r="W350" s="32"/>
      <x:c r="X350" s="27" t="b">
        <x:v>1</x:v>
      </x:c>
      <x:c r="Y350" s="34" t="n">
        <x:v>46219.85313657407</x:v>
      </x:c>
      <x:c r="Z350" s="26"/>
      <x:c r="AA350" s="26" t="str"/>
      <x:c r="AB350" s="26" t="str">
        <x:v>Activity name/category not included in contribution response</x:v>
      </x:c>
    </x:row>
    <x:row r="351">
      <x:c r="A351" s="26" t="n">
        <x:v>348</x:v>
      </x:c>
      <x:c r="B351" s="26" t="n">
        <x:v>226</x:v>
      </x:c>
      <x:c r="C351" s="26" t="str">
        <x:v>Medak</x:v>
      </x:c>
      <x:c r="D351" s="26" t="n">
        <x:v>114350</x:v>
      </x:c>
      <x:c r="E351" s="26" t="str">
        <x:v>PRJ-2026-0114350</x:v>
      </x:c>
      <x:c r="F351" s="26" t="str">
        <x:v>AWC Upgradation of Mangalparthy Thanda</x:v>
      </x:c>
      <x:c r="G351" s="26" t="n">
        <x:v>588</x:v>
      </x:c>
      <x:c r="H351" s="26" t="n">
        <x:v>389581</x:v>
      </x:c>
      <x:c r="I351" s="26"/>
      <x:c r="J351" s="26"/>
      <x:c r="K351" s="26"/>
      <x:c r="L351" s="26" t="n">
        <x:v>4</x:v>
      </x:c>
      <x:c r="M351" s="26" t="n">
        <x:v>4</x:v>
      </x:c>
      <x:c r="N351" s="26" t="n">
        <x:v>0</x:v>
      </x:c>
      <x:c r="O351" s="26" t="n">
        <x:f>MAX(M351-N351,0)</x:f>
        <x:v>4</x:v>
      </x:c>
      <x:c r="P351" s="38" t="n">
        <x:f>IFERROR(N351/M351,0)</x:f>
        <x:v>0</x:v>
      </x:c>
      <x:c r="Q351" s="26"/>
      <x:c r="R351" s="26"/>
      <x:c r="S351" s="26" t="str">
        <x:v>Pending Mapping</x:v>
      </x:c>
      <x:c r="T351" s="26"/>
      <x:c r="U351" s="26"/>
      <x:c r="V351" s="26"/>
      <x:c r="W351" s="32"/>
      <x:c r="X351" s="27" t="b">
        <x:v>1</x:v>
      </x:c>
      <x:c r="Y351" s="34" t="n">
        <x:v>46219.85313657407</x:v>
      </x:c>
      <x:c r="Z351" s="26"/>
      <x:c r="AA351" s="26" t="str"/>
      <x:c r="AB351" s="26" t="str">
        <x:v>Activity name/category not included in contribution response</x:v>
      </x:c>
    </x:row>
    <x:row r="352">
      <x:c r="A352" s="26" t="n">
        <x:v>349</x:v>
      </x:c>
      <x:c r="B352" s="26" t="n">
        <x:v>226</x:v>
      </x:c>
      <x:c r="C352" s="26" t="str">
        <x:v>Medak</x:v>
      </x:c>
      <x:c r="D352" s="26" t="n">
        <x:v>114350</x:v>
      </x:c>
      <x:c r="E352" s="26" t="str">
        <x:v>PRJ-2026-0114350</x:v>
      </x:c>
      <x:c r="F352" s="26" t="str">
        <x:v>AWC Upgradation of Mangalparthy Thanda</x:v>
      </x:c>
      <x:c r="G352" s="26" t="n">
        <x:v>589</x:v>
      </x:c>
      <x:c r="H352" s="26" t="n">
        <x:v>389582</x:v>
      </x:c>
      <x:c r="I352" s="26"/>
      <x:c r="J352" s="26"/>
      <x:c r="K352" s="26"/>
      <x:c r="L352" s="26" t="n">
        <x:v>1</x:v>
      </x:c>
      <x:c r="M352" s="26" t="n">
        <x:v>1</x:v>
      </x:c>
      <x:c r="N352" s="26" t="n">
        <x:v>0</x:v>
      </x:c>
      <x:c r="O352" s="26" t="n">
        <x:f>MAX(M352-N352,0)</x:f>
        <x:v>1</x:v>
      </x:c>
      <x:c r="P352" s="38" t="n">
        <x:f>IFERROR(N352/M352,0)</x:f>
        <x:v>0</x:v>
      </x:c>
      <x:c r="Q352" s="26"/>
      <x:c r="R352" s="26"/>
      <x:c r="S352" s="26" t="str">
        <x:v>Pending Mapping</x:v>
      </x:c>
      <x:c r="T352" s="26"/>
      <x:c r="U352" s="26"/>
      <x:c r="V352" s="26"/>
      <x:c r="W352" s="32"/>
      <x:c r="X352" s="27" t="b">
        <x:v>1</x:v>
      </x:c>
      <x:c r="Y352" s="34" t="n">
        <x:v>46219.85313657407</x:v>
      </x:c>
      <x:c r="Z352" s="26"/>
      <x:c r="AA352" s="26" t="str"/>
      <x:c r="AB352" s="26" t="str">
        <x:v>Activity name/category not included in contribution response</x:v>
      </x:c>
    </x:row>
    <x:row r="353">
      <x:c r="A353" s="26" t="n">
        <x:v>350</x:v>
      </x:c>
      <x:c r="B353" s="26" t="n">
        <x:v>223</x:v>
      </x:c>
      <x:c r="C353" s="26" t="str">
        <x:v>Medak</x:v>
      </x:c>
      <x:c r="D353" s="26" t="n">
        <x:v>114444</x:v>
      </x:c>
      <x:c r="E353" s="26" t="str">
        <x:v>PRJ-2026-0114444</x:v>
      </x:c>
      <x:c r="F353" s="26" t="str">
        <x:v>AWC Upgradation Of Veldurthy-III</x:v>
      </x:c>
      <x:c r="G353" s="26" t="n">
        <x:v>571</x:v>
      </x:c>
      <x:c r="H353" s="26" t="n">
        <x:v>389902</x:v>
      </x:c>
      <x:c r="I353" s="26"/>
      <x:c r="J353" s="26"/>
      <x:c r="K353" s="26"/>
      <x:c r="L353" s="26" t="n">
        <x:v>2</x:v>
      </x:c>
      <x:c r="M353" s="26" t="n">
        <x:v>2</x:v>
      </x:c>
      <x:c r="N353" s="26" t="n">
        <x:v>0</x:v>
      </x:c>
      <x:c r="O353" s="26" t="n">
        <x:f>MAX(M353-N353,0)</x:f>
        <x:v>2</x:v>
      </x:c>
      <x:c r="P353" s="38" t="n">
        <x:f>IFERROR(N353/M353,0)</x:f>
        <x:v>0</x:v>
      </x:c>
      <x:c r="Q353" s="26"/>
      <x:c r="R353" s="26"/>
      <x:c r="S353" s="26" t="str">
        <x:v>Pending Mapping</x:v>
      </x:c>
      <x:c r="T353" s="26"/>
      <x:c r="U353" s="26"/>
      <x:c r="V353" s="26"/>
      <x:c r="W353" s="32"/>
      <x:c r="X353" s="27" t="b">
        <x:v>1</x:v>
      </x:c>
      <x:c r="Y353" s="34" t="n">
        <x:v>46219.853125</x:v>
      </x:c>
      <x:c r="Z353" s="26"/>
      <x:c r="AA353" s="26" t="str"/>
      <x:c r="AB353" s="26" t="str">
        <x:v>Activity name/category not included in contribution response</x:v>
      </x:c>
    </x:row>
    <x:row r="354">
      <x:c r="A354" s="26" t="n">
        <x:v>351</x:v>
      </x:c>
      <x:c r="B354" s="26" t="n">
        <x:v>223</x:v>
      </x:c>
      <x:c r="C354" s="26" t="str">
        <x:v>Medak</x:v>
      </x:c>
      <x:c r="D354" s="26" t="n">
        <x:v>114444</x:v>
      </x:c>
      <x:c r="E354" s="26" t="str">
        <x:v>PRJ-2026-0114444</x:v>
      </x:c>
      <x:c r="F354" s="26" t="str">
        <x:v>AWC Upgradation Of Veldurthy-III</x:v>
      </x:c>
      <x:c r="G354" s="26" t="n">
        <x:v>572</x:v>
      </x:c>
      <x:c r="H354" s="26" t="n">
        <x:v>389903</x:v>
      </x:c>
      <x:c r="I354" s="26"/>
      <x:c r="J354" s="26"/>
      <x:c r="K354" s="26"/>
      <x:c r="L354" s="26" t="n">
        <x:v>20</x:v>
      </x:c>
      <x:c r="M354" s="26" t="n">
        <x:v>20</x:v>
      </x:c>
      <x:c r="N354" s="26" t="n">
        <x:v>0</x:v>
      </x:c>
      <x:c r="O354" s="26" t="n">
        <x:f>MAX(M354-N354,0)</x:f>
        <x:v>20</x:v>
      </x:c>
      <x:c r="P354" s="38" t="n">
        <x:f>IFERROR(N354/M354,0)</x:f>
        <x:v>0</x:v>
      </x:c>
      <x:c r="Q354" s="26"/>
      <x:c r="R354" s="26"/>
      <x:c r="S354" s="26" t="str">
        <x:v>Pending Mapping</x:v>
      </x:c>
      <x:c r="T354" s="26"/>
      <x:c r="U354" s="26"/>
      <x:c r="V354" s="26"/>
      <x:c r="W354" s="32"/>
      <x:c r="X354" s="27" t="b">
        <x:v>1</x:v>
      </x:c>
      <x:c r="Y354" s="34" t="n">
        <x:v>46219.853125</x:v>
      </x:c>
      <x:c r="Z354" s="26"/>
      <x:c r="AA354" s="26" t="str"/>
      <x:c r="AB354" s="26" t="str">
        <x:v>Activity name/category not included in contribution response</x:v>
      </x:c>
    </x:row>
    <x:row r="355">
      <x:c r="A355" s="26" t="n">
        <x:v>352</x:v>
      </x:c>
      <x:c r="B355" s="26" t="n">
        <x:v>223</x:v>
      </x:c>
      <x:c r="C355" s="26" t="str">
        <x:v>Medak</x:v>
      </x:c>
      <x:c r="D355" s="26" t="n">
        <x:v>114444</x:v>
      </x:c>
      <x:c r="E355" s="26" t="str">
        <x:v>PRJ-2026-0114444</x:v>
      </x:c>
      <x:c r="F355" s="26" t="str">
        <x:v>AWC Upgradation Of Veldurthy-III</x:v>
      </x:c>
      <x:c r="G355" s="26" t="n">
        <x:v>573</x:v>
      </x:c>
      <x:c r="H355" s="26" t="n">
        <x:v>389904</x:v>
      </x:c>
      <x:c r="I355" s="26"/>
      <x:c r="J355" s="26"/>
      <x:c r="K355" s="26"/>
      <x:c r="L355" s="26" t="n">
        <x:v>2</x:v>
      </x:c>
      <x:c r="M355" s="26" t="n">
        <x:v>2</x:v>
      </x:c>
      <x:c r="N355" s="26" t="n">
        <x:v>0</x:v>
      </x:c>
      <x:c r="O355" s="26" t="n">
        <x:f>MAX(M355-N355,0)</x:f>
        <x:v>2</x:v>
      </x:c>
      <x:c r="P355" s="38" t="n">
        <x:f>IFERROR(N355/M355,0)</x:f>
        <x:v>0</x:v>
      </x:c>
      <x:c r="Q355" s="26"/>
      <x:c r="R355" s="26"/>
      <x:c r="S355" s="26" t="str">
        <x:v>Pending Mapping</x:v>
      </x:c>
      <x:c r="T355" s="26"/>
      <x:c r="U355" s="26"/>
      <x:c r="V355" s="26"/>
      <x:c r="W355" s="32"/>
      <x:c r="X355" s="27" t="b">
        <x:v>1</x:v>
      </x:c>
      <x:c r="Y355" s="34" t="n">
        <x:v>46219.853125</x:v>
      </x:c>
      <x:c r="Z355" s="26"/>
      <x:c r="AA355" s="26" t="str"/>
      <x:c r="AB355" s="26" t="str">
        <x:v>Activity name/category not included in contribution response</x:v>
      </x:c>
    </x:row>
    <x:row r="356">
      <x:c r="A356" s="26" t="n">
        <x:v>353</x:v>
      </x:c>
      <x:c r="B356" s="26" t="n">
        <x:v>223</x:v>
      </x:c>
      <x:c r="C356" s="26" t="str">
        <x:v>Medak</x:v>
      </x:c>
      <x:c r="D356" s="26" t="n">
        <x:v>114444</x:v>
      </x:c>
      <x:c r="E356" s="26" t="str">
        <x:v>PRJ-2026-0114444</x:v>
      </x:c>
      <x:c r="F356" s="26" t="str">
        <x:v>AWC Upgradation Of Veldurthy-III</x:v>
      </x:c>
      <x:c r="G356" s="26" t="n">
        <x:v>574</x:v>
      </x:c>
      <x:c r="H356" s="26" t="n">
        <x:v>389905</x:v>
      </x:c>
      <x:c r="I356" s="26"/>
      <x:c r="J356" s="26"/>
      <x:c r="K356" s="26"/>
      <x:c r="L356" s="26" t="n">
        <x:v>4</x:v>
      </x:c>
      <x:c r="M356" s="26" t="n">
        <x:v>4</x:v>
      </x:c>
      <x:c r="N356" s="26" t="n">
        <x:v>0</x:v>
      </x:c>
      <x:c r="O356" s="26" t="n">
        <x:f>MAX(M356-N356,0)</x:f>
        <x:v>4</x:v>
      </x:c>
      <x:c r="P356" s="38" t="n">
        <x:f>IFERROR(N356/M356,0)</x:f>
        <x:v>0</x:v>
      </x:c>
      <x:c r="Q356" s="26"/>
      <x:c r="R356" s="26"/>
      <x:c r="S356" s="26" t="str">
        <x:v>Pending Mapping</x:v>
      </x:c>
      <x:c r="T356" s="26"/>
      <x:c r="U356" s="26"/>
      <x:c r="V356" s="26"/>
      <x:c r="W356" s="32"/>
      <x:c r="X356" s="27" t="b">
        <x:v>1</x:v>
      </x:c>
      <x:c r="Y356" s="34" t="n">
        <x:v>46219.853125</x:v>
      </x:c>
      <x:c r="Z356" s="26"/>
      <x:c r="AA356" s="26" t="str"/>
      <x:c r="AB356" s="26" t="str">
        <x:v>Activity name/category not included in contribution response</x:v>
      </x:c>
    </x:row>
    <x:row r="357">
      <x:c r="A357" s="26" t="n">
        <x:v>354</x:v>
      </x:c>
      <x:c r="B357" s="26" t="n">
        <x:v>224</x:v>
      </x:c>
      <x:c r="C357" s="26" t="str">
        <x:v>Medak</x:v>
      </x:c>
      <x:c r="D357" s="26" t="n">
        <x:v>114473</x:v>
      </x:c>
      <x:c r="E357" s="26" t="str">
        <x:v>PRJ-2026-0114473</x:v>
      </x:c>
      <x:c r="F357" s="26" t="str">
        <x:v>AWC Upgradation of Veldurthy-V</x:v>
      </x:c>
      <x:c r="G357" s="26" t="n">
        <x:v>575</x:v>
      </x:c>
      <x:c r="H357" s="26" t="n">
        <x:v>390012</x:v>
      </x:c>
      <x:c r="I357" s="26"/>
      <x:c r="J357" s="26"/>
      <x:c r="K357" s="26"/>
      <x:c r="L357" s="26" t="n">
        <x:v>2</x:v>
      </x:c>
      <x:c r="M357" s="26" t="n">
        <x:v>2</x:v>
      </x:c>
      <x:c r="N357" s="26" t="n">
        <x:v>0</x:v>
      </x:c>
      <x:c r="O357" s="26" t="n">
        <x:f>MAX(M357-N357,0)</x:f>
        <x:v>2</x:v>
      </x:c>
      <x:c r="P357" s="38" t="n">
        <x:f>IFERROR(N357/M357,0)</x:f>
        <x:v>0</x:v>
      </x:c>
      <x:c r="Q357" s="26"/>
      <x:c r="R357" s="26"/>
      <x:c r="S357" s="26" t="str">
        <x:v>Pending Mapping</x:v>
      </x:c>
      <x:c r="T357" s="26"/>
      <x:c r="U357" s="26"/>
      <x:c r="V357" s="26"/>
      <x:c r="W357" s="32"/>
      <x:c r="X357" s="27" t="b">
        <x:v>1</x:v>
      </x:c>
      <x:c r="Y357" s="34" t="n">
        <x:v>46219.853125</x:v>
      </x:c>
      <x:c r="Z357" s="26"/>
      <x:c r="AA357" s="26" t="str"/>
      <x:c r="AB357" s="26" t="str">
        <x:v>Activity name/category not included in contribution response</x:v>
      </x:c>
    </x:row>
    <x:row r="358">
      <x:c r="A358" s="26" t="n">
        <x:v>355</x:v>
      </x:c>
      <x:c r="B358" s="26" t="n">
        <x:v>224</x:v>
      </x:c>
      <x:c r="C358" s="26" t="str">
        <x:v>Medak</x:v>
      </x:c>
      <x:c r="D358" s="26" t="n">
        <x:v>114473</x:v>
      </x:c>
      <x:c r="E358" s="26" t="str">
        <x:v>PRJ-2026-0114473</x:v>
      </x:c>
      <x:c r="F358" s="26" t="str">
        <x:v>AWC Upgradation of Veldurthy-V</x:v>
      </x:c>
      <x:c r="G358" s="26" t="n">
        <x:v>576</x:v>
      </x:c>
      <x:c r="H358" s="26" t="n">
        <x:v>390013</x:v>
      </x:c>
      <x:c r="I358" s="26"/>
      <x:c r="J358" s="26"/>
      <x:c r="K358" s="26"/>
      <x:c r="L358" s="26" t="n">
        <x:v>20</x:v>
      </x:c>
      <x:c r="M358" s="26" t="n">
        <x:v>20</x:v>
      </x:c>
      <x:c r="N358" s="26" t="n">
        <x:v>0</x:v>
      </x:c>
      <x:c r="O358" s="26" t="n">
        <x:f>MAX(M358-N358,0)</x:f>
        <x:v>20</x:v>
      </x:c>
      <x:c r="P358" s="38" t="n">
        <x:f>IFERROR(N358/M358,0)</x:f>
        <x:v>0</x:v>
      </x:c>
      <x:c r="Q358" s="26"/>
      <x:c r="R358" s="26"/>
      <x:c r="S358" s="26" t="str">
        <x:v>Pending Mapping</x:v>
      </x:c>
      <x:c r="T358" s="26"/>
      <x:c r="U358" s="26"/>
      <x:c r="V358" s="26"/>
      <x:c r="W358" s="32"/>
      <x:c r="X358" s="27" t="b">
        <x:v>1</x:v>
      </x:c>
      <x:c r="Y358" s="34" t="n">
        <x:v>46219.853125</x:v>
      </x:c>
      <x:c r="Z358" s="26"/>
      <x:c r="AA358" s="26" t="str"/>
      <x:c r="AB358" s="26" t="str">
        <x:v>Activity name/category not included in contribution response</x:v>
      </x:c>
    </x:row>
    <x:row r="359">
      <x:c r="A359" s="26" t="n">
        <x:v>356</x:v>
      </x:c>
      <x:c r="B359" s="26" t="n">
        <x:v>224</x:v>
      </x:c>
      <x:c r="C359" s="26" t="str">
        <x:v>Medak</x:v>
      </x:c>
      <x:c r="D359" s="26" t="n">
        <x:v>114473</x:v>
      </x:c>
      <x:c r="E359" s="26" t="str">
        <x:v>PRJ-2026-0114473</x:v>
      </x:c>
      <x:c r="F359" s="26" t="str">
        <x:v>AWC Upgradation of Veldurthy-V</x:v>
      </x:c>
      <x:c r="G359" s="26" t="n">
        <x:v>577</x:v>
      </x:c>
      <x:c r="H359" s="26" t="n">
        <x:v>390014</x:v>
      </x:c>
      <x:c r="I359" s="26"/>
      <x:c r="J359" s="26"/>
      <x:c r="K359" s="26"/>
      <x:c r="L359" s="26" t="n">
        <x:v>2</x:v>
      </x:c>
      <x:c r="M359" s="26" t="n">
        <x:v>2</x:v>
      </x:c>
      <x:c r="N359" s="26" t="n">
        <x:v>0</x:v>
      </x:c>
      <x:c r="O359" s="26" t="n">
        <x:f>MAX(M359-N359,0)</x:f>
        <x:v>2</x:v>
      </x:c>
      <x:c r="P359" s="38" t="n">
        <x:f>IFERROR(N359/M359,0)</x:f>
        <x:v>0</x:v>
      </x:c>
      <x:c r="Q359" s="26"/>
      <x:c r="R359" s="26"/>
      <x:c r="S359" s="26" t="str">
        <x:v>Pending Mapping</x:v>
      </x:c>
      <x:c r="T359" s="26"/>
      <x:c r="U359" s="26"/>
      <x:c r="V359" s="26"/>
      <x:c r="W359" s="32"/>
      <x:c r="X359" s="27" t="b">
        <x:v>1</x:v>
      </x:c>
      <x:c r="Y359" s="34" t="n">
        <x:v>46219.853125</x:v>
      </x:c>
      <x:c r="Z359" s="26"/>
      <x:c r="AA359" s="26" t="str"/>
      <x:c r="AB359" s="26" t="str">
        <x:v>Activity name/category not included in contribution response</x:v>
      </x:c>
    </x:row>
    <x:row r="360">
      <x:c r="A360" s="26" t="n">
        <x:v>357</x:v>
      </x:c>
      <x:c r="B360" s="26" t="n">
        <x:v>224</x:v>
      </x:c>
      <x:c r="C360" s="26" t="str">
        <x:v>Medak</x:v>
      </x:c>
      <x:c r="D360" s="26" t="n">
        <x:v>114473</x:v>
      </x:c>
      <x:c r="E360" s="26" t="str">
        <x:v>PRJ-2026-0114473</x:v>
      </x:c>
      <x:c r="F360" s="26" t="str">
        <x:v>AWC Upgradation of Veldurthy-V</x:v>
      </x:c>
      <x:c r="G360" s="26" t="n">
        <x:v>578</x:v>
      </x:c>
      <x:c r="H360" s="26" t="n">
        <x:v>390015</x:v>
      </x:c>
      <x:c r="I360" s="26"/>
      <x:c r="J360" s="26"/>
      <x:c r="K360" s="26"/>
      <x:c r="L360" s="26" t="n">
        <x:v>4</x:v>
      </x:c>
      <x:c r="M360" s="26" t="n">
        <x:v>4</x:v>
      </x:c>
      <x:c r="N360" s="26" t="n">
        <x:v>0</x:v>
      </x:c>
      <x:c r="O360" s="26" t="n">
        <x:f>MAX(M360-N360,0)</x:f>
        <x:v>4</x:v>
      </x:c>
      <x:c r="P360" s="38" t="n">
        <x:f>IFERROR(N360/M360,0)</x:f>
        <x:v>0</x:v>
      </x:c>
      <x:c r="Q360" s="26"/>
      <x:c r="R360" s="26"/>
      <x:c r="S360" s="26" t="str">
        <x:v>Pending Mapping</x:v>
      </x:c>
      <x:c r="T360" s="26"/>
      <x:c r="U360" s="26"/>
      <x:c r="V360" s="26"/>
      <x:c r="W360" s="32"/>
      <x:c r="X360" s="27" t="b">
        <x:v>1</x:v>
      </x:c>
      <x:c r="Y360" s="34" t="n">
        <x:v>46219.853125</x:v>
      </x:c>
      <x:c r="Z360" s="26"/>
      <x:c r="AA360" s="26" t="str"/>
      <x:c r="AB360" s="26" t="str">
        <x:v>Activity name/category not included in contribution response</x:v>
      </x:c>
    </x:row>
    <x:row r="361">
      <x:c r="A361" s="26" t="n">
        <x:v>358</x:v>
      </x:c>
      <x:c r="B361" s="26" t="n">
        <x:v>221</x:v>
      </x:c>
      <x:c r="C361" s="26" t="str">
        <x:v>Medak</x:v>
      </x:c>
      <x:c r="D361" s="26" t="n">
        <x:v>114696</x:v>
      </x:c>
      <x:c r="E361" s="26" t="str">
        <x:v>PRJ-2026-0114696</x:v>
      </x:c>
      <x:c r="F361" s="26" t="str">
        <x:v>Upgradation of awc</x:v>
      </x:c>
      <x:c r="G361" s="26" t="n">
        <x:v>565</x:v>
      </x:c>
      <x:c r="H361" s="26" t="n">
        <x:v>391010</x:v>
      </x:c>
      <x:c r="I361" s="26"/>
      <x:c r="J361" s="26"/>
      <x:c r="K361" s="26"/>
      <x:c r="L361" s="26" t="n">
        <x:v>4</x:v>
      </x:c>
      <x:c r="M361" s="26" t="n">
        <x:v>4</x:v>
      </x:c>
      <x:c r="N361" s="26" t="n">
        <x:v>0</x:v>
      </x:c>
      <x:c r="O361" s="26" t="n">
        <x:f>MAX(M361-N361,0)</x:f>
        <x:v>4</x:v>
      </x:c>
      <x:c r="P361" s="38" t="n">
        <x:f>IFERROR(N361/M361,0)</x:f>
        <x:v>0</x:v>
      </x:c>
      <x:c r="Q361" s="26"/>
      <x:c r="R361" s="26"/>
      <x:c r="S361" s="26" t="str">
        <x:v>Pending Mapping</x:v>
      </x:c>
      <x:c r="T361" s="26"/>
      <x:c r="U361" s="26"/>
      <x:c r="V361" s="26"/>
      <x:c r="W361" s="32"/>
      <x:c r="X361" s="27" t="b">
        <x:v>1</x:v>
      </x:c>
      <x:c r="Y361" s="34" t="n">
        <x:v>46219.853113425925</x:v>
      </x:c>
      <x:c r="Z361" s="26"/>
      <x:c r="AA361" s="26" t="str"/>
      <x:c r="AB361" s="26" t="str">
        <x:v>Activity name/category not included in contribution response</x:v>
      </x:c>
    </x:row>
    <x:row r="362">
      <x:c r="A362" s="26" t="n">
        <x:v>359</x:v>
      </x:c>
      <x:c r="B362" s="26" t="n">
        <x:v>222</x:v>
      </x:c>
      <x:c r="C362" s="26" t="str">
        <x:v>Medak</x:v>
      </x:c>
      <x:c r="D362" s="26" t="n">
        <x:v>114584</x:v>
      </x:c>
      <x:c r="E362" s="26" t="str">
        <x:v>PRJ-2026-0114584</x:v>
      </x:c>
      <x:c r="F362" s="26" t="str">
        <x:v>AWC Upgradradation of Yashwanthraopet II</x:v>
      </x:c>
      <x:c r="G362" s="26" t="n">
        <x:v>566</x:v>
      </x:c>
      <x:c r="H362" s="26" t="n">
        <x:v>390453</x:v>
      </x:c>
      <x:c r="I362" s="26"/>
      <x:c r="J362" s="26"/>
      <x:c r="K362" s="26"/>
      <x:c r="L362" s="26" t="n">
        <x:v>2</x:v>
      </x:c>
      <x:c r="M362" s="26" t="n">
        <x:v>2</x:v>
      </x:c>
      <x:c r="N362" s="26" t="n">
        <x:v>0</x:v>
      </x:c>
      <x:c r="O362" s="26" t="n">
        <x:f>MAX(M362-N362,0)</x:f>
        <x:v>2</x:v>
      </x:c>
      <x:c r="P362" s="38" t="n">
        <x:f>IFERROR(N362/M362,0)</x:f>
        <x:v>0</x:v>
      </x:c>
      <x:c r="Q362" s="26"/>
      <x:c r="R362" s="26"/>
      <x:c r="S362" s="26" t="str">
        <x:v>Pending Mapping</x:v>
      </x:c>
      <x:c r="T362" s="26"/>
      <x:c r="U362" s="26"/>
      <x:c r="V362" s="26"/>
      <x:c r="W362" s="32"/>
      <x:c r="X362" s="27" t="b">
        <x:v>1</x:v>
      </x:c>
      <x:c r="Y362" s="34" t="n">
        <x:v>46219.853113425925</x:v>
      </x:c>
      <x:c r="Z362" s="26"/>
      <x:c r="AA362" s="26" t="str"/>
      <x:c r="AB362" s="26" t="str">
        <x:v>Activity name/category not included in contribution response</x:v>
      </x:c>
    </x:row>
    <x:row r="363">
      <x:c r="A363" s="26" t="n">
        <x:v>360</x:v>
      </x:c>
      <x:c r="B363" s="26" t="n">
        <x:v>222</x:v>
      </x:c>
      <x:c r="C363" s="26" t="str">
        <x:v>Medak</x:v>
      </x:c>
      <x:c r="D363" s="26" t="n">
        <x:v>114584</x:v>
      </x:c>
      <x:c r="E363" s="26" t="str">
        <x:v>PRJ-2026-0114584</x:v>
      </x:c>
      <x:c r="F363" s="26" t="str">
        <x:v>AWC Upgradradation of Yashwanthraopet II</x:v>
      </x:c>
      <x:c r="G363" s="26" t="n">
        <x:v>567</x:v>
      </x:c>
      <x:c r="H363" s="26" t="n">
        <x:v>390454</x:v>
      </x:c>
      <x:c r="I363" s="26"/>
      <x:c r="J363" s="26"/>
      <x:c r="K363" s="26"/>
      <x:c r="L363" s="26" t="n">
        <x:v>25</x:v>
      </x:c>
      <x:c r="M363" s="26" t="n">
        <x:v>25</x:v>
      </x:c>
      <x:c r="N363" s="26" t="n">
        <x:v>0</x:v>
      </x:c>
      <x:c r="O363" s="26" t="n">
        <x:f>MAX(M363-N363,0)</x:f>
        <x:v>25</x:v>
      </x:c>
      <x:c r="P363" s="38" t="n">
        <x:f>IFERROR(N363/M363,0)</x:f>
        <x:v>0</x:v>
      </x:c>
      <x:c r="Q363" s="26"/>
      <x:c r="R363" s="26"/>
      <x:c r="S363" s="26" t="str">
        <x:v>Pending Mapping</x:v>
      </x:c>
      <x:c r="T363" s="26"/>
      <x:c r="U363" s="26"/>
      <x:c r="V363" s="26"/>
      <x:c r="W363" s="32"/>
      <x:c r="X363" s="27" t="b">
        <x:v>1</x:v>
      </x:c>
      <x:c r="Y363" s="34" t="n">
        <x:v>46219.853113425925</x:v>
      </x:c>
      <x:c r="Z363" s="26"/>
      <x:c r="AA363" s="26" t="str"/>
      <x:c r="AB363" s="26" t="str">
        <x:v>Activity name/category not included in contribution response</x:v>
      </x:c>
    </x:row>
    <x:row r="364">
      <x:c r="A364" s="26" t="n">
        <x:v>361</x:v>
      </x:c>
      <x:c r="B364" s="26" t="n">
        <x:v>222</x:v>
      </x:c>
      <x:c r="C364" s="26" t="str">
        <x:v>Medak</x:v>
      </x:c>
      <x:c r="D364" s="26" t="n">
        <x:v>114584</x:v>
      </x:c>
      <x:c r="E364" s="26" t="str">
        <x:v>PRJ-2026-0114584</x:v>
      </x:c>
      <x:c r="F364" s="26" t="str">
        <x:v>AWC Upgradradation of Yashwanthraopet II</x:v>
      </x:c>
      <x:c r="G364" s="26" t="n">
        <x:v>568</x:v>
      </x:c>
      <x:c r="H364" s="26" t="n">
        <x:v>390455</x:v>
      </x:c>
      <x:c r="I364" s="26"/>
      <x:c r="J364" s="26"/>
      <x:c r="K364" s="26"/>
      <x:c r="L364" s="26" t="n">
        <x:v>2</x:v>
      </x:c>
      <x:c r="M364" s="26" t="n">
        <x:v>2</x:v>
      </x:c>
      <x:c r="N364" s="26" t="n">
        <x:v>0</x:v>
      </x:c>
      <x:c r="O364" s="26" t="n">
        <x:f>MAX(M364-N364,0)</x:f>
        <x:v>2</x:v>
      </x:c>
      <x:c r="P364" s="38" t="n">
        <x:f>IFERROR(N364/M364,0)</x:f>
        <x:v>0</x:v>
      </x:c>
      <x:c r="Q364" s="26"/>
      <x:c r="R364" s="26"/>
      <x:c r="S364" s="26" t="str">
        <x:v>Pending Mapping</x:v>
      </x:c>
      <x:c r="T364" s="26"/>
      <x:c r="U364" s="26"/>
      <x:c r="V364" s="26"/>
      <x:c r="W364" s="32"/>
      <x:c r="X364" s="27" t="b">
        <x:v>1</x:v>
      </x:c>
      <x:c r="Y364" s="34" t="n">
        <x:v>46219.853113425925</x:v>
      </x:c>
      <x:c r="Z364" s="26"/>
      <x:c r="AA364" s="26" t="str"/>
      <x:c r="AB364" s="26" t="str">
        <x:v>Activity name/category not included in contribution response</x:v>
      </x:c>
    </x:row>
    <x:row r="365">
      <x:c r="A365" s="26" t="n">
        <x:v>362</x:v>
      </x:c>
      <x:c r="B365" s="26" t="n">
        <x:v>222</x:v>
      </x:c>
      <x:c r="C365" s="26" t="str">
        <x:v>Medak</x:v>
      </x:c>
      <x:c r="D365" s="26" t="n">
        <x:v>114584</x:v>
      </x:c>
      <x:c r="E365" s="26" t="str">
        <x:v>PRJ-2026-0114584</x:v>
      </x:c>
      <x:c r="F365" s="26" t="str">
        <x:v>AWC Upgradradation of Yashwanthraopet II</x:v>
      </x:c>
      <x:c r="G365" s="26" t="n">
        <x:v>569</x:v>
      </x:c>
      <x:c r="H365" s="26" t="n">
        <x:v>390456</x:v>
      </x:c>
      <x:c r="I365" s="26"/>
      <x:c r="J365" s="26"/>
      <x:c r="K365" s="26"/>
      <x:c r="L365" s="26" t="n">
        <x:v>6</x:v>
      </x:c>
      <x:c r="M365" s="26" t="n">
        <x:v>6</x:v>
      </x:c>
      <x:c r="N365" s="26" t="n">
        <x:v>0</x:v>
      </x:c>
      <x:c r="O365" s="26" t="n">
        <x:f>MAX(M365-N365,0)</x:f>
        <x:v>6</x:v>
      </x:c>
      <x:c r="P365" s="38" t="n">
        <x:f>IFERROR(N365/M365,0)</x:f>
        <x:v>0</x:v>
      </x:c>
      <x:c r="Q365" s="26"/>
      <x:c r="R365" s="26"/>
      <x:c r="S365" s="26" t="str">
        <x:v>Pending Mapping</x:v>
      </x:c>
      <x:c r="T365" s="26"/>
      <x:c r="U365" s="26"/>
      <x:c r="V365" s="26"/>
      <x:c r="W365" s="32"/>
      <x:c r="X365" s="27" t="b">
        <x:v>1</x:v>
      </x:c>
      <x:c r="Y365" s="34" t="n">
        <x:v>46219.853113425925</x:v>
      </x:c>
      <x:c r="Z365" s="26"/>
      <x:c r="AA365" s="26" t="str"/>
      <x:c r="AB365" s="26" t="str">
        <x:v>Activity name/category not included in contribution response</x:v>
      </x:c>
    </x:row>
    <x:row r="366">
      <x:c r="A366" s="26" t="n">
        <x:v>363</x:v>
      </x:c>
      <x:c r="B366" s="26" t="n">
        <x:v>222</x:v>
      </x:c>
      <x:c r="C366" s="26" t="str">
        <x:v>Medak</x:v>
      </x:c>
      <x:c r="D366" s="26" t="n">
        <x:v>114584</x:v>
      </x:c>
      <x:c r="E366" s="26" t="str">
        <x:v>PRJ-2026-0114584</x:v>
      </x:c>
      <x:c r="F366" s="26" t="str">
        <x:v>AWC Upgradradation of Yashwanthraopet II</x:v>
      </x:c>
      <x:c r="G366" s="26" t="n">
        <x:v>570</x:v>
      </x:c>
      <x:c r="H366" s="26" t="n">
        <x:v>390457</x:v>
      </x:c>
      <x:c r="I366" s="26"/>
      <x:c r="J366" s="26"/>
      <x:c r="K366" s="26"/>
      <x:c r="L366" s="26" t="n">
        <x:v>1</x:v>
      </x:c>
      <x:c r="M366" s="26" t="n">
        <x:v>1</x:v>
      </x:c>
      <x:c r="N366" s="26" t="n">
        <x:v>0</x:v>
      </x:c>
      <x:c r="O366" s="26" t="n">
        <x:f>MAX(M366-N366,0)</x:f>
        <x:v>1</x:v>
      </x:c>
      <x:c r="P366" s="38" t="n">
        <x:f>IFERROR(N366/M366,0)</x:f>
        <x:v>0</x:v>
      </x:c>
      <x:c r="Q366" s="26"/>
      <x:c r="R366" s="26"/>
      <x:c r="S366" s="26" t="str">
        <x:v>Pending Mapping</x:v>
      </x:c>
      <x:c r="T366" s="26"/>
      <x:c r="U366" s="26"/>
      <x:c r="V366" s="26"/>
      <x:c r="W366" s="32"/>
      <x:c r="X366" s="27" t="b">
        <x:v>1</x:v>
      </x:c>
      <x:c r="Y366" s="34" t="n">
        <x:v>46219.853113425925</x:v>
      </x:c>
      <x:c r="Z366" s="26"/>
      <x:c r="AA366" s="26" t="str"/>
      <x:c r="AB366" s="26" t="str">
        <x:v>Activity name/category not included in contribution response</x:v>
      </x:c>
    </x:row>
    <x:row r="367">
      <x:c r="A367" s="26" t="n">
        <x:v>364</x:v>
      </x:c>
      <x:c r="B367" s="26" t="n">
        <x:v>220</x:v>
      </x:c>
      <x:c r="C367" s="26" t="str">
        <x:v>Medak</x:v>
      </x:c>
      <x:c r="D367" s="26" t="n">
        <x:v>114728</x:v>
      </x:c>
      <x:c r="E367" s="26" t="str">
        <x:v>PRJ-2026-0114728</x:v>
      </x:c>
      <x:c r="F367" s="26" t="str">
        <x:v>Upgradation of awc</x:v>
      </x:c>
      <x:c r="G367" s="26" t="n">
        <x:v>564</x:v>
      </x:c>
      <x:c r="H367" s="26" t="n">
        <x:v>391127</x:v>
      </x:c>
      <x:c r="I367" s="26"/>
      <x:c r="J367" s="26"/>
      <x:c r="K367" s="26"/>
      <x:c r="L367" s="26" t="n">
        <x:v>2</x:v>
      </x:c>
      <x:c r="M367" s="26" t="n">
        <x:v>2</x:v>
      </x:c>
      <x:c r="N367" s="26" t="n">
        <x:v>0</x:v>
      </x:c>
      <x:c r="O367" s="26" t="n">
        <x:f>MAX(M367-N367,0)</x:f>
        <x:v>2</x:v>
      </x:c>
      <x:c r="P367" s="38" t="n">
        <x:f>IFERROR(N367/M367,0)</x:f>
        <x:v>0</x:v>
      </x:c>
      <x:c r="Q367" s="26"/>
      <x:c r="R367" s="26"/>
      <x:c r="S367" s="26" t="str">
        <x:v>Pending Mapping</x:v>
      </x:c>
      <x:c r="T367" s="26"/>
      <x:c r="U367" s="26"/>
      <x:c r="V367" s="26"/>
      <x:c r="W367" s="32"/>
      <x:c r="X367" s="27" t="b">
        <x:v>1</x:v>
      </x:c>
      <x:c r="Y367" s="34" t="n">
        <x:v>46219.853101851855</x:v>
      </x:c>
      <x:c r="Z367" s="26"/>
      <x:c r="AA367" s="26" t="str"/>
      <x:c r="AB367" s="26" t="str">
        <x:v>Activity name/category not included in contribution response</x:v>
      </x:c>
    </x:row>
    <x:row r="368">
      <x:c r="A368" s="26" t="n">
        <x:v>365</x:v>
      </x:c>
      <x:c r="B368" s="26" t="n">
        <x:v>218</x:v>
      </x:c>
      <x:c r="C368" s="26" t="str">
        <x:v>Medak</x:v>
      </x:c>
      <x:c r="D368" s="26" t="n">
        <x:v>123083</x:v>
      </x:c>
      <x:c r="E368" s="26" t="str">
        <x:v>PRJ-2026-0123083</x:v>
      </x:c>
      <x:c r="F368" s="26" t="str">
        <x:v>Upgradation of awc</x:v>
      </x:c>
      <x:c r="G368" s="26" t="n">
        <x:v>562</x:v>
      </x:c>
      <x:c r="H368" s="26" t="n">
        <x:v>423948</x:v>
      </x:c>
      <x:c r="I368" s="26"/>
      <x:c r="J368" s="26"/>
      <x:c r="K368" s="26"/>
      <x:c r="L368" s="26" t="n">
        <x:v>4</x:v>
      </x:c>
      <x:c r="M368" s="26" t="n">
        <x:v>4</x:v>
      </x:c>
      <x:c r="N368" s="26" t="n">
        <x:v>0</x:v>
      </x:c>
      <x:c r="O368" s="26" t="n">
        <x:f>MAX(M368-N368,0)</x:f>
        <x:v>4</x:v>
      </x:c>
      <x:c r="P368" s="38" t="n">
        <x:f>IFERROR(N368/M368,0)</x:f>
        <x:v>0</x:v>
      </x:c>
      <x:c r="Q368" s="26"/>
      <x:c r="R368" s="26"/>
      <x:c r="S368" s="26" t="str">
        <x:v>Pending Mapping</x:v>
      </x:c>
      <x:c r="T368" s="26"/>
      <x:c r="U368" s="26"/>
      <x:c r="V368" s="26"/>
      <x:c r="W368" s="32"/>
      <x:c r="X368" s="27" t="b">
        <x:v>1</x:v>
      </x:c>
      <x:c r="Y368" s="34" t="n">
        <x:v>46219.85309027778</x:v>
      </x:c>
      <x:c r="Z368" s="26"/>
      <x:c r="AA368" s="26" t="str"/>
      <x:c r="AB368" s="26" t="str">
        <x:v>Activity name/category not included in contribution response</x:v>
      </x:c>
    </x:row>
    <x:row r="369">
      <x:c r="A369" s="26" t="n">
        <x:v>366</x:v>
      </x:c>
      <x:c r="B369" s="26" t="n">
        <x:v>219</x:v>
      </x:c>
      <x:c r="C369" s="26" t="str">
        <x:v>Medak</x:v>
      </x:c>
      <x:c r="D369" s="26" t="n">
        <x:v>123075</x:v>
      </x:c>
      <x:c r="E369" s="26" t="str">
        <x:v>PRJ-2026-0123075</x:v>
      </x:c>
      <x:c r="F369" s="26" t="str">
        <x:v>Upgradation of awc</x:v>
      </x:c>
      <x:c r="G369" s="26" t="n">
        <x:v>563</x:v>
      </x:c>
      <x:c r="H369" s="26" t="n">
        <x:v>423927</x:v>
      </x:c>
      <x:c r="I369" s="26"/>
      <x:c r="J369" s="26"/>
      <x:c r="K369" s="26"/>
      <x:c r="L369" s="26" t="n">
        <x:v>4</x:v>
      </x:c>
      <x:c r="M369" s="26" t="n">
        <x:v>4</x:v>
      </x:c>
      <x:c r="N369" s="26" t="n">
        <x:v>0</x:v>
      </x:c>
      <x:c r="O369" s="26" t="n">
        <x:f>MAX(M369-N369,0)</x:f>
        <x:v>4</x:v>
      </x:c>
      <x:c r="P369" s="38" t="n">
        <x:f>IFERROR(N369/M369,0)</x:f>
        <x:v>0</x:v>
      </x:c>
      <x:c r="Q369" s="26"/>
      <x:c r="R369" s="26"/>
      <x:c r="S369" s="26" t="str">
        <x:v>Pending Mapping</x:v>
      </x:c>
      <x:c r="T369" s="26"/>
      <x:c r="U369" s="26"/>
      <x:c r="V369" s="26"/>
      <x:c r="W369" s="32"/>
      <x:c r="X369" s="27" t="b">
        <x:v>1</x:v>
      </x:c>
      <x:c r="Y369" s="34" t="n">
        <x:v>46219.85309027778</x:v>
      </x:c>
      <x:c r="Z369" s="26"/>
      <x:c r="AA369" s="26" t="str"/>
      <x:c r="AB369" s="26" t="str">
        <x:v>Activity name/category not included in contribution response</x:v>
      </x:c>
    </x:row>
    <x:row r="370">
      <x:c r="A370" s="26" t="n">
        <x:v>367</x:v>
      </x:c>
      <x:c r="B370" s="26" t="n">
        <x:v>217</x:v>
      </x:c>
      <x:c r="C370" s="26" t="str">
        <x:v>Medak</x:v>
      </x:c>
      <x:c r="D370" s="26" t="n">
        <x:v>123089</x:v>
      </x:c>
      <x:c r="E370" s="26" t="str">
        <x:v>PRJ-2026-0123089</x:v>
      </x:c>
      <x:c r="F370" s="26" t="str">
        <x:v>Upgradation of awc</x:v>
      </x:c>
      <x:c r="G370" s="26" t="n">
        <x:v>561</x:v>
      </x:c>
      <x:c r="H370" s="26" t="n">
        <x:v>423960</x:v>
      </x:c>
      <x:c r="I370" s="26"/>
      <x:c r="J370" s="26"/>
      <x:c r="K370" s="26"/>
      <x:c r="L370" s="26" t="n">
        <x:v>7</x:v>
      </x:c>
      <x:c r="M370" s="26" t="n">
        <x:v>7</x:v>
      </x:c>
      <x:c r="N370" s="26" t="n">
        <x:v>0</x:v>
      </x:c>
      <x:c r="O370" s="26" t="n">
        <x:f>MAX(M370-N370,0)</x:f>
        <x:v>7</x:v>
      </x:c>
      <x:c r="P370" s="38" t="n">
        <x:f>IFERROR(N370/M370,0)</x:f>
        <x:v>0</x:v>
      </x:c>
      <x:c r="Q370" s="26"/>
      <x:c r="R370" s="26"/>
      <x:c r="S370" s="26" t="str">
        <x:v>Pending Mapping</x:v>
      </x:c>
      <x:c r="T370" s="26"/>
      <x:c r="U370" s="26"/>
      <x:c r="V370" s="26"/>
      <x:c r="W370" s="32"/>
      <x:c r="X370" s="27" t="b">
        <x:v>1</x:v>
      </x:c>
      <x:c r="Y370" s="34" t="n">
        <x:v>46219.8530787037</x:v>
      </x:c>
      <x:c r="Z370" s="26"/>
      <x:c r="AA370" s="26" t="str"/>
      <x:c r="AB370" s="26" t="str">
        <x:v>Activity name/category not included in contribution response</x:v>
      </x:c>
    </x:row>
    <x:row r="371">
      <x:c r="A371" s="26" t="n">
        <x:v>368</x:v>
      </x:c>
      <x:c r="B371" s="26" t="n">
        <x:v>215</x:v>
      </x:c>
      <x:c r="C371" s="26" t="str">
        <x:v>Medak</x:v>
      </x:c>
      <x:c r="D371" s="26" t="n">
        <x:v>123887</x:v>
      </x:c>
      <x:c r="E371" s="26" t="str">
        <x:v>PRJ-2026-0123887</x:v>
      </x:c>
      <x:c r="F371" s="26" t="str">
        <x:v>Upgradation of awc</x:v>
      </x:c>
      <x:c r="G371" s="26" t="n">
        <x:v>559</x:v>
      </x:c>
      <x:c r="H371" s="26" t="n">
        <x:v>426273</x:v>
      </x:c>
      <x:c r="I371" s="26"/>
      <x:c r="J371" s="26"/>
      <x:c r="K371" s="26"/>
      <x:c r="L371" s="26" t="n">
        <x:v>5</x:v>
      </x:c>
      <x:c r="M371" s="26" t="n">
        <x:v>5</x:v>
      </x:c>
      <x:c r="N371" s="26" t="n">
        <x:v>0</x:v>
      </x:c>
      <x:c r="O371" s="26" t="n">
        <x:f>MAX(M371-N371,0)</x:f>
        <x:v>5</x:v>
      </x:c>
      <x:c r="P371" s="38" t="n">
        <x:f>IFERROR(N371/M371,0)</x:f>
        <x:v>0</x:v>
      </x:c>
      <x:c r="Q371" s="26"/>
      <x:c r="R371" s="26"/>
      <x:c r="S371" s="26" t="str">
        <x:v>Pending Mapping</x:v>
      </x:c>
      <x:c r="T371" s="26"/>
      <x:c r="U371" s="26"/>
      <x:c r="V371" s="26"/>
      <x:c r="W371" s="32"/>
      <x:c r="X371" s="27" t="b">
        <x:v>1</x:v>
      </x:c>
      <x:c r="Y371" s="34" t="n">
        <x:v>46219.85306712963</x:v>
      </x:c>
      <x:c r="Z371" s="26"/>
      <x:c r="AA371" s="26" t="str"/>
      <x:c r="AB371" s="26" t="str">
        <x:v>Activity name/category not included in contribution response</x:v>
      </x:c>
    </x:row>
    <x:row r="372">
      <x:c r="A372" s="26" t="n">
        <x:v>369</x:v>
      </x:c>
      <x:c r="B372" s="26" t="n">
        <x:v>216</x:v>
      </x:c>
      <x:c r="C372" s="26" t="str">
        <x:v>Medak</x:v>
      </x:c>
      <x:c r="D372" s="26" t="n">
        <x:v>123865</x:v>
      </x:c>
      <x:c r="E372" s="26" t="str">
        <x:v>PRJ-2026-0123865</x:v>
      </x:c>
      <x:c r="F372" s="26" t="str">
        <x:v>Upgradation of awc</x:v>
      </x:c>
      <x:c r="G372" s="26" t="n">
        <x:v>560</x:v>
      </x:c>
      <x:c r="H372" s="26" t="n">
        <x:v>426197</x:v>
      </x:c>
      <x:c r="I372" s="26"/>
      <x:c r="J372" s="26"/>
      <x:c r="K372" s="26"/>
      <x:c r="L372" s="26" t="n">
        <x:v>4</x:v>
      </x:c>
      <x:c r="M372" s="26" t="n">
        <x:v>4</x:v>
      </x:c>
      <x:c r="N372" s="26" t="n">
        <x:v>0</x:v>
      </x:c>
      <x:c r="O372" s="26" t="n">
        <x:f>MAX(M372-N372,0)</x:f>
        <x:v>4</x:v>
      </x:c>
      <x:c r="P372" s="38" t="n">
        <x:f>IFERROR(N372/M372,0)</x:f>
        <x:v>0</x:v>
      </x:c>
      <x:c r="Q372" s="26"/>
      <x:c r="R372" s="26"/>
      <x:c r="S372" s="26" t="str">
        <x:v>Pending Mapping</x:v>
      </x:c>
      <x:c r="T372" s="26"/>
      <x:c r="U372" s="26"/>
      <x:c r="V372" s="26"/>
      <x:c r="W372" s="32"/>
      <x:c r="X372" s="27" t="b">
        <x:v>1</x:v>
      </x:c>
      <x:c r="Y372" s="34" t="n">
        <x:v>46219.85306712963</x:v>
      </x:c>
      <x:c r="Z372" s="26"/>
      <x:c r="AA372" s="26" t="str"/>
      <x:c r="AB372" s="26" t="str">
        <x:v>Activity name/category not included in contribution response</x:v>
      </x:c>
    </x:row>
    <x:row r="373">
      <x:c r="A373" s="26" t="n">
        <x:v>370</x:v>
      </x:c>
      <x:c r="B373" s="26" t="n">
        <x:v>214</x:v>
      </x:c>
      <x:c r="C373" s="26" t="str">
        <x:v>Medak</x:v>
      </x:c>
      <x:c r="D373" s="26" t="n">
        <x:v>123912</x:v>
      </x:c>
      <x:c r="E373" s="26" t="str">
        <x:v>PRJ-2026-0123912</x:v>
      </x:c>
      <x:c r="F373" s="26" t="str">
        <x:v>Upgradation of awc</x:v>
      </x:c>
      <x:c r="G373" s="26" t="n">
        <x:v>558</x:v>
      </x:c>
      <x:c r="H373" s="26" t="n">
        <x:v>426326</x:v>
      </x:c>
      <x:c r="I373" s="26"/>
      <x:c r="J373" s="26"/>
      <x:c r="K373" s="26"/>
      <x:c r="L373" s="26" t="n">
        <x:v>5</x:v>
      </x:c>
      <x:c r="M373" s="26" t="n">
        <x:v>5</x:v>
      </x:c>
      <x:c r="N373" s="26" t="n">
        <x:v>0</x:v>
      </x:c>
      <x:c r="O373" s="26" t="n">
        <x:f>MAX(M373-N373,0)</x:f>
        <x:v>5</x:v>
      </x:c>
      <x:c r="P373" s="38" t="n">
        <x:f>IFERROR(N373/M373,0)</x:f>
        <x:v>0</x:v>
      </x:c>
      <x:c r="Q373" s="26"/>
      <x:c r="R373" s="26"/>
      <x:c r="S373" s="26" t="str">
        <x:v>Pending Mapping</x:v>
      </x:c>
      <x:c r="T373" s="26"/>
      <x:c r="U373" s="26"/>
      <x:c r="V373" s="26"/>
      <x:c r="W373" s="32"/>
      <x:c r="X373" s="27" t="b">
        <x:v>1</x:v>
      </x:c>
      <x:c r="Y373" s="34" t="n">
        <x:v>46219.853055555555</x:v>
      </x:c>
      <x:c r="Z373" s="26"/>
      <x:c r="AA373" s="26" t="str"/>
      <x:c r="AB373" s="26" t="str">
        <x:v>Activity name/category not included in contribution response</x:v>
      </x:c>
    </x:row>
    <x:row r="374">
      <x:c r="A374" s="26" t="n">
        <x:v>371</x:v>
      </x:c>
      <x:c r="B374" s="26" t="n">
        <x:v>213</x:v>
      </x:c>
      <x:c r="C374" s="26" t="str">
        <x:v>Medak</x:v>
      </x:c>
      <x:c r="D374" s="26" t="n">
        <x:v>114693</x:v>
      </x:c>
      <x:c r="E374" s="26" t="str">
        <x:v>PRJ-2026-0114693</x:v>
      </x:c>
      <x:c r="F374" s="26" t="str">
        <x:v>AWC Upgradation of Veldurthy-IV</x:v>
      </x:c>
      <x:c r="G374" s="26" t="n">
        <x:v>553</x:v>
      </x:c>
      <x:c r="H374" s="26" t="n">
        <x:v>390994</x:v>
      </x:c>
      <x:c r="I374" s="26"/>
      <x:c r="J374" s="26"/>
      <x:c r="K374" s="26"/>
      <x:c r="L374" s="26" t="n">
        <x:v>2</x:v>
      </x:c>
      <x:c r="M374" s="26" t="n">
        <x:v>2</x:v>
      </x:c>
      <x:c r="N374" s="26" t="n">
        <x:v>0</x:v>
      </x:c>
      <x:c r="O374" s="26" t="n">
        <x:f>MAX(M374-N374,0)</x:f>
        <x:v>2</x:v>
      </x:c>
      <x:c r="P374" s="38" t="n">
        <x:f>IFERROR(N374/M374,0)</x:f>
        <x:v>0</x:v>
      </x:c>
      <x:c r="Q374" s="26"/>
      <x:c r="R374" s="26"/>
      <x:c r="S374" s="26" t="str">
        <x:v>Pending Mapping</x:v>
      </x:c>
      <x:c r="T374" s="26"/>
      <x:c r="U374" s="26"/>
      <x:c r="V374" s="26"/>
      <x:c r="W374" s="32"/>
      <x:c r="X374" s="27" t="b">
        <x:v>1</x:v>
      </x:c>
      <x:c r="Y374" s="34" t="n">
        <x:v>46219.850752314815</x:v>
      </x:c>
      <x:c r="Z374" s="26"/>
      <x:c r="AA374" s="26" t="str"/>
      <x:c r="AB374" s="26" t="str">
        <x:v>Activity name/category not included in contribution response</x:v>
      </x:c>
    </x:row>
    <x:row r="375">
      <x:c r="A375" s="26" t="n">
        <x:v>372</x:v>
      </x:c>
      <x:c r="B375" s="26" t="n">
        <x:v>213</x:v>
      </x:c>
      <x:c r="C375" s="26" t="str">
        <x:v>Medak</x:v>
      </x:c>
      <x:c r="D375" s="26" t="n">
        <x:v>114693</x:v>
      </x:c>
      <x:c r="E375" s="26" t="str">
        <x:v>PRJ-2026-0114693</x:v>
      </x:c>
      <x:c r="F375" s="26" t="str">
        <x:v>AWC Upgradation of Veldurthy-IV</x:v>
      </x:c>
      <x:c r="G375" s="26" t="n">
        <x:v>554</x:v>
      </x:c>
      <x:c r="H375" s="26" t="n">
        <x:v>390995</x:v>
      </x:c>
      <x:c r="I375" s="26"/>
      <x:c r="J375" s="26"/>
      <x:c r="K375" s="26"/>
      <x:c r="L375" s="26" t="n">
        <x:v>25</x:v>
      </x:c>
      <x:c r="M375" s="26" t="n">
        <x:v>25</x:v>
      </x:c>
      <x:c r="N375" s="26" t="n">
        <x:v>0</x:v>
      </x:c>
      <x:c r="O375" s="26" t="n">
        <x:f>MAX(M375-N375,0)</x:f>
        <x:v>25</x:v>
      </x:c>
      <x:c r="P375" s="38" t="n">
        <x:f>IFERROR(N375/M375,0)</x:f>
        <x:v>0</x:v>
      </x:c>
      <x:c r="Q375" s="26"/>
      <x:c r="R375" s="26"/>
      <x:c r="S375" s="26" t="str">
        <x:v>Pending Mapping</x:v>
      </x:c>
      <x:c r="T375" s="26"/>
      <x:c r="U375" s="26"/>
      <x:c r="V375" s="26"/>
      <x:c r="W375" s="32"/>
      <x:c r="X375" s="27" t="b">
        <x:v>1</x:v>
      </x:c>
      <x:c r="Y375" s="34" t="n">
        <x:v>46219.850752314815</x:v>
      </x:c>
      <x:c r="Z375" s="26"/>
      <x:c r="AA375" s="26" t="str"/>
      <x:c r="AB375" s="26" t="str">
        <x:v>Activity name/category not included in contribution response</x:v>
      </x:c>
    </x:row>
    <x:row r="376">
      <x:c r="A376" s="26" t="n">
        <x:v>373</x:v>
      </x:c>
      <x:c r="B376" s="26" t="n">
        <x:v>213</x:v>
      </x:c>
      <x:c r="C376" s="26" t="str">
        <x:v>Medak</x:v>
      </x:c>
      <x:c r="D376" s="26" t="n">
        <x:v>114693</x:v>
      </x:c>
      <x:c r="E376" s="26" t="str">
        <x:v>PRJ-2026-0114693</x:v>
      </x:c>
      <x:c r="F376" s="26" t="str">
        <x:v>AWC Upgradation of Veldurthy-IV</x:v>
      </x:c>
      <x:c r="G376" s="26" t="n">
        <x:v>555</x:v>
      </x:c>
      <x:c r="H376" s="26" t="n">
        <x:v>390996</x:v>
      </x:c>
      <x:c r="I376" s="26"/>
      <x:c r="J376" s="26"/>
      <x:c r="K376" s="26"/>
      <x:c r="L376" s="26" t="n">
        <x:v>3</x:v>
      </x:c>
      <x:c r="M376" s="26" t="n">
        <x:v>3</x:v>
      </x:c>
      <x:c r="N376" s="26" t="n">
        <x:v>0</x:v>
      </x:c>
      <x:c r="O376" s="26" t="n">
        <x:f>MAX(M376-N376,0)</x:f>
        <x:v>3</x:v>
      </x:c>
      <x:c r="P376" s="38" t="n">
        <x:f>IFERROR(N376/M376,0)</x:f>
        <x:v>0</x:v>
      </x:c>
      <x:c r="Q376" s="26"/>
      <x:c r="R376" s="26"/>
      <x:c r="S376" s="26" t="str">
        <x:v>Pending Mapping</x:v>
      </x:c>
      <x:c r="T376" s="26"/>
      <x:c r="U376" s="26"/>
      <x:c r="V376" s="26"/>
      <x:c r="W376" s="32"/>
      <x:c r="X376" s="27" t="b">
        <x:v>1</x:v>
      </x:c>
      <x:c r="Y376" s="34" t="n">
        <x:v>46219.850752314815</x:v>
      </x:c>
      <x:c r="Z376" s="26"/>
      <x:c r="AA376" s="26" t="str"/>
      <x:c r="AB376" s="26" t="str">
        <x:v>Activity name/category not included in contribution response</x:v>
      </x:c>
    </x:row>
    <x:row r="377">
      <x:c r="A377" s="26" t="n">
        <x:v>374</x:v>
      </x:c>
      <x:c r="B377" s="26" t="n">
        <x:v>213</x:v>
      </x:c>
      <x:c r="C377" s="26" t="str">
        <x:v>Medak</x:v>
      </x:c>
      <x:c r="D377" s="26" t="n">
        <x:v>114693</x:v>
      </x:c>
      <x:c r="E377" s="26" t="str">
        <x:v>PRJ-2026-0114693</x:v>
      </x:c>
      <x:c r="F377" s="26" t="str">
        <x:v>AWC Upgradation of Veldurthy-IV</x:v>
      </x:c>
      <x:c r="G377" s="26" t="n">
        <x:v>556</x:v>
      </x:c>
      <x:c r="H377" s="26" t="n">
        <x:v>390997</x:v>
      </x:c>
      <x:c r="I377" s="26"/>
      <x:c r="J377" s="26"/>
      <x:c r="K377" s="26"/>
      <x:c r="L377" s="26" t="n">
        <x:v>6</x:v>
      </x:c>
      <x:c r="M377" s="26" t="n">
        <x:v>6</x:v>
      </x:c>
      <x:c r="N377" s="26" t="n">
        <x:v>0</x:v>
      </x:c>
      <x:c r="O377" s="26" t="n">
        <x:f>MAX(M377-N377,0)</x:f>
        <x:v>6</x:v>
      </x:c>
      <x:c r="P377" s="38" t="n">
        <x:f>IFERROR(N377/M377,0)</x:f>
        <x:v>0</x:v>
      </x:c>
      <x:c r="Q377" s="26"/>
      <x:c r="R377" s="26"/>
      <x:c r="S377" s="26" t="str">
        <x:v>Pending Mapping</x:v>
      </x:c>
      <x:c r="T377" s="26"/>
      <x:c r="U377" s="26"/>
      <x:c r="V377" s="26"/>
      <x:c r="W377" s="32"/>
      <x:c r="X377" s="27" t="b">
        <x:v>1</x:v>
      </x:c>
      <x:c r="Y377" s="34" t="n">
        <x:v>46219.850752314815</x:v>
      </x:c>
      <x:c r="Z377" s="26"/>
      <x:c r="AA377" s="26" t="str"/>
      <x:c r="AB377" s="26" t="str">
        <x:v>Activity name/category not included in contribution response</x:v>
      </x:c>
    </x:row>
    <x:row r="378">
      <x:c r="A378" s="26" t="n">
        <x:v>375</x:v>
      </x:c>
      <x:c r="B378" s="26" t="n">
        <x:v>213</x:v>
      </x:c>
      <x:c r="C378" s="26" t="str">
        <x:v>Medak</x:v>
      </x:c>
      <x:c r="D378" s="26" t="n">
        <x:v>114693</x:v>
      </x:c>
      <x:c r="E378" s="26" t="str">
        <x:v>PRJ-2026-0114693</x:v>
      </x:c>
      <x:c r="F378" s="26" t="str">
        <x:v>AWC Upgradation of Veldurthy-IV</x:v>
      </x:c>
      <x:c r="G378" s="26" t="n">
        <x:v>557</x:v>
      </x:c>
      <x:c r="H378" s="26" t="n">
        <x:v>390998</x:v>
      </x:c>
      <x:c r="I378" s="26"/>
      <x:c r="J378" s="26"/>
      <x:c r="K378" s="26"/>
      <x:c r="L378" s="26" t="n">
        <x:v>1</x:v>
      </x:c>
      <x:c r="M378" s="26" t="n">
        <x:v>1</x:v>
      </x:c>
      <x:c r="N378" s="26" t="n">
        <x:v>0</x:v>
      </x:c>
      <x:c r="O378" s="26" t="n">
        <x:f>MAX(M378-N378,0)</x:f>
        <x:v>1</x:v>
      </x:c>
      <x:c r="P378" s="38" t="n">
        <x:f>IFERROR(N378/M378,0)</x:f>
        <x:v>0</x:v>
      </x:c>
      <x:c r="Q378" s="26"/>
      <x:c r="R378" s="26"/>
      <x:c r="S378" s="26" t="str">
        <x:v>Pending Mapping</x:v>
      </x:c>
      <x:c r="T378" s="26"/>
      <x:c r="U378" s="26"/>
      <x:c r="V378" s="26"/>
      <x:c r="W378" s="32"/>
      <x:c r="X378" s="27" t="b">
        <x:v>1</x:v>
      </x:c>
      <x:c r="Y378" s="34" t="n">
        <x:v>46219.850752314815</x:v>
      </x:c>
      <x:c r="Z378" s="26"/>
      <x:c r="AA378" s="26" t="str"/>
      <x:c r="AB378" s="26" t="str">
        <x:v>Activity name/category not included in contribution response</x:v>
      </x:c>
    </x:row>
    <x:row r="379">
      <x:c r="A379" s="26" t="n">
        <x:v>376</x:v>
      </x:c>
      <x:c r="B379" s="26" t="n">
        <x:v>212</x:v>
      </x:c>
      <x:c r="C379" s="26" t="str">
        <x:v>Medak</x:v>
      </x:c>
      <x:c r="D379" s="26" t="n">
        <x:v>114660</x:v>
      </x:c>
      <x:c r="E379" s="26" t="str">
        <x:v>PRJ-2026-0114660</x:v>
      </x:c>
      <x:c r="F379" s="26" t="str">
        <x:v>AWC Upgradation of Aragudem</x:v>
      </x:c>
      <x:c r="G379" s="26" t="n">
        <x:v>549</x:v>
      </x:c>
      <x:c r="H379" s="26" t="n">
        <x:v>390843</x:v>
      </x:c>
      <x:c r="I379" s="26"/>
      <x:c r="J379" s="26"/>
      <x:c r="K379" s="26"/>
      <x:c r="L379" s="26" t="n">
        <x:v>2</x:v>
      </x:c>
      <x:c r="M379" s="26" t="n">
        <x:v>2</x:v>
      </x:c>
      <x:c r="N379" s="26" t="n">
        <x:v>0</x:v>
      </x:c>
      <x:c r="O379" s="26" t="n">
        <x:f>MAX(M379-N379,0)</x:f>
        <x:v>2</x:v>
      </x:c>
      <x:c r="P379" s="38" t="n">
        <x:f>IFERROR(N379/M379,0)</x:f>
        <x:v>0</x:v>
      </x:c>
      <x:c r="Q379" s="26"/>
      <x:c r="R379" s="26"/>
      <x:c r="S379" s="26" t="str">
        <x:v>Pending Mapping</x:v>
      </x:c>
      <x:c r="T379" s="26"/>
      <x:c r="U379" s="26"/>
      <x:c r="V379" s="26"/>
      <x:c r="W379" s="32"/>
      <x:c r="X379" s="27" t="b">
        <x:v>1</x:v>
      </x:c>
      <x:c r="Y379" s="34" t="n">
        <x:v>46219.85074074074</x:v>
      </x:c>
      <x:c r="Z379" s="26"/>
      <x:c r="AA379" s="26" t="str"/>
      <x:c r="AB379" s="26" t="str">
        <x:v>Activity name/category not included in contribution response</x:v>
      </x:c>
    </x:row>
    <x:row r="380">
      <x:c r="A380" s="26" t="n">
        <x:v>377</x:v>
      </x:c>
      <x:c r="B380" s="26" t="n">
        <x:v>212</x:v>
      </x:c>
      <x:c r="C380" s="26" t="str">
        <x:v>Medak</x:v>
      </x:c>
      <x:c r="D380" s="26" t="n">
        <x:v>114660</x:v>
      </x:c>
      <x:c r="E380" s="26" t="str">
        <x:v>PRJ-2026-0114660</x:v>
      </x:c>
      <x:c r="F380" s="26" t="str">
        <x:v>AWC Upgradation of Aragudem</x:v>
      </x:c>
      <x:c r="G380" s="26" t="n">
        <x:v>550</x:v>
      </x:c>
      <x:c r="H380" s="26" t="n">
        <x:v>390844</x:v>
      </x:c>
      <x:c r="I380" s="26"/>
      <x:c r="J380" s="26"/>
      <x:c r="K380" s="26"/>
      <x:c r="L380" s="26" t="n">
        <x:v>22</x:v>
      </x:c>
      <x:c r="M380" s="26" t="n">
        <x:v>22</x:v>
      </x:c>
      <x:c r="N380" s="26" t="n">
        <x:v>0</x:v>
      </x:c>
      <x:c r="O380" s="26" t="n">
        <x:f>MAX(M380-N380,0)</x:f>
        <x:v>22</x:v>
      </x:c>
      <x:c r="P380" s="38" t="n">
        <x:f>IFERROR(N380/M380,0)</x:f>
        <x:v>0</x:v>
      </x:c>
      <x:c r="Q380" s="26"/>
      <x:c r="R380" s="26"/>
      <x:c r="S380" s="26" t="str">
        <x:v>Pending Mapping</x:v>
      </x:c>
      <x:c r="T380" s="26"/>
      <x:c r="U380" s="26"/>
      <x:c r="V380" s="26"/>
      <x:c r="W380" s="32"/>
      <x:c r="X380" s="27" t="b">
        <x:v>1</x:v>
      </x:c>
      <x:c r="Y380" s="34" t="n">
        <x:v>46219.85074074074</x:v>
      </x:c>
      <x:c r="Z380" s="26"/>
      <x:c r="AA380" s="26" t="str"/>
      <x:c r="AB380" s="26" t="str">
        <x:v>Activity name/category not included in contribution response</x:v>
      </x:c>
    </x:row>
    <x:row r="381">
      <x:c r="A381" s="26" t="n">
        <x:v>378</x:v>
      </x:c>
      <x:c r="B381" s="26" t="n">
        <x:v>212</x:v>
      </x:c>
      <x:c r="C381" s="26" t="str">
        <x:v>Medak</x:v>
      </x:c>
      <x:c r="D381" s="26" t="n">
        <x:v>114660</x:v>
      </x:c>
      <x:c r="E381" s="26" t="str">
        <x:v>PRJ-2026-0114660</x:v>
      </x:c>
      <x:c r="F381" s="26" t="str">
        <x:v>AWC Upgradation of Aragudem</x:v>
      </x:c>
      <x:c r="G381" s="26" t="n">
        <x:v>551</x:v>
      </x:c>
      <x:c r="H381" s="26" t="n">
        <x:v>390845</x:v>
      </x:c>
      <x:c r="I381" s="26"/>
      <x:c r="J381" s="26"/>
      <x:c r="K381" s="26"/>
      <x:c r="L381" s="26" t="n">
        <x:v>3</x:v>
      </x:c>
      <x:c r="M381" s="26" t="n">
        <x:v>3</x:v>
      </x:c>
      <x:c r="N381" s="26" t="n">
        <x:v>0</x:v>
      </x:c>
      <x:c r="O381" s="26" t="n">
        <x:f>MAX(M381-N381,0)</x:f>
        <x:v>3</x:v>
      </x:c>
      <x:c r="P381" s="38" t="n">
        <x:f>IFERROR(N381/M381,0)</x:f>
        <x:v>0</x:v>
      </x:c>
      <x:c r="Q381" s="26"/>
      <x:c r="R381" s="26"/>
      <x:c r="S381" s="26" t="str">
        <x:v>Pending Mapping</x:v>
      </x:c>
      <x:c r="T381" s="26"/>
      <x:c r="U381" s="26"/>
      <x:c r="V381" s="26"/>
      <x:c r="W381" s="32"/>
      <x:c r="X381" s="27" t="b">
        <x:v>1</x:v>
      </x:c>
      <x:c r="Y381" s="34" t="n">
        <x:v>46219.85074074074</x:v>
      </x:c>
      <x:c r="Z381" s="26"/>
      <x:c r="AA381" s="26" t="str"/>
      <x:c r="AB381" s="26" t="str">
        <x:v>Activity name/category not included in contribution response</x:v>
      </x:c>
    </x:row>
    <x:row r="382">
      <x:c r="A382" s="26" t="n">
        <x:v>379</x:v>
      </x:c>
      <x:c r="B382" s="26" t="n">
        <x:v>212</x:v>
      </x:c>
      <x:c r="C382" s="26" t="str">
        <x:v>Medak</x:v>
      </x:c>
      <x:c r="D382" s="26" t="n">
        <x:v>114660</x:v>
      </x:c>
      <x:c r="E382" s="26" t="str">
        <x:v>PRJ-2026-0114660</x:v>
      </x:c>
      <x:c r="F382" s="26" t="str">
        <x:v>AWC Upgradation of Aragudem</x:v>
      </x:c>
      <x:c r="G382" s="26" t="n">
        <x:v>552</x:v>
      </x:c>
      <x:c r="H382" s="26" t="n">
        <x:v>390846</x:v>
      </x:c>
      <x:c r="I382" s="26"/>
      <x:c r="J382" s="26"/>
      <x:c r="K382" s="26"/>
      <x:c r="L382" s="26" t="n">
        <x:v>6</x:v>
      </x:c>
      <x:c r="M382" s="26" t="n">
        <x:v>6</x:v>
      </x:c>
      <x:c r="N382" s="26" t="n">
        <x:v>0</x:v>
      </x:c>
      <x:c r="O382" s="26" t="n">
        <x:f>MAX(M382-N382,0)</x:f>
        <x:v>6</x:v>
      </x:c>
      <x:c r="P382" s="38" t="n">
        <x:f>IFERROR(N382/M382,0)</x:f>
        <x:v>0</x:v>
      </x:c>
      <x:c r="Q382" s="26"/>
      <x:c r="R382" s="26"/>
      <x:c r="S382" s="26" t="str">
        <x:v>Pending Mapping</x:v>
      </x:c>
      <x:c r="T382" s="26"/>
      <x:c r="U382" s="26"/>
      <x:c r="V382" s="26"/>
      <x:c r="W382" s="32"/>
      <x:c r="X382" s="27" t="b">
        <x:v>1</x:v>
      </x:c>
      <x:c r="Y382" s="34" t="n">
        <x:v>46219.85074074074</x:v>
      </x:c>
      <x:c r="Z382" s="26"/>
      <x:c r="AA382" s="26" t="str"/>
      <x:c r="AB382" s="26" t="str">
        <x:v>Activity name/category not included in contribution response</x:v>
      </x:c>
    </x:row>
    <x:row r="383">
      <x:c r="A383" s="26" t="n">
        <x:v>380</x:v>
      </x:c>
      <x:c r="B383" s="26" t="n">
        <x:v>210</x:v>
      </x:c>
      <x:c r="C383" s="26" t="str">
        <x:v>Medak</x:v>
      </x:c>
      <x:c r="D383" s="26" t="n">
        <x:v>114707</x:v>
      </x:c>
      <x:c r="E383" s="26" t="str">
        <x:v>PRJ-2026-0114707</x:v>
      </x:c>
      <x:c r="F383" s="26" t="str">
        <x:v>AWC Upgradation of Veldurthy-I</x:v>
      </x:c>
      <x:c r="G383" s="26" t="n">
        <x:v>544</x:v>
      </x:c>
      <x:c r="H383" s="26" t="n">
        <x:v>391039</x:v>
      </x:c>
      <x:c r="I383" s="26"/>
      <x:c r="J383" s="26"/>
      <x:c r="K383" s="26"/>
      <x:c r="L383" s="26" t="n">
        <x:v>2</x:v>
      </x:c>
      <x:c r="M383" s="26" t="n">
        <x:v>2</x:v>
      </x:c>
      <x:c r="N383" s="26" t="n">
        <x:v>0</x:v>
      </x:c>
      <x:c r="O383" s="26" t="n">
        <x:f>MAX(M383-N383,0)</x:f>
        <x:v>2</x:v>
      </x:c>
      <x:c r="P383" s="38" t="n">
        <x:f>IFERROR(N383/M383,0)</x:f>
        <x:v>0</x:v>
      </x:c>
      <x:c r="Q383" s="26"/>
      <x:c r="R383" s="26"/>
      <x:c r="S383" s="26" t="str">
        <x:v>Pending Mapping</x:v>
      </x:c>
      <x:c r="T383" s="26"/>
      <x:c r="U383" s="26"/>
      <x:c r="V383" s="26"/>
      <x:c r="W383" s="32"/>
      <x:c r="X383" s="27" t="b">
        <x:v>1</x:v>
      </x:c>
      <x:c r="Y383" s="34" t="n">
        <x:v>46219.85072916667</x:v>
      </x:c>
      <x:c r="Z383" s="26"/>
      <x:c r="AA383" s="26" t="str"/>
      <x:c r="AB383" s="26" t="str">
        <x:v>Activity name/category not included in contribution response</x:v>
      </x:c>
    </x:row>
    <x:row r="384">
      <x:c r="A384" s="26" t="n">
        <x:v>381</x:v>
      </x:c>
      <x:c r="B384" s="26" t="n">
        <x:v>210</x:v>
      </x:c>
      <x:c r="C384" s="26" t="str">
        <x:v>Medak</x:v>
      </x:c>
      <x:c r="D384" s="26" t="n">
        <x:v>114707</x:v>
      </x:c>
      <x:c r="E384" s="26" t="str">
        <x:v>PRJ-2026-0114707</x:v>
      </x:c>
      <x:c r="F384" s="26" t="str">
        <x:v>AWC Upgradation of Veldurthy-I</x:v>
      </x:c>
      <x:c r="G384" s="26" t="n">
        <x:v>545</x:v>
      </x:c>
      <x:c r="H384" s="26" t="n">
        <x:v>391040</x:v>
      </x:c>
      <x:c r="I384" s="26"/>
      <x:c r="J384" s="26"/>
      <x:c r="K384" s="26"/>
      <x:c r="L384" s="26" t="n">
        <x:v>5</x:v>
      </x:c>
      <x:c r="M384" s="26" t="n">
        <x:v>5</x:v>
      </x:c>
      <x:c r="N384" s="26" t="n">
        <x:v>0</x:v>
      </x:c>
      <x:c r="O384" s="26" t="n">
        <x:f>MAX(M384-N384,0)</x:f>
        <x:v>5</x:v>
      </x:c>
      <x:c r="P384" s="38" t="n">
        <x:f>IFERROR(N384/M384,0)</x:f>
        <x:v>0</x:v>
      </x:c>
      <x:c r="Q384" s="26"/>
      <x:c r="R384" s="26"/>
      <x:c r="S384" s="26" t="str">
        <x:v>Pending Mapping</x:v>
      </x:c>
      <x:c r="T384" s="26"/>
      <x:c r="U384" s="26"/>
      <x:c r="V384" s="26"/>
      <x:c r="W384" s="32"/>
      <x:c r="X384" s="27" t="b">
        <x:v>1</x:v>
      </x:c>
      <x:c r="Y384" s="34" t="n">
        <x:v>46219.85072916667</x:v>
      </x:c>
      <x:c r="Z384" s="26"/>
      <x:c r="AA384" s="26" t="str"/>
      <x:c r="AB384" s="26" t="str">
        <x:v>Activity name/category not included in contribution response</x:v>
      </x:c>
    </x:row>
    <x:row r="385">
      <x:c r="A385" s="26" t="n">
        <x:v>382</x:v>
      </x:c>
      <x:c r="B385" s="26" t="n">
        <x:v>210</x:v>
      </x:c>
      <x:c r="C385" s="26" t="str">
        <x:v>Medak</x:v>
      </x:c>
      <x:c r="D385" s="26" t="n">
        <x:v>114707</x:v>
      </x:c>
      <x:c r="E385" s="26" t="str">
        <x:v>PRJ-2026-0114707</x:v>
      </x:c>
      <x:c r="F385" s="26" t="str">
        <x:v>AWC Upgradation of Veldurthy-I</x:v>
      </x:c>
      <x:c r="G385" s="26" t="n">
        <x:v>546</x:v>
      </x:c>
      <x:c r="H385" s="26" t="n">
        <x:v>391041</x:v>
      </x:c>
      <x:c r="I385" s="26"/>
      <x:c r="J385" s="26"/>
      <x:c r="K385" s="26"/>
      <x:c r="L385" s="26" t="n">
        <x:v>6</x:v>
      </x:c>
      <x:c r="M385" s="26" t="n">
        <x:v>6</x:v>
      </x:c>
      <x:c r="N385" s="26" t="n">
        <x:v>0</x:v>
      </x:c>
      <x:c r="O385" s="26" t="n">
        <x:f>MAX(M385-N385,0)</x:f>
        <x:v>6</x:v>
      </x:c>
      <x:c r="P385" s="38" t="n">
        <x:f>IFERROR(N385/M385,0)</x:f>
        <x:v>0</x:v>
      </x:c>
      <x:c r="Q385" s="26"/>
      <x:c r="R385" s="26"/>
      <x:c r="S385" s="26" t="str">
        <x:v>Pending Mapping</x:v>
      </x:c>
      <x:c r="T385" s="26"/>
      <x:c r="U385" s="26"/>
      <x:c r="V385" s="26"/>
      <x:c r="W385" s="32"/>
      <x:c r="X385" s="27" t="b">
        <x:v>1</x:v>
      </x:c>
      <x:c r="Y385" s="34" t="n">
        <x:v>46219.85072916667</x:v>
      </x:c>
      <x:c r="Z385" s="26"/>
      <x:c r="AA385" s="26" t="str"/>
      <x:c r="AB385" s="26" t="str">
        <x:v>Activity name/category not included in contribution response</x:v>
      </x:c>
    </x:row>
    <x:row r="386">
      <x:c r="A386" s="26" t="n">
        <x:v>383</x:v>
      </x:c>
      <x:c r="B386" s="26" t="n">
        <x:v>210</x:v>
      </x:c>
      <x:c r="C386" s="26" t="str">
        <x:v>Medak</x:v>
      </x:c>
      <x:c r="D386" s="26" t="n">
        <x:v>114707</x:v>
      </x:c>
      <x:c r="E386" s="26" t="str">
        <x:v>PRJ-2026-0114707</x:v>
      </x:c>
      <x:c r="F386" s="26" t="str">
        <x:v>AWC Upgradation of Veldurthy-I</x:v>
      </x:c>
      <x:c r="G386" s="26" t="n">
        <x:v>547</x:v>
      </x:c>
      <x:c r="H386" s="26" t="n">
        <x:v>391042</x:v>
      </x:c>
      <x:c r="I386" s="26"/>
      <x:c r="J386" s="26"/>
      <x:c r="K386" s="26"/>
      <x:c r="L386" s="26" t="n">
        <x:v>26</x:v>
      </x:c>
      <x:c r="M386" s="26" t="n">
        <x:v>26</x:v>
      </x:c>
      <x:c r="N386" s="26" t="n">
        <x:v>0</x:v>
      </x:c>
      <x:c r="O386" s="26" t="n">
        <x:f>MAX(M386-N386,0)</x:f>
        <x:v>26</x:v>
      </x:c>
      <x:c r="P386" s="38" t="n">
        <x:f>IFERROR(N386/M386,0)</x:f>
        <x:v>0</x:v>
      </x:c>
      <x:c r="Q386" s="26"/>
      <x:c r="R386" s="26"/>
      <x:c r="S386" s="26" t="str">
        <x:v>Pending Mapping</x:v>
      </x:c>
      <x:c r="T386" s="26"/>
      <x:c r="U386" s="26"/>
      <x:c r="V386" s="26"/>
      <x:c r="W386" s="32"/>
      <x:c r="X386" s="27" t="b">
        <x:v>1</x:v>
      </x:c>
      <x:c r="Y386" s="34" t="n">
        <x:v>46219.85072916667</x:v>
      </x:c>
      <x:c r="Z386" s="26"/>
      <x:c r="AA386" s="26" t="str"/>
      <x:c r="AB386" s="26" t="str">
        <x:v>Activity name/category not included in contribution response</x:v>
      </x:c>
    </x:row>
    <x:row r="387">
      <x:c r="A387" s="26" t="n">
        <x:v>384</x:v>
      </x:c>
      <x:c r="B387" s="26" t="n">
        <x:v>211</x:v>
      </x:c>
      <x:c r="C387" s="26" t="str">
        <x:v>Medak</x:v>
      </x:c>
      <x:c r="D387" s="26" t="n">
        <x:v>114757</x:v>
      </x:c>
      <x:c r="E387" s="26" t="str">
        <x:v>PRJ-2026-0114757</x:v>
      </x:c>
      <x:c r="F387" s="26" t="str">
        <x:v>Upgradation of awc</x:v>
      </x:c>
      <x:c r="G387" s="26" t="n">
        <x:v>548</x:v>
      </x:c>
      <x:c r="H387" s="26" t="n">
        <x:v>391229</x:v>
      </x:c>
      <x:c r="I387" s="26"/>
      <x:c r="J387" s="26"/>
      <x:c r="K387" s="26"/>
      <x:c r="L387" s="26" t="n">
        <x:v>5</x:v>
      </x:c>
      <x:c r="M387" s="26" t="n">
        <x:v>5</x:v>
      </x:c>
      <x:c r="N387" s="26" t="n">
        <x:v>0</x:v>
      </x:c>
      <x:c r="O387" s="26" t="n">
        <x:f>MAX(M387-N387,0)</x:f>
        <x:v>5</x:v>
      </x:c>
      <x:c r="P387" s="38" t="n">
        <x:f>IFERROR(N387/M387,0)</x:f>
        <x:v>0</x:v>
      </x:c>
      <x:c r="Q387" s="26"/>
      <x:c r="R387" s="26"/>
      <x:c r="S387" s="26" t="str">
        <x:v>Pending Mapping</x:v>
      </x:c>
      <x:c r="T387" s="26"/>
      <x:c r="U387" s="26"/>
      <x:c r="V387" s="26"/>
      <x:c r="W387" s="32"/>
      <x:c r="X387" s="27" t="b">
        <x:v>1</x:v>
      </x:c>
      <x:c r="Y387" s="34" t="n">
        <x:v>46219.85072916667</x:v>
      </x:c>
      <x:c r="Z387" s="26"/>
      <x:c r="AA387" s="26" t="str"/>
      <x:c r="AB387" s="26" t="str">
        <x:v>Activity name/category not included in contribution response</x:v>
      </x:c>
    </x:row>
    <x:row r="388">
      <x:c r="A388" s="26" t="n">
        <x:v>385</x:v>
      </x:c>
      <x:c r="B388" s="26" t="n">
        <x:v>208</x:v>
      </x:c>
      <x:c r="C388" s="26" t="str">
        <x:v>Medak</x:v>
      </x:c>
      <x:c r="D388" s="26" t="n">
        <x:v>114799</x:v>
      </x:c>
      <x:c r="E388" s="26" t="str">
        <x:v>PRJ-2026-0114799</x:v>
      </x:c>
      <x:c r="F388" s="26" t="str">
        <x:v>Upgradation of awc</x:v>
      </x:c>
      <x:c r="G388" s="26" t="n">
        <x:v>542</x:v>
      </x:c>
      <x:c r="H388" s="26" t="n">
        <x:v>391392</x:v>
      </x:c>
      <x:c r="I388" s="26"/>
      <x:c r="J388" s="26"/>
      <x:c r="K388" s="26"/>
      <x:c r="L388" s="26" t="n">
        <x:v>7</x:v>
      </x:c>
      <x:c r="M388" s="26" t="n">
        <x:v>7</x:v>
      </x:c>
      <x:c r="N388" s="26" t="n">
        <x:v>0</x:v>
      </x:c>
      <x:c r="O388" s="26" t="n">
        <x:f>MAX(M388-N388,0)</x:f>
        <x:v>7</x:v>
      </x:c>
      <x:c r="P388" s="38" t="n">
        <x:f>IFERROR(N388/M388,0)</x:f>
        <x:v>0</x:v>
      </x:c>
      <x:c r="Q388" s="26"/>
      <x:c r="R388" s="26"/>
      <x:c r="S388" s="26" t="str">
        <x:v>Pending Mapping</x:v>
      </x:c>
      <x:c r="T388" s="26"/>
      <x:c r="U388" s="26"/>
      <x:c r="V388" s="26"/>
      <x:c r="W388" s="32"/>
      <x:c r="X388" s="27" t="b">
        <x:v>1</x:v>
      </x:c>
      <x:c r="Y388" s="34" t="n">
        <x:v>46219.85071759259</x:v>
      </x:c>
      <x:c r="Z388" s="26"/>
      <x:c r="AA388" s="26" t="str"/>
      <x:c r="AB388" s="26" t="str">
        <x:v>Activity name/category not included in contribution response</x:v>
      </x:c>
    </x:row>
    <x:row r="389">
      <x:c r="A389" s="26" t="n">
        <x:v>386</x:v>
      </x:c>
      <x:c r="B389" s="26" t="n">
        <x:v>209</x:v>
      </x:c>
      <x:c r="C389" s="26" t="str">
        <x:v>Medak</x:v>
      </x:c>
      <x:c r="D389" s="26" t="n">
        <x:v>114776</x:v>
      </x:c>
      <x:c r="E389" s="26" t="str">
        <x:v>PRJ-2026-0114776</x:v>
      </x:c>
      <x:c r="F389" s="26" t="str">
        <x:v>Upgradation of awc</x:v>
      </x:c>
      <x:c r="G389" s="26" t="n">
        <x:v>543</x:v>
      </x:c>
      <x:c r="H389" s="26" t="n">
        <x:v>391310</x:v>
      </x:c>
      <x:c r="I389" s="26"/>
      <x:c r="J389" s="26"/>
      <x:c r="K389" s="26"/>
      <x:c r="L389" s="26" t="n">
        <x:v>5</x:v>
      </x:c>
      <x:c r="M389" s="26" t="n">
        <x:v>5</x:v>
      </x:c>
      <x:c r="N389" s="26" t="n">
        <x:v>0</x:v>
      </x:c>
      <x:c r="O389" s="26" t="n">
        <x:f>MAX(M389-N389,0)</x:f>
        <x:v>5</x:v>
      </x:c>
      <x:c r="P389" s="38" t="n">
        <x:f>IFERROR(N389/M389,0)</x:f>
        <x:v>0</x:v>
      </x:c>
      <x:c r="Q389" s="26"/>
      <x:c r="R389" s="26"/>
      <x:c r="S389" s="26" t="str">
        <x:v>Pending Mapping</x:v>
      </x:c>
      <x:c r="T389" s="26"/>
      <x:c r="U389" s="26"/>
      <x:c r="V389" s="26"/>
      <x:c r="W389" s="32"/>
      <x:c r="X389" s="27" t="b">
        <x:v>1</x:v>
      </x:c>
      <x:c r="Y389" s="34" t="n">
        <x:v>46219.85071759259</x:v>
      </x:c>
      <x:c r="Z389" s="26"/>
      <x:c r="AA389" s="26" t="str"/>
      <x:c r="AB389" s="26" t="str">
        <x:v>Activity name/category not included in contribution response</x:v>
      </x:c>
    </x:row>
    <x:row r="390">
      <x:c r="A390" s="26" t="n">
        <x:v>387</x:v>
      </x:c>
      <x:c r="B390" s="26" t="n">
        <x:v>207</x:v>
      </x:c>
      <x:c r="C390" s="26" t="str">
        <x:v>Medak</x:v>
      </x:c>
      <x:c r="D390" s="26" t="n">
        <x:v>114815</x:v>
      </x:c>
      <x:c r="E390" s="26" t="str">
        <x:v>PRJ-2026-0114815</x:v>
      </x:c>
      <x:c r="F390" s="26" t="str">
        <x:v>Upgradation of awc</x:v>
      </x:c>
      <x:c r="G390" s="26" t="n">
        <x:v>541</x:v>
      </x:c>
      <x:c r="H390" s="26" t="n">
        <x:v>391457</x:v>
      </x:c>
      <x:c r="I390" s="26"/>
      <x:c r="J390" s="26"/>
      <x:c r="K390" s="26"/>
      <x:c r="L390" s="26" t="n">
        <x:v>4</x:v>
      </x:c>
      <x:c r="M390" s="26" t="n">
        <x:v>4</x:v>
      </x:c>
      <x:c r="N390" s="26" t="n">
        <x:v>0</x:v>
      </x:c>
      <x:c r="O390" s="26" t="n">
        <x:f>MAX(M390-N390,0)</x:f>
        <x:v>4</x:v>
      </x:c>
      <x:c r="P390" s="38" t="n">
        <x:f>IFERROR(N390/M390,0)</x:f>
        <x:v>0</x:v>
      </x:c>
      <x:c r="Q390" s="26"/>
      <x:c r="R390" s="26"/>
      <x:c r="S390" s="26" t="str">
        <x:v>Pending Mapping</x:v>
      </x:c>
      <x:c r="T390" s="26"/>
      <x:c r="U390" s="26"/>
      <x:c r="V390" s="26"/>
      <x:c r="W390" s="32"/>
      <x:c r="X390" s="27" t="b">
        <x:v>1</x:v>
      </x:c>
      <x:c r="Y390" s="34" t="n">
        <x:v>46219.85070601852</x:v>
      </x:c>
      <x:c r="Z390" s="26"/>
      <x:c r="AA390" s="26" t="str"/>
      <x:c r="AB390" s="26" t="str">
        <x:v>Activity name/category not included in contribution response</x:v>
      </x:c>
    </x:row>
    <x:row r="391">
      <x:c r="A391" s="26" t="n">
        <x:v>388</x:v>
      </x:c>
      <x:c r="B391" s="26" t="n">
        <x:v>205</x:v>
      </x:c>
      <x:c r="C391" s="26" t="str">
        <x:v>Medak</x:v>
      </x:c>
      <x:c r="D391" s="26" t="n">
        <x:v>123931</x:v>
      </x:c>
      <x:c r="E391" s="26" t="str">
        <x:v>PRJ-2026-0123931</x:v>
      </x:c>
      <x:c r="F391" s="26" t="str">
        <x:v>Upgradation of awc</x:v>
      </x:c>
      <x:c r="G391" s="26" t="n">
        <x:v>539</x:v>
      </x:c>
      <x:c r="H391" s="26" t="n">
        <x:v>426370</x:v>
      </x:c>
      <x:c r="I391" s="26"/>
      <x:c r="J391" s="26"/>
      <x:c r="K391" s="26"/>
      <x:c r="L391" s="26" t="n">
        <x:v>5</x:v>
      </x:c>
      <x:c r="M391" s="26" t="n">
        <x:v>5</x:v>
      </x:c>
      <x:c r="N391" s="26" t="n">
        <x:v>0</x:v>
      </x:c>
      <x:c r="O391" s="26" t="n">
        <x:f>MAX(M391-N391,0)</x:f>
        <x:v>5</x:v>
      </x:c>
      <x:c r="P391" s="38" t="n">
        <x:f>IFERROR(N391/M391,0)</x:f>
        <x:v>0</x:v>
      </x:c>
      <x:c r="Q391" s="26"/>
      <x:c r="R391" s="26"/>
      <x:c r="S391" s="26" t="str">
        <x:v>Pending Mapping</x:v>
      </x:c>
      <x:c r="T391" s="26"/>
      <x:c r="U391" s="26"/>
      <x:c r="V391" s="26"/>
      <x:c r="W391" s="32"/>
      <x:c r="X391" s="27" t="b">
        <x:v>1</x:v>
      </x:c>
      <x:c r="Y391" s="34" t="n">
        <x:v>46219.850694444445</x:v>
      </x:c>
      <x:c r="Z391" s="26"/>
      <x:c r="AA391" s="26" t="str"/>
      <x:c r="AB391" s="26" t="str">
        <x:v>Activity name/category not included in contribution response</x:v>
      </x:c>
    </x:row>
    <x:row r="392">
      <x:c r="A392" s="26" t="n">
        <x:v>389</x:v>
      </x:c>
      <x:c r="B392" s="26" t="n">
        <x:v>206</x:v>
      </x:c>
      <x:c r="C392" s="26" t="str">
        <x:v>Medak</x:v>
      </x:c>
      <x:c r="D392" s="26" t="n">
        <x:v>114833</x:v>
      </x:c>
      <x:c r="E392" s="26" t="str">
        <x:v>PRJ-2026-0114833</x:v>
      </x:c>
      <x:c r="F392" s="26" t="str">
        <x:v>Upgradation of awc</x:v>
      </x:c>
      <x:c r="G392" s="26" t="n">
        <x:v>540</x:v>
      </x:c>
      <x:c r="H392" s="26" t="n">
        <x:v>391505</x:v>
      </x:c>
      <x:c r="I392" s="26"/>
      <x:c r="J392" s="26"/>
      <x:c r="K392" s="26"/>
      <x:c r="L392" s="26" t="n">
        <x:v>5</x:v>
      </x:c>
      <x:c r="M392" s="26" t="n">
        <x:v>5</x:v>
      </x:c>
      <x:c r="N392" s="26" t="n">
        <x:v>0</x:v>
      </x:c>
      <x:c r="O392" s="26" t="n">
        <x:f>MAX(M392-N392,0)</x:f>
        <x:v>5</x:v>
      </x:c>
      <x:c r="P392" s="38" t="n">
        <x:f>IFERROR(N392/M392,0)</x:f>
        <x:v>0</x:v>
      </x:c>
      <x:c r="Q392" s="26"/>
      <x:c r="R392" s="26"/>
      <x:c r="S392" s="26" t="str">
        <x:v>Pending Mapping</x:v>
      </x:c>
      <x:c r="T392" s="26"/>
      <x:c r="U392" s="26"/>
      <x:c r="V392" s="26"/>
      <x:c r="W392" s="32"/>
      <x:c r="X392" s="27" t="b">
        <x:v>1</x:v>
      </x:c>
      <x:c r="Y392" s="34" t="n">
        <x:v>46219.850694444445</x:v>
      </x:c>
      <x:c r="Z392" s="26"/>
      <x:c r="AA392" s="26" t="str"/>
      <x:c r="AB392" s="26" t="str">
        <x:v>Activity name/category not included in contribution response</x:v>
      </x:c>
    </x:row>
    <x:row r="393">
      <x:c r="A393" s="26" t="n">
        <x:v>390</x:v>
      </x:c>
      <x:c r="B393" s="26" t="n">
        <x:v>204</x:v>
      </x:c>
      <x:c r="C393" s="26" t="str">
        <x:v>Medak</x:v>
      </x:c>
      <x:c r="D393" s="26" t="n">
        <x:v>123955</x:v>
      </x:c>
      <x:c r="E393" s="26" t="str">
        <x:v>PRJ-2026-0123955</x:v>
      </x:c>
      <x:c r="F393" s="26" t="str">
        <x:v>Upgradation of awc</x:v>
      </x:c>
      <x:c r="G393" s="26" t="n">
        <x:v>538</x:v>
      </x:c>
      <x:c r="H393" s="26" t="n">
        <x:v>426447</x:v>
      </x:c>
      <x:c r="I393" s="26"/>
      <x:c r="J393" s="26"/>
      <x:c r="K393" s="26"/>
      <x:c r="L393" s="26" t="n">
        <x:v>6</x:v>
      </x:c>
      <x:c r="M393" s="26" t="n">
        <x:v>6</x:v>
      </x:c>
      <x:c r="N393" s="26" t="n">
        <x:v>0</x:v>
      </x:c>
      <x:c r="O393" s="26" t="n">
        <x:f>MAX(M393-N393,0)</x:f>
        <x:v>6</x:v>
      </x:c>
      <x:c r="P393" s="38" t="n">
        <x:f>IFERROR(N393/M393,0)</x:f>
        <x:v>0</x:v>
      </x:c>
      <x:c r="Q393" s="26"/>
      <x:c r="R393" s="26"/>
      <x:c r="S393" s="26" t="str">
        <x:v>Pending Mapping</x:v>
      </x:c>
      <x:c r="T393" s="26"/>
      <x:c r="U393" s="26"/>
      <x:c r="V393" s="26"/>
      <x:c r="W393" s="32"/>
      <x:c r="X393" s="27" t="b">
        <x:v>1</x:v>
      </x:c>
      <x:c r="Y393" s="34" t="n">
        <x:v>46219.85068287037</x:v>
      </x:c>
      <x:c r="Z393" s="26"/>
      <x:c r="AA393" s="26" t="str"/>
      <x:c r="AB393" s="26" t="str">
        <x:v>Activity name/category not included in contribution response</x:v>
      </x:c>
    </x:row>
    <x:row r="394">
      <x:c r="A394" s="26" t="n">
        <x:v>391</x:v>
      </x:c>
      <x:c r="B394" s="26" t="n">
        <x:v>202</x:v>
      </x:c>
      <x:c r="C394" s="26" t="str">
        <x:v>Mulugu</x:v>
      </x:c>
      <x:c r="D394" s="26" t="n">
        <x:v>11186</x:v>
      </x:c>
      <x:c r="E394" s="26" t="str">
        <x:v>PRJ-2026-0011186</x:v>
      </x:c>
      <x:c r="F394" s="26" t="str">
        <x:v>AWC Venkatapur II</x:v>
      </x:c>
      <x:c r="G394" s="26" t="n">
        <x:v>523</x:v>
      </x:c>
      <x:c r="H394" s="26" t="n">
        <x:v>43051</x:v>
      </x:c>
      <x:c r="I394" s="26" t="str">
        <x:v>Toys</x:v>
      </x:c>
      <x:c r="J394" s="26" t="str">
        <x:v>Number</x:v>
      </x:c>
      <x:c r="K394" s="26" t="n">
        <x:v>10</x:v>
      </x:c>
      <x:c r="L394" s="26" t="n">
        <x:v>10</x:v>
      </x:c>
      <x:c r="M394" s="26" t="n">
        <x:v>10</x:v>
      </x:c>
      <x:c r="N394" s="26" t="n">
        <x:v>0</x:v>
      </x:c>
      <x:c r="O394" s="26" t="n">
        <x:f>MAX(M394-N394,0)</x:f>
        <x:v>10</x:v>
      </x:c>
      <x:c r="P394" s="38" t="n">
        <x:f>IFERROR(N394/M394,0)</x:f>
        <x:v>0</x:v>
      </x:c>
      <x:c r="Q394" s="26" t="str">
        <x:v>Material/Assets/Equipment</x:v>
      </x:c>
      <x:c r="R394" s="26" t="str">
        <x:v>ECCE Equipment</x:v>
      </x:c>
      <x:c r="S394" s="26" t="str">
        <x:v>Minor</x:v>
      </x:c>
      <x:c r="T394" s="26"/>
      <x:c r="U394" s="26"/>
      <x:c r="V394" s="26"/>
      <x:c r="W394" s="32"/>
      <x:c r="X394" s="27" t="b">
        <x:v>1</x:v>
      </x:c>
      <x:c r="Y394" s="34" t="n">
        <x:v>46219.729675925926</x:v>
      </x:c>
      <x:c r="Z394" s="26"/>
      <x:c r="AA394" s="26" t="str">
        <x:v>Venkatapur - II (36701020605)</x:v>
      </x:c>
      <x:c r="AB394" s="26" t="str">
        <x:v>Enriched from Mulugu project JSON</x:v>
      </x:c>
    </x:row>
    <x:row r="395">
      <x:c r="A395" s="26" t="n">
        <x:v>392</x:v>
      </x:c>
      <x:c r="B395" s="26" t="n">
        <x:v>202</x:v>
      </x:c>
      <x:c r="C395" s="26" t="str">
        <x:v>Mulugu</x:v>
      </x:c>
      <x:c r="D395" s="26" t="n">
        <x:v>11186</x:v>
      </x:c>
      <x:c r="E395" s="26" t="str">
        <x:v>PRJ-2026-0011186</x:v>
      </x:c>
      <x:c r="F395" s="26" t="str">
        <x:v>AWC Venkatapur II</x:v>
      </x:c>
      <x:c r="G395" s="26" t="n">
        <x:v>524</x:v>
      </x:c>
      <x:c r="H395" s="26" t="n">
        <x:v>43052</x:v>
      </x:c>
      <x:c r="I395" s="26" t="str">
        <x:v>Games</x:v>
      </x:c>
      <x:c r="J395" s="26" t="str">
        <x:v>Number</x:v>
      </x:c>
      <x:c r="K395" s="26" t="n">
        <x:v>10</x:v>
      </x:c>
      <x:c r="L395" s="26" t="n">
        <x:v>10</x:v>
      </x:c>
      <x:c r="M395" s="26" t="n">
        <x:v>10</x:v>
      </x:c>
      <x:c r="N395" s="26" t="n">
        <x:v>0</x:v>
      </x:c>
      <x:c r="O395" s="26" t="n">
        <x:f>MAX(M395-N395,0)</x:f>
        <x:v>10</x:v>
      </x:c>
      <x:c r="P395" s="38" t="n">
        <x:f>IFERROR(N395/M395,0)</x:f>
        <x:v>0</x:v>
      </x:c>
      <x:c r="Q395" s="26" t="str">
        <x:v>Material/Assets/Equipment</x:v>
      </x:c>
      <x:c r="R395" s="26" t="str">
        <x:v>ECCE Equipment</x:v>
      </x:c>
      <x:c r="S395" s="26" t="str">
        <x:v>Minor</x:v>
      </x:c>
      <x:c r="T395" s="26"/>
      <x:c r="U395" s="26"/>
      <x:c r="V395" s="26"/>
      <x:c r="W395" s="32"/>
      <x:c r="X395" s="27" t="b">
        <x:v>1</x:v>
      </x:c>
      <x:c r="Y395" s="34" t="n">
        <x:v>46219.729675925926</x:v>
      </x:c>
      <x:c r="Z395" s="26"/>
      <x:c r="AA395" s="26" t="str">
        <x:v>Venkatapur - II (36701020605)</x:v>
      </x:c>
      <x:c r="AB395" s="26" t="str">
        <x:v>Enriched from Mulugu project JSON</x:v>
      </x:c>
    </x:row>
    <x:row r="396">
      <x:c r="A396" s="26" t="n">
        <x:v>393</x:v>
      </x:c>
      <x:c r="B396" s="26" t="n">
        <x:v>202</x:v>
      </x:c>
      <x:c r="C396" s="26" t="str">
        <x:v>Mulugu</x:v>
      </x:c>
      <x:c r="D396" s="26" t="n">
        <x:v>11186</x:v>
      </x:c>
      <x:c r="E396" s="26" t="str">
        <x:v>PRJ-2026-0011186</x:v>
      </x:c>
      <x:c r="F396" s="26" t="str">
        <x:v>AWC Venkatapur II</x:v>
      </x:c>
      <x:c r="G396" s="26" t="n">
        <x:v>525</x:v>
      </x:c>
      <x:c r="H396" s="26" t="n">
        <x:v>43053</x:v>
      </x:c>
      <x:c r="I396" s="26" t="str">
        <x:v>Water Purifier</x:v>
      </x:c>
      <x:c r="J396" s="26" t="str">
        <x:v>Number</x:v>
      </x:c>
      <x:c r="K396" s="26" t="n">
        <x:v>1</x:v>
      </x:c>
      <x:c r="L396" s="26" t="n">
        <x:v>1</x:v>
      </x:c>
      <x:c r="M396" s="26" t="n">
        <x:v>1</x:v>
      </x:c>
      <x:c r="N396" s="26" t="n">
        <x:v>0</x:v>
      </x:c>
      <x:c r="O396" s="26" t="n">
        <x:f>MAX(M396-N396,0)</x:f>
        <x:v>1</x:v>
      </x:c>
      <x:c r="P396" s="38" t="n">
        <x:f>IFERROR(N396/M396,0)</x:f>
        <x:v>0</x:v>
      </x:c>
      <x:c r="Q396" s="26" t="str">
        <x:v>Material/Assets/Equipment</x:v>
      </x:c>
      <x:c r="R396" s="26" t="str">
        <x:v>Health and Safety aids</x:v>
      </x:c>
      <x:c r="S396" s="26" t="str">
        <x:v>Minor</x:v>
      </x:c>
      <x:c r="T396" s="26"/>
      <x:c r="U396" s="26"/>
      <x:c r="V396" s="26"/>
      <x:c r="W396" s="32"/>
      <x:c r="X396" s="27" t="b">
        <x:v>1</x:v>
      </x:c>
      <x:c r="Y396" s="34" t="n">
        <x:v>46219.729675925926</x:v>
      </x:c>
      <x:c r="Z396" s="26"/>
      <x:c r="AA396" s="26" t="str">
        <x:v>Venkatapur - II (36701020605)</x:v>
      </x:c>
      <x:c r="AB396" s="26" t="str">
        <x:v>Enriched from Mulugu project JSON</x:v>
      </x:c>
    </x:row>
    <x:row r="397">
      <x:c r="A397" s="26" t="n">
        <x:v>394</x:v>
      </x:c>
      <x:c r="B397" s="26" t="n">
        <x:v>202</x:v>
      </x:c>
      <x:c r="C397" s="26" t="str">
        <x:v>Mulugu</x:v>
      </x:c>
      <x:c r="D397" s="26" t="n">
        <x:v>11186</x:v>
      </x:c>
      <x:c r="E397" s="26" t="str">
        <x:v>PRJ-2026-0011186</x:v>
      </x:c>
      <x:c r="F397" s="26" t="str">
        <x:v>AWC Venkatapur II</x:v>
      </x:c>
      <x:c r="G397" s="26" t="n">
        <x:v>526</x:v>
      </x:c>
      <x:c r="H397" s="26" t="n">
        <x:v>43054</x:v>
      </x:c>
      <x:c r="I397" s="26" t="str">
        <x:v>Chairs</x:v>
      </x:c>
      <x:c r="J397" s="26" t="str">
        <x:v>Number</x:v>
      </x:c>
      <x:c r="K397" s="26" t="n">
        <x:v>5</x:v>
      </x:c>
      <x:c r="L397" s="26" t="n">
        <x:v>5</x:v>
      </x:c>
      <x:c r="M397" s="26" t="n">
        <x:v>5</x:v>
      </x:c>
      <x:c r="N397" s="26" t="n">
        <x:v>0</x:v>
      </x:c>
      <x:c r="O397" s="26" t="n">
        <x:f>MAX(M397-N397,0)</x:f>
        <x:v>5</x:v>
      </x:c>
      <x:c r="P397" s="38" t="n">
        <x:f>IFERROR(N397/M397,0)</x:f>
        <x:v>0</x:v>
      </x:c>
      <x:c r="Q397" s="26" t="str">
        <x:v>Material/Assets/Equipment</x:v>
      </x:c>
      <x:c r="R397" s="26" t="str">
        <x:v>Office Needs</x:v>
      </x:c>
      <x:c r="S397" s="26" t="str">
        <x:v>Minor</x:v>
      </x:c>
      <x:c r="T397" s="26"/>
      <x:c r="U397" s="26"/>
      <x:c r="V397" s="26"/>
      <x:c r="W397" s="32"/>
      <x:c r="X397" s="27" t="b">
        <x:v>1</x:v>
      </x:c>
      <x:c r="Y397" s="34" t="n">
        <x:v>46219.729675925926</x:v>
      </x:c>
      <x:c r="Z397" s="26"/>
      <x:c r="AA397" s="26" t="str">
        <x:v>Venkatapur - II (36701020605)</x:v>
      </x:c>
      <x:c r="AB397" s="26" t="str">
        <x:v>Enriched from Mulugu project JSON</x:v>
      </x:c>
    </x:row>
    <x:row r="398">
      <x:c r="A398" s="26" t="n">
        <x:v>395</x:v>
      </x:c>
      <x:c r="B398" s="26" t="n">
        <x:v>202</x:v>
      </x:c>
      <x:c r="C398" s="26" t="str">
        <x:v>Mulugu</x:v>
      </x:c>
      <x:c r="D398" s="26" t="n">
        <x:v>11186</x:v>
      </x:c>
      <x:c r="E398" s="26" t="str">
        <x:v>PRJ-2026-0011186</x:v>
      </x:c>
      <x:c r="F398" s="26" t="str">
        <x:v>AWC Venkatapur II</x:v>
      </x:c>
      <x:c r="G398" s="26" t="n">
        <x:v>527</x:v>
      </x:c>
      <x:c r="H398" s="26" t="n">
        <x:v>43055</x:v>
      </x:c>
      <x:c r="I398" s="26" t="str">
        <x:v>Chairs/Benches</x:v>
      </x:c>
      <x:c r="J398" s="26" t="str">
        <x:v>Number</x:v>
      </x:c>
      <x:c r="K398" s="26" t="n">
        <x:v>10</x:v>
      </x:c>
      <x:c r="L398" s="26" t="n">
        <x:v>10</x:v>
      </x:c>
      <x:c r="M398" s="26" t="n">
        <x:v>10</x:v>
      </x:c>
      <x:c r="N398" s="26" t="n">
        <x:v>0</x:v>
      </x:c>
      <x:c r="O398" s="26" t="n">
        <x:f>MAX(M398-N398,0)</x:f>
        <x:v>10</x:v>
      </x:c>
      <x:c r="P398" s="38" t="n">
        <x:f>IFERROR(N398/M398,0)</x:f>
        <x:v>0</x:v>
      </x:c>
      <x:c r="Q398" s="26" t="str">
        <x:v>Material/Assets/Equipment</x:v>
      </x:c>
      <x:c r="R398" s="26" t="str">
        <x:v>Educational Needs</x:v>
      </x:c>
      <x:c r="S398" s="26" t="str">
        <x:v>Minor</x:v>
      </x:c>
      <x:c r="T398" s="26"/>
      <x:c r="U398" s="26"/>
      <x:c r="V398" s="26"/>
      <x:c r="W398" s="32"/>
      <x:c r="X398" s="27" t="b">
        <x:v>1</x:v>
      </x:c>
      <x:c r="Y398" s="34" t="n">
        <x:v>46219.729675925926</x:v>
      </x:c>
      <x:c r="Z398" s="26"/>
      <x:c r="AA398" s="26" t="str">
        <x:v>Venkatapur - II (36701020605)</x:v>
      </x:c>
      <x:c r="AB398" s="26" t="str">
        <x:v>Enriched from Mulugu project JSON</x:v>
      </x:c>
    </x:row>
    <x:row r="399">
      <x:c r="A399" s="26" t="n">
        <x:v>396</x:v>
      </x:c>
      <x:c r="B399" s="26" t="n">
        <x:v>202</x:v>
      </x:c>
      <x:c r="C399" s="26" t="str">
        <x:v>Mulugu</x:v>
      </x:c>
      <x:c r="D399" s="26" t="n">
        <x:v>11186</x:v>
      </x:c>
      <x:c r="E399" s="26" t="str">
        <x:v>PRJ-2026-0011186</x:v>
      </x:c>
      <x:c r="F399" s="26" t="str">
        <x:v>AWC Venkatapur II</x:v>
      </x:c>
      <x:c r="G399" s="26" t="n">
        <x:v>528</x:v>
      </x:c>
      <x:c r="H399" s="26" t="n">
        <x:v>43056</x:v>
      </x:c>
      <x:c r="I399" s="26" t="str">
        <x:v>Tube Lights</x:v>
      </x:c>
      <x:c r="J399" s="26" t="str">
        <x:v>Number</x:v>
      </x:c>
      <x:c r="K399" s="26" t="n">
        <x:v>2</x:v>
      </x:c>
      <x:c r="L399" s="26" t="n">
        <x:v>2</x:v>
      </x:c>
      <x:c r="M399" s="26" t="n">
        <x:v>2</x:v>
      </x:c>
      <x:c r="N399" s="26" t="n">
        <x:v>0</x:v>
      </x:c>
      <x:c r="O399" s="26" t="n">
        <x:f>MAX(M399-N399,0)</x:f>
        <x:v>2</x:v>
      </x:c>
      <x:c r="P399" s="38" t="n">
        <x:f>IFERROR(N399/M399,0)</x:f>
        <x:v>0</x:v>
      </x:c>
      <x:c r="Q399" s="26" t="str">
        <x:v>Material/Assets/Equipment</x:v>
      </x:c>
      <x:c r="R399" s="26" t="str">
        <x:v>Electrical Infrastructure</x:v>
      </x:c>
      <x:c r="S399" s="26" t="str">
        <x:v>Medium</x:v>
      </x:c>
      <x:c r="T399" s="26"/>
      <x:c r="U399" s="26"/>
      <x:c r="V399" s="26"/>
      <x:c r="W399" s="32"/>
      <x:c r="X399" s="27" t="b">
        <x:v>1</x:v>
      </x:c>
      <x:c r="Y399" s="34" t="n">
        <x:v>46219.729675925926</x:v>
      </x:c>
      <x:c r="Z399" s="26"/>
      <x:c r="AA399" s="26" t="str">
        <x:v>Venkatapur - II (36701020605)</x:v>
      </x:c>
      <x:c r="AB399" s="26" t="str">
        <x:v>Enriched from Mulugu project JSON</x:v>
      </x:c>
    </x:row>
    <x:row r="400">
      <x:c r="A400" s="26" t="n">
        <x:v>397</x:v>
      </x:c>
      <x:c r="B400" s="26" t="n">
        <x:v>202</x:v>
      </x:c>
      <x:c r="C400" s="26" t="str">
        <x:v>Mulugu</x:v>
      </x:c>
      <x:c r="D400" s="26" t="n">
        <x:v>11186</x:v>
      </x:c>
      <x:c r="E400" s="26" t="str">
        <x:v>PRJ-2026-0011186</x:v>
      </x:c>
      <x:c r="F400" s="26" t="str">
        <x:v>AWC Venkatapur II</x:v>
      </x:c>
      <x:c r="G400" s="26" t="n">
        <x:v>529</x:v>
      </x:c>
      <x:c r="H400" s="26" t="n">
        <x:v>43057</x:v>
      </x:c>
      <x:c r="I400" s="26" t="str">
        <x:v>Cooking Equipments</x:v>
      </x:c>
      <x:c r="J400" s="26" t="str">
        <x:v>Number</x:v>
      </x:c>
      <x:c r="K400" s="26" t="n">
        <x:v>1</x:v>
      </x:c>
      <x:c r="L400" s="26" t="n">
        <x:v>1</x:v>
      </x:c>
      <x:c r="M400" s="26" t="n">
        <x:v>1</x:v>
      </x:c>
      <x:c r="N400" s="26" t="n">
        <x:v>0</x:v>
      </x:c>
      <x:c r="O400" s="26" t="n">
        <x:f>MAX(M400-N400,0)</x:f>
        <x:v>1</x:v>
      </x:c>
      <x:c r="P400" s="38" t="n">
        <x:f>IFERROR(N400/M400,0)</x:f>
        <x:v>0</x:v>
      </x:c>
      <x:c r="Q400" s="26" t="str">
        <x:v>Material/Assets/Equipment</x:v>
      </x:c>
      <x:c r="R400" s="26" t="str">
        <x:v>Electrical Infrastructure</x:v>
      </x:c>
      <x:c r="S400" s="26" t="str">
        <x:v>Medium</x:v>
      </x:c>
      <x:c r="T400" s="26"/>
      <x:c r="U400" s="26"/>
      <x:c r="V400" s="26"/>
      <x:c r="W400" s="32"/>
      <x:c r="X400" s="27" t="b">
        <x:v>1</x:v>
      </x:c>
      <x:c r="Y400" s="34" t="n">
        <x:v>46219.729675925926</x:v>
      </x:c>
      <x:c r="Z400" s="26"/>
      <x:c r="AA400" s="26" t="str">
        <x:v>Venkatapur - II (36701020605)</x:v>
      </x:c>
      <x:c r="AB400" s="26" t="str">
        <x:v>Enriched from Mulugu project JSON</x:v>
      </x:c>
    </x:row>
    <x:row r="401">
      <x:c r="A401" s="26" t="n">
        <x:v>398</x:v>
      </x:c>
      <x:c r="B401" s="26" t="n">
        <x:v>203</x:v>
      </x:c>
      <x:c r="C401" s="26" t="str">
        <x:v>Mulugu</x:v>
      </x:c>
      <x:c r="D401" s="26" t="n">
        <x:v>11139</x:v>
      </x:c>
      <x:c r="E401" s="26" t="str">
        <x:v>PRJ-2026-0011139</x:v>
      </x:c>
      <x:c r="F401" s="26" t="str">
        <x:v>AWC Venkatapur II BC Colony</x:v>
      </x:c>
      <x:c r="G401" s="26" t="n">
        <x:v>530</x:v>
      </x:c>
      <x:c r="H401" s="26" t="n">
        <x:v>42827</x:v>
      </x:c>
      <x:c r="I401" s="26" t="str">
        <x:v>Toys</x:v>
      </x:c>
      <x:c r="J401" s="26" t="str">
        <x:v>Number</x:v>
      </x:c>
      <x:c r="K401" s="26" t="n">
        <x:v>10</x:v>
      </x:c>
      <x:c r="L401" s="26" t="n">
        <x:v>10</x:v>
      </x:c>
      <x:c r="M401" s="26" t="n">
        <x:v>10</x:v>
      </x:c>
      <x:c r="N401" s="26" t="n">
        <x:v>0</x:v>
      </x:c>
      <x:c r="O401" s="26" t="n">
        <x:f>MAX(M401-N401,0)</x:f>
        <x:v>10</x:v>
      </x:c>
      <x:c r="P401" s="38" t="n">
        <x:f>IFERROR(N401/M401,0)</x:f>
        <x:v>0</x:v>
      </x:c>
      <x:c r="Q401" s="26" t="str">
        <x:v>Material/Assets/Equipment</x:v>
      </x:c>
      <x:c r="R401" s="26" t="str">
        <x:v>ECCE Equipment</x:v>
      </x:c>
      <x:c r="S401" s="26" t="str">
        <x:v>Minor</x:v>
      </x:c>
      <x:c r="T401" s="26"/>
      <x:c r="U401" s="26"/>
      <x:c r="V401" s="26"/>
      <x:c r="W401" s="32"/>
      <x:c r="X401" s="27" t="b">
        <x:v>1</x:v>
      </x:c>
      <x:c r="Y401" s="34" t="n">
        <x:v>46219.729675925926</x:v>
      </x:c>
      <x:c r="Z401" s="26"/>
      <x:c r="AA401" s="26" t="str">
        <x:v>Venkatapur II (Bc col (36701020602)</x:v>
      </x:c>
      <x:c r="AB401" s="26" t="str">
        <x:v>Enriched from Mulugu project JSON</x:v>
      </x:c>
    </x:row>
    <x:row r="402">
      <x:c r="A402" s="26" t="n">
        <x:v>399</x:v>
      </x:c>
      <x:c r="B402" s="26" t="n">
        <x:v>203</x:v>
      </x:c>
      <x:c r="C402" s="26" t="str">
        <x:v>Mulugu</x:v>
      </x:c>
      <x:c r="D402" s="26" t="n">
        <x:v>11139</x:v>
      </x:c>
      <x:c r="E402" s="26" t="str">
        <x:v>PRJ-2026-0011139</x:v>
      </x:c>
      <x:c r="F402" s="26" t="str">
        <x:v>AWC Venkatapur II BC Colony</x:v>
      </x:c>
      <x:c r="G402" s="26" t="n">
        <x:v>531</x:v>
      </x:c>
      <x:c r="H402" s="26" t="n">
        <x:v>42828</x:v>
      </x:c>
      <x:c r="I402" s="26" t="str">
        <x:v>Games</x:v>
      </x:c>
      <x:c r="J402" s="26" t="str">
        <x:v>Number</x:v>
      </x:c>
      <x:c r="K402" s="26" t="n">
        <x:v>10</x:v>
      </x:c>
      <x:c r="L402" s="26" t="n">
        <x:v>10</x:v>
      </x:c>
      <x:c r="M402" s="26" t="n">
        <x:v>10</x:v>
      </x:c>
      <x:c r="N402" s="26" t="n">
        <x:v>0</x:v>
      </x:c>
      <x:c r="O402" s="26" t="n">
        <x:f>MAX(M402-N402,0)</x:f>
        <x:v>10</x:v>
      </x:c>
      <x:c r="P402" s="38" t="n">
        <x:f>IFERROR(N402/M402,0)</x:f>
        <x:v>0</x:v>
      </x:c>
      <x:c r="Q402" s="26" t="str">
        <x:v>Material/Assets/Equipment</x:v>
      </x:c>
      <x:c r="R402" s="26" t="str">
        <x:v>ECCE Equipment</x:v>
      </x:c>
      <x:c r="S402" s="26" t="str">
        <x:v>Minor</x:v>
      </x:c>
      <x:c r="T402" s="26"/>
      <x:c r="U402" s="26"/>
      <x:c r="V402" s="26"/>
      <x:c r="W402" s="32"/>
      <x:c r="X402" s="27" t="b">
        <x:v>1</x:v>
      </x:c>
      <x:c r="Y402" s="34" t="n">
        <x:v>46219.729675925926</x:v>
      </x:c>
      <x:c r="Z402" s="26"/>
      <x:c r="AA402" s="26" t="str">
        <x:v>Venkatapur II (Bc col (36701020602)</x:v>
      </x:c>
      <x:c r="AB402" s="26" t="str">
        <x:v>Enriched from Mulugu project JSON</x:v>
      </x:c>
    </x:row>
    <x:row r="403">
      <x:c r="A403" s="26" t="n">
        <x:v>400</x:v>
      </x:c>
      <x:c r="B403" s="26" t="n">
        <x:v>203</x:v>
      </x:c>
      <x:c r="C403" s="26" t="str">
        <x:v>Mulugu</x:v>
      </x:c>
      <x:c r="D403" s="26" t="n">
        <x:v>11139</x:v>
      </x:c>
      <x:c r="E403" s="26" t="str">
        <x:v>PRJ-2026-0011139</x:v>
      </x:c>
      <x:c r="F403" s="26" t="str">
        <x:v>AWC Venkatapur II BC Colony</x:v>
      </x:c>
      <x:c r="G403" s="26" t="n">
        <x:v>532</x:v>
      </x:c>
      <x:c r="H403" s="26" t="n">
        <x:v>42829</x:v>
      </x:c>
      <x:c r="I403" s="26" t="str">
        <x:v>Chairs/Benches</x:v>
      </x:c>
      <x:c r="J403" s="26" t="str">
        <x:v>Number</x:v>
      </x:c>
      <x:c r="K403" s="26" t="n">
        <x:v>10</x:v>
      </x:c>
      <x:c r="L403" s="26" t="n">
        <x:v>10</x:v>
      </x:c>
      <x:c r="M403" s="26" t="n">
        <x:v>10</x:v>
      </x:c>
      <x:c r="N403" s="26" t="n">
        <x:v>0</x:v>
      </x:c>
      <x:c r="O403" s="26" t="n">
        <x:f>MAX(M403-N403,0)</x:f>
        <x:v>10</x:v>
      </x:c>
      <x:c r="P403" s="38" t="n">
        <x:f>IFERROR(N403/M403,0)</x:f>
        <x:v>0</x:v>
      </x:c>
      <x:c r="Q403" s="26" t="str">
        <x:v>Material/Assets/Equipment</x:v>
      </x:c>
      <x:c r="R403" s="26" t="str">
        <x:v>Educational Needs</x:v>
      </x:c>
      <x:c r="S403" s="26" t="str">
        <x:v>Minor</x:v>
      </x:c>
      <x:c r="T403" s="26"/>
      <x:c r="U403" s="26"/>
      <x:c r="V403" s="26"/>
      <x:c r="W403" s="32"/>
      <x:c r="X403" s="27" t="b">
        <x:v>1</x:v>
      </x:c>
      <x:c r="Y403" s="34" t="n">
        <x:v>46219.729675925926</x:v>
      </x:c>
      <x:c r="Z403" s="26"/>
      <x:c r="AA403" s="26" t="str">
        <x:v>Venkatapur II (Bc col (36701020602)</x:v>
      </x:c>
      <x:c r="AB403" s="26" t="str">
        <x:v>Enriched from Mulugu project JSON</x:v>
      </x:c>
    </x:row>
    <x:row r="404">
      <x:c r="A404" s="26" t="n">
        <x:v>401</x:v>
      </x:c>
      <x:c r="B404" s="26" t="n">
        <x:v>203</x:v>
      </x:c>
      <x:c r="C404" s="26" t="str">
        <x:v>Mulugu</x:v>
      </x:c>
      <x:c r="D404" s="26" t="n">
        <x:v>11139</x:v>
      </x:c>
      <x:c r="E404" s="26" t="str">
        <x:v>PRJ-2026-0011139</x:v>
      </x:c>
      <x:c r="F404" s="26" t="str">
        <x:v>AWC Venkatapur II BC Colony</x:v>
      </x:c>
      <x:c r="G404" s="26" t="n">
        <x:v>533</x:v>
      </x:c>
      <x:c r="H404" s="26" t="n">
        <x:v>42830</x:v>
      </x:c>
      <x:c r="I404" s="26" t="str">
        <x:v>Tube Lights</x:v>
      </x:c>
      <x:c r="J404" s="26" t="str">
        <x:v>Number</x:v>
      </x:c>
      <x:c r="K404" s="26" t="n">
        <x:v>2</x:v>
      </x:c>
      <x:c r="L404" s="26" t="n">
        <x:v>2</x:v>
      </x:c>
      <x:c r="M404" s="26" t="n">
        <x:v>2</x:v>
      </x:c>
      <x:c r="N404" s="26" t="n">
        <x:v>0</x:v>
      </x:c>
      <x:c r="O404" s="26" t="n">
        <x:f>MAX(M404-N404,0)</x:f>
        <x:v>2</x:v>
      </x:c>
      <x:c r="P404" s="38" t="n">
        <x:f>IFERROR(N404/M404,0)</x:f>
        <x:v>0</x:v>
      </x:c>
      <x:c r="Q404" s="26" t="str">
        <x:v>Material/Assets/Equipment</x:v>
      </x:c>
      <x:c r="R404" s="26" t="str">
        <x:v>Electrical Infrastructure</x:v>
      </x:c>
      <x:c r="S404" s="26" t="str">
        <x:v>Medium</x:v>
      </x:c>
      <x:c r="T404" s="26"/>
      <x:c r="U404" s="26"/>
      <x:c r="V404" s="26"/>
      <x:c r="W404" s="32"/>
      <x:c r="X404" s="27" t="b">
        <x:v>1</x:v>
      </x:c>
      <x:c r="Y404" s="34" t="n">
        <x:v>46219.729675925926</x:v>
      </x:c>
      <x:c r="Z404" s="26"/>
      <x:c r="AA404" s="26" t="str">
        <x:v>Venkatapur II (Bc col (36701020602)</x:v>
      </x:c>
      <x:c r="AB404" s="26" t="str">
        <x:v>Enriched from Mulugu project JSON</x:v>
      </x:c>
    </x:row>
    <x:row r="405">
      <x:c r="A405" s="26" t="n">
        <x:v>402</x:v>
      </x:c>
      <x:c r="B405" s="26" t="n">
        <x:v>203</x:v>
      </x:c>
      <x:c r="C405" s="26" t="str">
        <x:v>Mulugu</x:v>
      </x:c>
      <x:c r="D405" s="26" t="n">
        <x:v>11139</x:v>
      </x:c>
      <x:c r="E405" s="26" t="str">
        <x:v>PRJ-2026-0011139</x:v>
      </x:c>
      <x:c r="F405" s="26" t="str">
        <x:v>AWC Venkatapur II BC Colony</x:v>
      </x:c>
      <x:c r="G405" s="26" t="n">
        <x:v>534</x:v>
      </x:c>
      <x:c r="H405" s="26" t="n">
        <x:v>42831</x:v>
      </x:c>
      <x:c r="I405" s="26" t="str">
        <x:v>Solar Panel</x:v>
      </x:c>
      <x:c r="J405" s="26" t="str">
        <x:v>Number</x:v>
      </x:c>
      <x:c r="K405" s="26" t="n">
        <x:v>1</x:v>
      </x:c>
      <x:c r="L405" s="26" t="n">
        <x:v>1</x:v>
      </x:c>
      <x:c r="M405" s="26" t="n">
        <x:v>1</x:v>
      </x:c>
      <x:c r="N405" s="26" t="n">
        <x:v>0</x:v>
      </x:c>
      <x:c r="O405" s="26" t="n">
        <x:f>MAX(M405-N405,0)</x:f>
        <x:v>1</x:v>
      </x:c>
      <x:c r="P405" s="38" t="n">
        <x:f>IFERROR(N405/M405,0)</x:f>
        <x:v>0</x:v>
      </x:c>
      <x:c r="Q405" s="26" t="str">
        <x:v>Material/Assets/Equipment</x:v>
      </x:c>
      <x:c r="R405" s="26" t="str">
        <x:v>Electrical Infrastructure</x:v>
      </x:c>
      <x:c r="S405" s="26" t="str">
        <x:v>Medium</x:v>
      </x:c>
      <x:c r="T405" s="26"/>
      <x:c r="U405" s="26"/>
      <x:c r="V405" s="26"/>
      <x:c r="W405" s="32"/>
      <x:c r="X405" s="27" t="b">
        <x:v>1</x:v>
      </x:c>
      <x:c r="Y405" s="34" t="n">
        <x:v>46219.729675925926</x:v>
      </x:c>
      <x:c r="Z405" s="26"/>
      <x:c r="AA405" s="26" t="str">
        <x:v>Venkatapur II (Bc col (36701020602)</x:v>
      </x:c>
      <x:c r="AB405" s="26" t="str">
        <x:v>Enriched from Mulugu project JSON</x:v>
      </x:c>
    </x:row>
    <x:row r="406">
      <x:c r="A406" s="26" t="n">
        <x:v>403</x:v>
      </x:c>
      <x:c r="B406" s="26" t="n">
        <x:v>203</x:v>
      </x:c>
      <x:c r="C406" s="26" t="str">
        <x:v>Mulugu</x:v>
      </x:c>
      <x:c r="D406" s="26" t="n">
        <x:v>11139</x:v>
      </x:c>
      <x:c r="E406" s="26" t="str">
        <x:v>PRJ-2026-0011139</x:v>
      </x:c>
      <x:c r="F406" s="26" t="str">
        <x:v>AWC Venkatapur II BC Colony</x:v>
      </x:c>
      <x:c r="G406" s="26" t="n">
        <x:v>535</x:v>
      </x:c>
      <x:c r="H406" s="26" t="n">
        <x:v>42832</x:v>
      </x:c>
      <x:c r="I406" s="26" t="str">
        <x:v>Cooking Equipments</x:v>
      </x:c>
      <x:c r="J406" s="26" t="str">
        <x:v>Number</x:v>
      </x:c>
      <x:c r="K406" s="26" t="n">
        <x:v>1</x:v>
      </x:c>
      <x:c r="L406" s="26" t="n">
        <x:v>1</x:v>
      </x:c>
      <x:c r="M406" s="26" t="n">
        <x:v>1</x:v>
      </x:c>
      <x:c r="N406" s="26" t="n">
        <x:v>0</x:v>
      </x:c>
      <x:c r="O406" s="26" t="n">
        <x:f>MAX(M406-N406,0)</x:f>
        <x:v>1</x:v>
      </x:c>
      <x:c r="P406" s="38" t="n">
        <x:f>IFERROR(N406/M406,0)</x:f>
        <x:v>0</x:v>
      </x:c>
      <x:c r="Q406" s="26" t="str">
        <x:v>Material/Assets/Equipment</x:v>
      </x:c>
      <x:c r="R406" s="26" t="str">
        <x:v>Electrical Infrastructure</x:v>
      </x:c>
      <x:c r="S406" s="26" t="str">
        <x:v>Medium</x:v>
      </x:c>
      <x:c r="T406" s="26"/>
      <x:c r="U406" s="26"/>
      <x:c r="V406" s="26"/>
      <x:c r="W406" s="32"/>
      <x:c r="X406" s="27" t="b">
        <x:v>1</x:v>
      </x:c>
      <x:c r="Y406" s="34" t="n">
        <x:v>46219.729675925926</x:v>
      </x:c>
      <x:c r="Z406" s="26"/>
      <x:c r="AA406" s="26" t="str">
        <x:v>Venkatapur II (Bc col (36701020602)</x:v>
      </x:c>
      <x:c r="AB406" s="26" t="str">
        <x:v>Enriched from Mulugu project JSON</x:v>
      </x:c>
    </x:row>
    <x:row r="407">
      <x:c r="A407" s="26" t="n">
        <x:v>404</x:v>
      </x:c>
      <x:c r="B407" s="26" t="n">
        <x:v>203</x:v>
      </x:c>
      <x:c r="C407" s="26" t="str">
        <x:v>Mulugu</x:v>
      </x:c>
      <x:c r="D407" s="26" t="n">
        <x:v>11139</x:v>
      </x:c>
      <x:c r="E407" s="26" t="str">
        <x:v>PRJ-2026-0011139</x:v>
      </x:c>
      <x:c r="F407" s="26" t="str">
        <x:v>AWC Venkatapur II BC Colony</x:v>
      </x:c>
      <x:c r="G407" s="26" t="n">
        <x:v>536</x:v>
      </x:c>
      <x:c r="H407" s="26" t="n">
        <x:v>42833</x:v>
      </x:c>
      <x:c r="I407" s="26" t="str">
        <x:v>Water Purifier</x:v>
      </x:c>
      <x:c r="J407" s="26" t="str">
        <x:v>Number</x:v>
      </x:c>
      <x:c r="K407" s="26" t="n">
        <x:v>1</x:v>
      </x:c>
      <x:c r="L407" s="26" t="n">
        <x:v>1</x:v>
      </x:c>
      <x:c r="M407" s="26" t="n">
        <x:v>1</x:v>
      </x:c>
      <x:c r="N407" s="26" t="n">
        <x:v>0</x:v>
      </x:c>
      <x:c r="O407" s="26" t="n">
        <x:f>MAX(M407-N407,0)</x:f>
        <x:v>1</x:v>
      </x:c>
      <x:c r="P407" s="38" t="n">
        <x:f>IFERROR(N407/M407,0)</x:f>
        <x:v>0</x:v>
      </x:c>
      <x:c r="Q407" s="26" t="str">
        <x:v>Material/Assets/Equipment</x:v>
      </x:c>
      <x:c r="R407" s="26" t="str">
        <x:v>Health and Safety aids</x:v>
      </x:c>
      <x:c r="S407" s="26" t="str">
        <x:v>Minor</x:v>
      </x:c>
      <x:c r="T407" s="26"/>
      <x:c r="U407" s="26"/>
      <x:c r="V407" s="26"/>
      <x:c r="W407" s="32"/>
      <x:c r="X407" s="27" t="b">
        <x:v>1</x:v>
      </x:c>
      <x:c r="Y407" s="34" t="n">
        <x:v>46219.729675925926</x:v>
      </x:c>
      <x:c r="Z407" s="26"/>
      <x:c r="AA407" s="26" t="str">
        <x:v>Venkatapur II (Bc col (36701020602)</x:v>
      </x:c>
      <x:c r="AB407" s="26" t="str">
        <x:v>Enriched from Mulugu project JSON</x:v>
      </x:c>
    </x:row>
    <x:row r="408">
      <x:c r="A408" s="26" t="n">
        <x:v>405</x:v>
      </x:c>
      <x:c r="B408" s="26" t="n">
        <x:v>203</x:v>
      </x:c>
      <x:c r="C408" s="26" t="str">
        <x:v>Mulugu</x:v>
      </x:c>
      <x:c r="D408" s="26" t="n">
        <x:v>11139</x:v>
      </x:c>
      <x:c r="E408" s="26" t="str">
        <x:v>PRJ-2026-0011139</x:v>
      </x:c>
      <x:c r="F408" s="26" t="str">
        <x:v>AWC Venkatapur II BC Colony</x:v>
      </x:c>
      <x:c r="G408" s="26" t="n">
        <x:v>537</x:v>
      </x:c>
      <x:c r="H408" s="26" t="n">
        <x:v>42834</x:v>
      </x:c>
      <x:c r="I408" s="26" t="str">
        <x:v>Chairs</x:v>
      </x:c>
      <x:c r="J408" s="26" t="str">
        <x:v>Number</x:v>
      </x:c>
      <x:c r="K408" s="26" t="n">
        <x:v>4</x:v>
      </x:c>
      <x:c r="L408" s="26" t="n">
        <x:v>4</x:v>
      </x:c>
      <x:c r="M408" s="26" t="n">
        <x:v>4</x:v>
      </x:c>
      <x:c r="N408" s="26" t="n">
        <x:v>0</x:v>
      </x:c>
      <x:c r="O408" s="26" t="n">
        <x:f>MAX(M408-N408,0)</x:f>
        <x:v>4</x:v>
      </x:c>
      <x:c r="P408" s="38" t="n">
        <x:f>IFERROR(N408/M408,0)</x:f>
        <x:v>0</x:v>
      </x:c>
      <x:c r="Q408" s="26" t="str">
        <x:v>Material/Assets/Equipment</x:v>
      </x:c>
      <x:c r="R408" s="26" t="str">
        <x:v>Office Needs</x:v>
      </x:c>
      <x:c r="S408" s="26" t="str">
        <x:v>Minor</x:v>
      </x:c>
      <x:c r="T408" s="26"/>
      <x:c r="U408" s="26"/>
      <x:c r="V408" s="26"/>
      <x:c r="W408" s="32"/>
      <x:c r="X408" s="27" t="b">
        <x:v>1</x:v>
      </x:c>
      <x:c r="Y408" s="34" t="n">
        <x:v>46219.729675925926</x:v>
      </x:c>
      <x:c r="Z408" s="26"/>
      <x:c r="AA408" s="26" t="str">
        <x:v>Venkatapur II (Bc col (36701020602)</x:v>
      </x:c>
      <x:c r="AB408" s="26" t="str">
        <x:v>Enriched from Mulugu project JSON</x:v>
      </x:c>
    </x:row>
    <x:row r="409">
      <x:c r="A409" s="26" t="n">
        <x:v>406</x:v>
      </x:c>
      <x:c r="B409" s="26" t="n">
        <x:v>199</x:v>
      </x:c>
      <x:c r="C409" s="26" t="str">
        <x:v>Mulugu</x:v>
      </x:c>
      <x:c r="D409" s="26" t="n">
        <x:v>13081</x:v>
      </x:c>
      <x:c r="E409" s="26" t="str">
        <x:v>PRJ-2026-0013081</x:v>
      </x:c>
      <x:c r="F409" s="26" t="str">
        <x:v>AWC Venkatapur III</x:v>
      </x:c>
      <x:c r="G409" s="26" t="n">
        <x:v>501</x:v>
      </x:c>
      <x:c r="H409" s="26" t="n">
        <x:v>52219</x:v>
      </x:c>
      <x:c r="I409" s="26" t="str">
        <x:v>Toys</x:v>
      </x:c>
      <x:c r="J409" s="26" t="str">
        <x:v>Number</x:v>
      </x:c>
      <x:c r="K409" s="26" t="n">
        <x:v>10</x:v>
      </x:c>
      <x:c r="L409" s="26" t="n">
        <x:v>10</x:v>
      </x:c>
      <x:c r="M409" s="26" t="n">
        <x:v>10</x:v>
      </x:c>
      <x:c r="N409" s="26" t="n">
        <x:v>0</x:v>
      </x:c>
      <x:c r="O409" s="26" t="n">
        <x:f>MAX(M409-N409,0)</x:f>
        <x:v>10</x:v>
      </x:c>
      <x:c r="P409" s="38" t="n">
        <x:f>IFERROR(N409/M409,0)</x:f>
        <x:v>0</x:v>
      </x:c>
      <x:c r="Q409" s="26" t="str">
        <x:v>Material/Assets/Equipment</x:v>
      </x:c>
      <x:c r="R409" s="26" t="str">
        <x:v>ECCE Equipment</x:v>
      </x:c>
      <x:c r="S409" s="26" t="str">
        <x:v>Minor</x:v>
      </x:c>
      <x:c r="T409" s="26"/>
      <x:c r="U409" s="26"/>
      <x:c r="V409" s="26"/>
      <x:c r="W409" s="32"/>
      <x:c r="X409" s="27" t="b">
        <x:v>1</x:v>
      </x:c>
      <x:c r="Y409" s="34" t="n">
        <x:v>46219.72966435185</x:v>
      </x:c>
      <x:c r="Z409" s="26"/>
      <x:c r="AA409" s="26" t="str">
        <x:v>Venkatapur - III (36701020604)</x:v>
      </x:c>
      <x:c r="AB409" s="26" t="str">
        <x:v>Enriched from Mulugu project JSON</x:v>
      </x:c>
    </x:row>
    <x:row r="410">
      <x:c r="A410" s="26" t="n">
        <x:v>407</x:v>
      </x:c>
      <x:c r="B410" s="26" t="n">
        <x:v>199</x:v>
      </x:c>
      <x:c r="C410" s="26" t="str">
        <x:v>Mulugu</x:v>
      </x:c>
      <x:c r="D410" s="26" t="n">
        <x:v>13081</x:v>
      </x:c>
      <x:c r="E410" s="26" t="str">
        <x:v>PRJ-2026-0013081</x:v>
      </x:c>
      <x:c r="F410" s="26" t="str">
        <x:v>AWC Venkatapur III</x:v>
      </x:c>
      <x:c r="G410" s="26" t="n">
        <x:v>502</x:v>
      </x:c>
      <x:c r="H410" s="26" t="n">
        <x:v>52220</x:v>
      </x:c>
      <x:c r="I410" s="26" t="str">
        <x:v>Games</x:v>
      </x:c>
      <x:c r="J410" s="26" t="str">
        <x:v>Number</x:v>
      </x:c>
      <x:c r="K410" s="26" t="n">
        <x:v>10</x:v>
      </x:c>
      <x:c r="L410" s="26" t="n">
        <x:v>10</x:v>
      </x:c>
      <x:c r="M410" s="26" t="n">
        <x:v>10</x:v>
      </x:c>
      <x:c r="N410" s="26" t="n">
        <x:v>0</x:v>
      </x:c>
      <x:c r="O410" s="26" t="n">
        <x:f>MAX(M410-N410,0)</x:f>
        <x:v>10</x:v>
      </x:c>
      <x:c r="P410" s="38" t="n">
        <x:f>IFERROR(N410/M410,0)</x:f>
        <x:v>0</x:v>
      </x:c>
      <x:c r="Q410" s="26" t="str">
        <x:v>Material/Assets/Equipment</x:v>
      </x:c>
      <x:c r="R410" s="26" t="str">
        <x:v>ECCE Equipment</x:v>
      </x:c>
      <x:c r="S410" s="26" t="str">
        <x:v>Minor</x:v>
      </x:c>
      <x:c r="T410" s="26"/>
      <x:c r="U410" s="26"/>
      <x:c r="V410" s="26"/>
      <x:c r="W410" s="32"/>
      <x:c r="X410" s="27" t="b">
        <x:v>1</x:v>
      </x:c>
      <x:c r="Y410" s="34" t="n">
        <x:v>46219.72966435185</x:v>
      </x:c>
      <x:c r="Z410" s="26"/>
      <x:c r="AA410" s="26" t="str">
        <x:v>Venkatapur - III (36701020604)</x:v>
      </x:c>
      <x:c r="AB410" s="26" t="str">
        <x:v>Enriched from Mulugu project JSON</x:v>
      </x:c>
    </x:row>
    <x:row r="411">
      <x:c r="A411" s="26" t="n">
        <x:v>408</x:v>
      </x:c>
      <x:c r="B411" s="26" t="n">
        <x:v>199</x:v>
      </x:c>
      <x:c r="C411" s="26" t="str">
        <x:v>Mulugu</x:v>
      </x:c>
      <x:c r="D411" s="26" t="n">
        <x:v>13081</x:v>
      </x:c>
      <x:c r="E411" s="26" t="str">
        <x:v>PRJ-2026-0013081</x:v>
      </x:c>
      <x:c r="F411" s="26" t="str">
        <x:v>AWC Venkatapur III</x:v>
      </x:c>
      <x:c r="G411" s="26" t="n">
        <x:v>503</x:v>
      </x:c>
      <x:c r="H411" s="26" t="n">
        <x:v>52221</x:v>
      </x:c>
      <x:c r="I411" s="26" t="str">
        <x:v>Chairs/Benches</x:v>
      </x:c>
      <x:c r="J411" s="26" t="str">
        <x:v>Number</x:v>
      </x:c>
      <x:c r="K411" s="26" t="n">
        <x:v>5</x:v>
      </x:c>
      <x:c r="L411" s="26" t="n">
        <x:v>5</x:v>
      </x:c>
      <x:c r="M411" s="26" t="n">
        <x:v>5</x:v>
      </x:c>
      <x:c r="N411" s="26" t="n">
        <x:v>0</x:v>
      </x:c>
      <x:c r="O411" s="26" t="n">
        <x:f>MAX(M411-N411,0)</x:f>
        <x:v>5</x:v>
      </x:c>
      <x:c r="P411" s="38" t="n">
        <x:f>IFERROR(N411/M411,0)</x:f>
        <x:v>0</x:v>
      </x:c>
      <x:c r="Q411" s="26" t="str">
        <x:v>Material/Assets/Equipment</x:v>
      </x:c>
      <x:c r="R411" s="26" t="str">
        <x:v>Educational Needs</x:v>
      </x:c>
      <x:c r="S411" s="26" t="str">
        <x:v>Minor</x:v>
      </x:c>
      <x:c r="T411" s="26"/>
      <x:c r="U411" s="26"/>
      <x:c r="V411" s="26"/>
      <x:c r="W411" s="32"/>
      <x:c r="X411" s="27" t="b">
        <x:v>1</x:v>
      </x:c>
      <x:c r="Y411" s="34" t="n">
        <x:v>46219.72966435185</x:v>
      </x:c>
      <x:c r="Z411" s="26"/>
      <x:c r="AA411" s="26" t="str">
        <x:v>Venkatapur - III (36701020604)</x:v>
      </x:c>
      <x:c r="AB411" s="26" t="str">
        <x:v>Enriched from Mulugu project JSON</x:v>
      </x:c>
    </x:row>
    <x:row r="412">
      <x:c r="A412" s="26" t="n">
        <x:v>409</x:v>
      </x:c>
      <x:c r="B412" s="26" t="n">
        <x:v>199</x:v>
      </x:c>
      <x:c r="C412" s="26" t="str">
        <x:v>Mulugu</x:v>
      </x:c>
      <x:c r="D412" s="26" t="n">
        <x:v>13081</x:v>
      </x:c>
      <x:c r="E412" s="26" t="str">
        <x:v>PRJ-2026-0013081</x:v>
      </x:c>
      <x:c r="F412" s="26" t="str">
        <x:v>AWC Venkatapur III</x:v>
      </x:c>
      <x:c r="G412" s="26" t="n">
        <x:v>504</x:v>
      </x:c>
      <x:c r="H412" s="26" t="n">
        <x:v>52222</x:v>
      </x:c>
      <x:c r="I412" s="26" t="str">
        <x:v>Tube Lights</x:v>
      </x:c>
      <x:c r="J412" s="26" t="str">
        <x:v>Number</x:v>
      </x:c>
      <x:c r="K412" s="26" t="n">
        <x:v>2</x:v>
      </x:c>
      <x:c r="L412" s="26" t="n">
        <x:v>2</x:v>
      </x:c>
      <x:c r="M412" s="26" t="n">
        <x:v>2</x:v>
      </x:c>
      <x:c r="N412" s="26" t="n">
        <x:v>0</x:v>
      </x:c>
      <x:c r="O412" s="26" t="n">
        <x:f>MAX(M412-N412,0)</x:f>
        <x:v>2</x:v>
      </x:c>
      <x:c r="P412" s="38" t="n">
        <x:f>IFERROR(N412/M412,0)</x:f>
        <x:v>0</x:v>
      </x:c>
      <x:c r="Q412" s="26" t="str">
        <x:v>Material/Assets/Equipment</x:v>
      </x:c>
      <x:c r="R412" s="26" t="str">
        <x:v>Electrical Infrastructure</x:v>
      </x:c>
      <x:c r="S412" s="26" t="str">
        <x:v>Medium</x:v>
      </x:c>
      <x:c r="T412" s="26"/>
      <x:c r="U412" s="26"/>
      <x:c r="V412" s="26"/>
      <x:c r="W412" s="32"/>
      <x:c r="X412" s="27" t="b">
        <x:v>1</x:v>
      </x:c>
      <x:c r="Y412" s="34" t="n">
        <x:v>46219.72966435185</x:v>
      </x:c>
      <x:c r="Z412" s="26"/>
      <x:c r="AA412" s="26" t="str">
        <x:v>Venkatapur - III (36701020604)</x:v>
      </x:c>
      <x:c r="AB412" s="26" t="str">
        <x:v>Enriched from Mulugu project JSON</x:v>
      </x:c>
    </x:row>
    <x:row r="413">
      <x:c r="A413" s="26" t="n">
        <x:v>410</x:v>
      </x:c>
      <x:c r="B413" s="26" t="n">
        <x:v>199</x:v>
      </x:c>
      <x:c r="C413" s="26" t="str">
        <x:v>Mulugu</x:v>
      </x:c>
      <x:c r="D413" s="26" t="n">
        <x:v>13081</x:v>
      </x:c>
      <x:c r="E413" s="26" t="str">
        <x:v>PRJ-2026-0013081</x:v>
      </x:c>
      <x:c r="F413" s="26" t="str">
        <x:v>AWC Venkatapur III</x:v>
      </x:c>
      <x:c r="G413" s="26" t="n">
        <x:v>505</x:v>
      </x:c>
      <x:c r="H413" s="26" t="n">
        <x:v>52223</x:v>
      </x:c>
      <x:c r="I413" s="26" t="str">
        <x:v>Cooking Equipments</x:v>
      </x:c>
      <x:c r="J413" s="26" t="str">
        <x:v>Number</x:v>
      </x:c>
      <x:c r="K413" s="26" t="n">
        <x:v>1</x:v>
      </x:c>
      <x:c r="L413" s="26" t="n">
        <x:v>1</x:v>
      </x:c>
      <x:c r="M413" s="26" t="n">
        <x:v>1</x:v>
      </x:c>
      <x:c r="N413" s="26" t="n">
        <x:v>0</x:v>
      </x:c>
      <x:c r="O413" s="26" t="n">
        <x:f>MAX(M413-N413,0)</x:f>
        <x:v>1</x:v>
      </x:c>
      <x:c r="P413" s="38" t="n">
        <x:f>IFERROR(N413/M413,0)</x:f>
        <x:v>0</x:v>
      </x:c>
      <x:c r="Q413" s="26" t="str">
        <x:v>Material/Assets/Equipment</x:v>
      </x:c>
      <x:c r="R413" s="26" t="str">
        <x:v>Electrical Infrastructure</x:v>
      </x:c>
      <x:c r="S413" s="26" t="str">
        <x:v>Medium</x:v>
      </x:c>
      <x:c r="T413" s="26"/>
      <x:c r="U413" s="26"/>
      <x:c r="V413" s="26"/>
      <x:c r="W413" s="32"/>
      <x:c r="X413" s="27" t="b">
        <x:v>1</x:v>
      </x:c>
      <x:c r="Y413" s="34" t="n">
        <x:v>46219.72966435185</x:v>
      </x:c>
      <x:c r="Z413" s="26"/>
      <x:c r="AA413" s="26" t="str">
        <x:v>Venkatapur - III (36701020604)</x:v>
      </x:c>
      <x:c r="AB413" s="26" t="str">
        <x:v>Enriched from Mulugu project JSON</x:v>
      </x:c>
    </x:row>
    <x:row r="414">
      <x:c r="A414" s="26" t="n">
        <x:v>411</x:v>
      </x:c>
      <x:c r="B414" s="26" t="n">
        <x:v>199</x:v>
      </x:c>
      <x:c r="C414" s="26" t="str">
        <x:v>Mulugu</x:v>
      </x:c>
      <x:c r="D414" s="26" t="n">
        <x:v>13081</x:v>
      </x:c>
      <x:c r="E414" s="26" t="str">
        <x:v>PRJ-2026-0013081</x:v>
      </x:c>
      <x:c r="F414" s="26" t="str">
        <x:v>AWC Venkatapur III</x:v>
      </x:c>
      <x:c r="G414" s="26" t="n">
        <x:v>506</x:v>
      </x:c>
      <x:c r="H414" s="26" t="n">
        <x:v>52224</x:v>
      </x:c>
      <x:c r="I414" s="26" t="str">
        <x:v>Water Purifier</x:v>
      </x:c>
      <x:c r="J414" s="26" t="str">
        <x:v>Number</x:v>
      </x:c>
      <x:c r="K414" s="26" t="n">
        <x:v>1</x:v>
      </x:c>
      <x:c r="L414" s="26" t="n">
        <x:v>1</x:v>
      </x:c>
      <x:c r="M414" s="26" t="n">
        <x:v>1</x:v>
      </x:c>
      <x:c r="N414" s="26" t="n">
        <x:v>0</x:v>
      </x:c>
      <x:c r="O414" s="26" t="n">
        <x:f>MAX(M414-N414,0)</x:f>
        <x:v>1</x:v>
      </x:c>
      <x:c r="P414" s="38" t="n">
        <x:f>IFERROR(N414/M414,0)</x:f>
        <x:v>0</x:v>
      </x:c>
      <x:c r="Q414" s="26" t="str">
        <x:v>Material/Assets/Equipment</x:v>
      </x:c>
      <x:c r="R414" s="26" t="str">
        <x:v>Health and Safety aids</x:v>
      </x:c>
      <x:c r="S414" s="26" t="str">
        <x:v>Minor</x:v>
      </x:c>
      <x:c r="T414" s="26"/>
      <x:c r="U414" s="26"/>
      <x:c r="V414" s="26"/>
      <x:c r="W414" s="32"/>
      <x:c r="X414" s="27" t="b">
        <x:v>1</x:v>
      </x:c>
      <x:c r="Y414" s="34" t="n">
        <x:v>46219.72966435185</x:v>
      </x:c>
      <x:c r="Z414" s="26"/>
      <x:c r="AA414" s="26" t="str">
        <x:v>Venkatapur - III (36701020604)</x:v>
      </x:c>
      <x:c r="AB414" s="26" t="str">
        <x:v>Enriched from Mulugu project JSON</x:v>
      </x:c>
    </x:row>
    <x:row r="415">
      <x:c r="A415" s="26" t="n">
        <x:v>412</x:v>
      </x:c>
      <x:c r="B415" s="26" t="n">
        <x:v>199</x:v>
      </x:c>
      <x:c r="C415" s="26" t="str">
        <x:v>Mulugu</x:v>
      </x:c>
      <x:c r="D415" s="26" t="n">
        <x:v>13081</x:v>
      </x:c>
      <x:c r="E415" s="26" t="str">
        <x:v>PRJ-2026-0013081</x:v>
      </x:c>
      <x:c r="F415" s="26" t="str">
        <x:v>AWC Venkatapur III</x:v>
      </x:c>
      <x:c r="G415" s="26" t="n">
        <x:v>507</x:v>
      </x:c>
      <x:c r="H415" s="26" t="n">
        <x:v>52225</x:v>
      </x:c>
      <x:c r="I415" s="26" t="str">
        <x:v>Chairs</x:v>
      </x:c>
      <x:c r="J415" s="26" t="str">
        <x:v>Number</x:v>
      </x:c>
      <x:c r="K415" s="26" t="n">
        <x:v>3</x:v>
      </x:c>
      <x:c r="L415" s="26" t="n">
        <x:v>3</x:v>
      </x:c>
      <x:c r="M415" s="26" t="n">
        <x:v>3</x:v>
      </x:c>
      <x:c r="N415" s="26" t="n">
        <x:v>0</x:v>
      </x:c>
      <x:c r="O415" s="26" t="n">
        <x:f>MAX(M415-N415,0)</x:f>
        <x:v>3</x:v>
      </x:c>
      <x:c r="P415" s="38" t="n">
        <x:f>IFERROR(N415/M415,0)</x:f>
        <x:v>0</x:v>
      </x:c>
      <x:c r="Q415" s="26" t="str">
        <x:v>Material/Assets/Equipment</x:v>
      </x:c>
      <x:c r="R415" s="26" t="str">
        <x:v>Office Needs</x:v>
      </x:c>
      <x:c r="S415" s="26" t="str">
        <x:v>Minor</x:v>
      </x:c>
      <x:c r="T415" s="26"/>
      <x:c r="U415" s="26"/>
      <x:c r="V415" s="26"/>
      <x:c r="W415" s="32"/>
      <x:c r="X415" s="27" t="b">
        <x:v>1</x:v>
      </x:c>
      <x:c r="Y415" s="34" t="n">
        <x:v>46219.72966435185</x:v>
      </x:c>
      <x:c r="Z415" s="26"/>
      <x:c r="AA415" s="26" t="str">
        <x:v>Venkatapur - III (36701020604)</x:v>
      </x:c>
      <x:c r="AB415" s="26" t="str">
        <x:v>Enriched from Mulugu project JSON</x:v>
      </x:c>
    </x:row>
    <x:row r="416">
      <x:c r="A416" s="26" t="n">
        <x:v>413</x:v>
      </x:c>
      <x:c r="B416" s="26" t="n">
        <x:v>200</x:v>
      </x:c>
      <x:c r="C416" s="26" t="str">
        <x:v>Mulugu</x:v>
      </x:c>
      <x:c r="D416" s="26" t="n">
        <x:v>11460</x:v>
      </x:c>
      <x:c r="E416" s="26" t="str">
        <x:v>PRJ-2026-0011460</x:v>
      </x:c>
      <x:c r="F416" s="26" t="str">
        <x:v>AWC Venkatapur I</x:v>
      </x:c>
      <x:c r="G416" s="26" t="n">
        <x:v>508</x:v>
      </x:c>
      <x:c r="H416" s="26" t="n">
        <x:v>44332</x:v>
      </x:c>
      <x:c r="I416" s="26" t="str">
        <x:v>Toys</x:v>
      </x:c>
      <x:c r="J416" s="26" t="str">
        <x:v>Number</x:v>
      </x:c>
      <x:c r="K416" s="26" t="n">
        <x:v>10</x:v>
      </x:c>
      <x:c r="L416" s="26" t="n">
        <x:v>10</x:v>
      </x:c>
      <x:c r="M416" s="26" t="n">
        <x:v>10</x:v>
      </x:c>
      <x:c r="N416" s="26" t="n">
        <x:v>0</x:v>
      </x:c>
      <x:c r="O416" s="26" t="n">
        <x:f>MAX(M416-N416,0)</x:f>
        <x:v>10</x:v>
      </x:c>
      <x:c r="P416" s="38" t="n">
        <x:f>IFERROR(N416/M416,0)</x:f>
        <x:v>0</x:v>
      </x:c>
      <x:c r="Q416" s="26" t="str">
        <x:v>Material/Assets/Equipment</x:v>
      </x:c>
      <x:c r="R416" s="26" t="str">
        <x:v>ECCE Equipment</x:v>
      </x:c>
      <x:c r="S416" s="26" t="str">
        <x:v>Minor</x:v>
      </x:c>
      <x:c r="T416" s="26"/>
      <x:c r="U416" s="26"/>
      <x:c r="V416" s="26"/>
      <x:c r="W416" s="32"/>
      <x:c r="X416" s="27" t="b">
        <x:v>1</x:v>
      </x:c>
      <x:c r="Y416" s="34" t="n">
        <x:v>46219.72966435185</x:v>
      </x:c>
      <x:c r="Z416" s="26"/>
      <x:c r="AA416" s="26" t="str">
        <x:v>Venkatapur - I (36701020606)</x:v>
      </x:c>
      <x:c r="AB416" s="26" t="str">
        <x:v>Enriched from Mulugu project JSON</x:v>
      </x:c>
    </x:row>
    <x:row r="417">
      <x:c r="A417" s="26" t="n">
        <x:v>414</x:v>
      </x:c>
      <x:c r="B417" s="26" t="n">
        <x:v>200</x:v>
      </x:c>
      <x:c r="C417" s="26" t="str">
        <x:v>Mulugu</x:v>
      </x:c>
      <x:c r="D417" s="26" t="n">
        <x:v>11460</x:v>
      </x:c>
      <x:c r="E417" s="26" t="str">
        <x:v>PRJ-2026-0011460</x:v>
      </x:c>
      <x:c r="F417" s="26" t="str">
        <x:v>AWC Venkatapur I</x:v>
      </x:c>
      <x:c r="G417" s="26" t="n">
        <x:v>509</x:v>
      </x:c>
      <x:c r="H417" s="26" t="n">
        <x:v>44333</x:v>
      </x:c>
      <x:c r="I417" s="26" t="str">
        <x:v>Games</x:v>
      </x:c>
      <x:c r="J417" s="26" t="str">
        <x:v>Number</x:v>
      </x:c>
      <x:c r="K417" s="26" t="n">
        <x:v>10</x:v>
      </x:c>
      <x:c r="L417" s="26" t="n">
        <x:v>10</x:v>
      </x:c>
      <x:c r="M417" s="26" t="n">
        <x:v>10</x:v>
      </x:c>
      <x:c r="N417" s="26" t="n">
        <x:v>0</x:v>
      </x:c>
      <x:c r="O417" s="26" t="n">
        <x:f>MAX(M417-N417,0)</x:f>
        <x:v>10</x:v>
      </x:c>
      <x:c r="P417" s="38" t="n">
        <x:f>IFERROR(N417/M417,0)</x:f>
        <x:v>0</x:v>
      </x:c>
      <x:c r="Q417" s="26" t="str">
        <x:v>Material/Assets/Equipment</x:v>
      </x:c>
      <x:c r="R417" s="26" t="str">
        <x:v>ECCE Equipment</x:v>
      </x:c>
      <x:c r="S417" s="26" t="str">
        <x:v>Minor</x:v>
      </x:c>
      <x:c r="T417" s="26"/>
      <x:c r="U417" s="26"/>
      <x:c r="V417" s="26"/>
      <x:c r="W417" s="32"/>
      <x:c r="X417" s="27" t="b">
        <x:v>1</x:v>
      </x:c>
      <x:c r="Y417" s="34" t="n">
        <x:v>46219.72966435185</x:v>
      </x:c>
      <x:c r="Z417" s="26"/>
      <x:c r="AA417" s="26" t="str">
        <x:v>Venkatapur - I (36701020606)</x:v>
      </x:c>
      <x:c r="AB417" s="26" t="str">
        <x:v>Enriched from Mulugu project JSON</x:v>
      </x:c>
    </x:row>
    <x:row r="418">
      <x:c r="A418" s="26" t="n">
        <x:v>415</x:v>
      </x:c>
      <x:c r="B418" s="26" t="n">
        <x:v>200</x:v>
      </x:c>
      <x:c r="C418" s="26" t="str">
        <x:v>Mulugu</x:v>
      </x:c>
      <x:c r="D418" s="26" t="n">
        <x:v>11460</x:v>
      </x:c>
      <x:c r="E418" s="26" t="str">
        <x:v>PRJ-2026-0011460</x:v>
      </x:c>
      <x:c r="F418" s="26" t="str">
        <x:v>AWC Venkatapur I</x:v>
      </x:c>
      <x:c r="G418" s="26" t="n">
        <x:v>510</x:v>
      </x:c>
      <x:c r="H418" s="26" t="n">
        <x:v>44334</x:v>
      </x:c>
      <x:c r="I418" s="26" t="str">
        <x:v>Chairs/Benches</x:v>
      </x:c>
      <x:c r="J418" s="26" t="str">
        <x:v>Number</x:v>
      </x:c>
      <x:c r="K418" s="26" t="n">
        <x:v>10</x:v>
      </x:c>
      <x:c r="L418" s="26" t="n">
        <x:v>10</x:v>
      </x:c>
      <x:c r="M418" s="26" t="n">
        <x:v>10</x:v>
      </x:c>
      <x:c r="N418" s="26" t="n">
        <x:v>0</x:v>
      </x:c>
      <x:c r="O418" s="26" t="n">
        <x:f>MAX(M418-N418,0)</x:f>
        <x:v>10</x:v>
      </x:c>
      <x:c r="P418" s="38" t="n">
        <x:f>IFERROR(N418/M418,0)</x:f>
        <x:v>0</x:v>
      </x:c>
      <x:c r="Q418" s="26" t="str">
        <x:v>Material/Assets/Equipment</x:v>
      </x:c>
      <x:c r="R418" s="26" t="str">
        <x:v>Educational Needs</x:v>
      </x:c>
      <x:c r="S418" s="26" t="str">
        <x:v>Minor</x:v>
      </x:c>
      <x:c r="T418" s="26"/>
      <x:c r="U418" s="26"/>
      <x:c r="V418" s="26"/>
      <x:c r="W418" s="32"/>
      <x:c r="X418" s="27" t="b">
        <x:v>1</x:v>
      </x:c>
      <x:c r="Y418" s="34" t="n">
        <x:v>46219.72966435185</x:v>
      </x:c>
      <x:c r="Z418" s="26"/>
      <x:c r="AA418" s="26" t="str">
        <x:v>Venkatapur - I (36701020606)</x:v>
      </x:c>
      <x:c r="AB418" s="26" t="str">
        <x:v>Enriched from Mulugu project JSON</x:v>
      </x:c>
    </x:row>
    <x:row r="419">
      <x:c r="A419" s="26" t="n">
        <x:v>416</x:v>
      </x:c>
      <x:c r="B419" s="26" t="n">
        <x:v>200</x:v>
      </x:c>
      <x:c r="C419" s="26" t="str">
        <x:v>Mulugu</x:v>
      </x:c>
      <x:c r="D419" s="26" t="n">
        <x:v>11460</x:v>
      </x:c>
      <x:c r="E419" s="26" t="str">
        <x:v>PRJ-2026-0011460</x:v>
      </x:c>
      <x:c r="F419" s="26" t="str">
        <x:v>AWC Venkatapur I</x:v>
      </x:c>
      <x:c r="G419" s="26" t="n">
        <x:v>511</x:v>
      </x:c>
      <x:c r="H419" s="26" t="n">
        <x:v>44335</x:v>
      </x:c>
      <x:c r="I419" s="26" t="str">
        <x:v>Tube Lights</x:v>
      </x:c>
      <x:c r="J419" s="26" t="str">
        <x:v>Number</x:v>
      </x:c>
      <x:c r="K419" s="26" t="n">
        <x:v>2</x:v>
      </x:c>
      <x:c r="L419" s="26" t="n">
        <x:v>2</x:v>
      </x:c>
      <x:c r="M419" s="26" t="n">
        <x:v>2</x:v>
      </x:c>
      <x:c r="N419" s="26" t="n">
        <x:v>0</x:v>
      </x:c>
      <x:c r="O419" s="26" t="n">
        <x:f>MAX(M419-N419,0)</x:f>
        <x:v>2</x:v>
      </x:c>
      <x:c r="P419" s="38" t="n">
        <x:f>IFERROR(N419/M419,0)</x:f>
        <x:v>0</x:v>
      </x:c>
      <x:c r="Q419" s="26" t="str">
        <x:v>Material/Assets/Equipment</x:v>
      </x:c>
      <x:c r="R419" s="26" t="str">
        <x:v>Electrical Infrastructure</x:v>
      </x:c>
      <x:c r="S419" s="26" t="str">
        <x:v>Medium</x:v>
      </x:c>
      <x:c r="T419" s="26"/>
      <x:c r="U419" s="26"/>
      <x:c r="V419" s="26"/>
      <x:c r="W419" s="32"/>
      <x:c r="X419" s="27" t="b">
        <x:v>1</x:v>
      </x:c>
      <x:c r="Y419" s="34" t="n">
        <x:v>46219.72966435185</x:v>
      </x:c>
      <x:c r="Z419" s="26"/>
      <x:c r="AA419" s="26" t="str">
        <x:v>Venkatapur - I (36701020606)</x:v>
      </x:c>
      <x:c r="AB419" s="26" t="str">
        <x:v>Enriched from Mulugu project JSON</x:v>
      </x:c>
    </x:row>
    <x:row r="420">
      <x:c r="A420" s="26" t="n">
        <x:v>417</x:v>
      </x:c>
      <x:c r="B420" s="26" t="n">
        <x:v>200</x:v>
      </x:c>
      <x:c r="C420" s="26" t="str">
        <x:v>Mulugu</x:v>
      </x:c>
      <x:c r="D420" s="26" t="n">
        <x:v>11460</x:v>
      </x:c>
      <x:c r="E420" s="26" t="str">
        <x:v>PRJ-2026-0011460</x:v>
      </x:c>
      <x:c r="F420" s="26" t="str">
        <x:v>AWC Venkatapur I</x:v>
      </x:c>
      <x:c r="G420" s="26" t="n">
        <x:v>512</x:v>
      </x:c>
      <x:c r="H420" s="26" t="n">
        <x:v>44336</x:v>
      </x:c>
      <x:c r="I420" s="26" t="str">
        <x:v>Cooking Equipments</x:v>
      </x:c>
      <x:c r="J420" s="26" t="str">
        <x:v>Number</x:v>
      </x:c>
      <x:c r="K420" s="26" t="n">
        <x:v>1</x:v>
      </x:c>
      <x:c r="L420" s="26" t="n">
        <x:v>1</x:v>
      </x:c>
      <x:c r="M420" s="26" t="n">
        <x:v>1</x:v>
      </x:c>
      <x:c r="N420" s="26" t="n">
        <x:v>0</x:v>
      </x:c>
      <x:c r="O420" s="26" t="n">
        <x:f>MAX(M420-N420,0)</x:f>
        <x:v>1</x:v>
      </x:c>
      <x:c r="P420" s="38" t="n">
        <x:f>IFERROR(N420/M420,0)</x:f>
        <x:v>0</x:v>
      </x:c>
      <x:c r="Q420" s="26" t="str">
        <x:v>Material/Assets/Equipment</x:v>
      </x:c>
      <x:c r="R420" s="26" t="str">
        <x:v>Electrical Infrastructure</x:v>
      </x:c>
      <x:c r="S420" s="26" t="str">
        <x:v>Medium</x:v>
      </x:c>
      <x:c r="T420" s="26"/>
      <x:c r="U420" s="26"/>
      <x:c r="V420" s="26"/>
      <x:c r="W420" s="32"/>
      <x:c r="X420" s="27" t="b">
        <x:v>1</x:v>
      </x:c>
      <x:c r="Y420" s="34" t="n">
        <x:v>46219.72966435185</x:v>
      </x:c>
      <x:c r="Z420" s="26"/>
      <x:c r="AA420" s="26" t="str">
        <x:v>Venkatapur - I (36701020606)</x:v>
      </x:c>
      <x:c r="AB420" s="26" t="str">
        <x:v>Enriched from Mulugu project JSON</x:v>
      </x:c>
    </x:row>
    <x:row r="421">
      <x:c r="A421" s="26" t="n">
        <x:v>418</x:v>
      </x:c>
      <x:c r="B421" s="26" t="n">
        <x:v>200</x:v>
      </x:c>
      <x:c r="C421" s="26" t="str">
        <x:v>Mulugu</x:v>
      </x:c>
      <x:c r="D421" s="26" t="n">
        <x:v>11460</x:v>
      </x:c>
      <x:c r="E421" s="26" t="str">
        <x:v>PRJ-2026-0011460</x:v>
      </x:c>
      <x:c r="F421" s="26" t="str">
        <x:v>AWC Venkatapur I</x:v>
      </x:c>
      <x:c r="G421" s="26" t="n">
        <x:v>513</x:v>
      </x:c>
      <x:c r="H421" s="26" t="n">
        <x:v>44337</x:v>
      </x:c>
      <x:c r="I421" s="26" t="str">
        <x:v>Water Purifier</x:v>
      </x:c>
      <x:c r="J421" s="26" t="str">
        <x:v>Number</x:v>
      </x:c>
      <x:c r="K421" s="26" t="n">
        <x:v>1</x:v>
      </x:c>
      <x:c r="L421" s="26" t="n">
        <x:v>1</x:v>
      </x:c>
      <x:c r="M421" s="26" t="n">
        <x:v>1</x:v>
      </x:c>
      <x:c r="N421" s="26" t="n">
        <x:v>0</x:v>
      </x:c>
      <x:c r="O421" s="26" t="n">
        <x:f>MAX(M421-N421,0)</x:f>
        <x:v>1</x:v>
      </x:c>
      <x:c r="P421" s="38" t="n">
        <x:f>IFERROR(N421/M421,0)</x:f>
        <x:v>0</x:v>
      </x:c>
      <x:c r="Q421" s="26" t="str">
        <x:v>Material/Assets/Equipment</x:v>
      </x:c>
      <x:c r="R421" s="26" t="str">
        <x:v>Health and Safety aids</x:v>
      </x:c>
      <x:c r="S421" s="26" t="str">
        <x:v>Minor</x:v>
      </x:c>
      <x:c r="T421" s="26"/>
      <x:c r="U421" s="26"/>
      <x:c r="V421" s="26"/>
      <x:c r="W421" s="32"/>
      <x:c r="X421" s="27" t="b">
        <x:v>1</x:v>
      </x:c>
      <x:c r="Y421" s="34" t="n">
        <x:v>46219.72966435185</x:v>
      </x:c>
      <x:c r="Z421" s="26"/>
      <x:c r="AA421" s="26" t="str">
        <x:v>Venkatapur - I (36701020606)</x:v>
      </x:c>
      <x:c r="AB421" s="26" t="str">
        <x:v>Enriched from Mulugu project JSON</x:v>
      </x:c>
    </x:row>
    <x:row r="422">
      <x:c r="A422" s="26" t="n">
        <x:v>419</x:v>
      </x:c>
      <x:c r="B422" s="26" t="n">
        <x:v>200</x:v>
      </x:c>
      <x:c r="C422" s="26" t="str">
        <x:v>Mulugu</x:v>
      </x:c>
      <x:c r="D422" s="26" t="n">
        <x:v>11460</x:v>
      </x:c>
      <x:c r="E422" s="26" t="str">
        <x:v>PRJ-2026-0011460</x:v>
      </x:c>
      <x:c r="F422" s="26" t="str">
        <x:v>AWC Venkatapur I</x:v>
      </x:c>
      <x:c r="G422" s="26" t="n">
        <x:v>514</x:v>
      </x:c>
      <x:c r="H422" s="26" t="n">
        <x:v>44338</x:v>
      </x:c>
      <x:c r="I422" s="26" t="str">
        <x:v>Chairs</x:v>
      </x:c>
      <x:c r="J422" s="26" t="str">
        <x:v>Number</x:v>
      </x:c>
      <x:c r="K422" s="26" t="n">
        <x:v>3</x:v>
      </x:c>
      <x:c r="L422" s="26" t="n">
        <x:v>3</x:v>
      </x:c>
      <x:c r="M422" s="26" t="n">
        <x:v>3</x:v>
      </x:c>
      <x:c r="N422" s="26" t="n">
        <x:v>0</x:v>
      </x:c>
      <x:c r="O422" s="26" t="n">
        <x:f>MAX(M422-N422,0)</x:f>
        <x:v>3</x:v>
      </x:c>
      <x:c r="P422" s="38" t="n">
        <x:f>IFERROR(N422/M422,0)</x:f>
        <x:v>0</x:v>
      </x:c>
      <x:c r="Q422" s="26" t="str">
        <x:v>Material/Assets/Equipment</x:v>
      </x:c>
      <x:c r="R422" s="26" t="str">
        <x:v>Office Needs</x:v>
      </x:c>
      <x:c r="S422" s="26" t="str">
        <x:v>Minor</x:v>
      </x:c>
      <x:c r="T422" s="26"/>
      <x:c r="U422" s="26"/>
      <x:c r="V422" s="26"/>
      <x:c r="W422" s="32"/>
      <x:c r="X422" s="27" t="b">
        <x:v>1</x:v>
      </x:c>
      <x:c r="Y422" s="34" t="n">
        <x:v>46219.72966435185</x:v>
      </x:c>
      <x:c r="Z422" s="26"/>
      <x:c r="AA422" s="26" t="str">
        <x:v>Venkatapur - I (36701020606)</x:v>
      </x:c>
      <x:c r="AB422" s="26" t="str">
        <x:v>Enriched from Mulugu project JSON</x:v>
      </x:c>
    </x:row>
    <x:row r="423">
      <x:c r="A423" s="26" t="n">
        <x:v>420</x:v>
      </x:c>
      <x:c r="B423" s="26" t="n">
        <x:v>201</x:v>
      </x:c>
      <x:c r="C423" s="26" t="str">
        <x:v>Mulugu</x:v>
      </x:c>
      <x:c r="D423" s="26" t="n">
        <x:v>11386</x:v>
      </x:c>
      <x:c r="E423" s="26" t="str">
        <x:v>PRJ-2026-0011386</x:v>
      </x:c>
      <x:c r="F423" s="26" t="str">
        <x:v>AWC Venkatapur IV</x:v>
      </x:c>
      <x:c r="G423" s="26" t="n">
        <x:v>515</x:v>
      </x:c>
      <x:c r="H423" s="26" t="n">
        <x:v>44039</x:v>
      </x:c>
      <x:c r="I423" s="26" t="str">
        <x:v>Toys</x:v>
      </x:c>
      <x:c r="J423" s="26" t="str">
        <x:v>Number</x:v>
      </x:c>
      <x:c r="K423" s="26" t="n">
        <x:v>10</x:v>
      </x:c>
      <x:c r="L423" s="26" t="n">
        <x:v>10</x:v>
      </x:c>
      <x:c r="M423" s="26" t="n">
        <x:v>10</x:v>
      </x:c>
      <x:c r="N423" s="26" t="n">
        <x:v>0</x:v>
      </x:c>
      <x:c r="O423" s="26" t="n">
        <x:f>MAX(M423-N423,0)</x:f>
        <x:v>10</x:v>
      </x:c>
      <x:c r="P423" s="38" t="n">
        <x:f>IFERROR(N423/M423,0)</x:f>
        <x:v>0</x:v>
      </x:c>
      <x:c r="Q423" s="26" t="str">
        <x:v>Material/Assets/Equipment</x:v>
      </x:c>
      <x:c r="R423" s="26" t="str">
        <x:v>ECCE Equipment</x:v>
      </x:c>
      <x:c r="S423" s="26" t="str">
        <x:v>Minor</x:v>
      </x:c>
      <x:c r="T423" s="26"/>
      <x:c r="U423" s="26"/>
      <x:c r="V423" s="26"/>
      <x:c r="W423" s="32"/>
      <x:c r="X423" s="27" t="b">
        <x:v>1</x:v>
      </x:c>
      <x:c r="Y423" s="34" t="n">
        <x:v>46219.72966435185</x:v>
      </x:c>
      <x:c r="Z423" s="26"/>
      <x:c r="AA423" s="26" t="str">
        <x:v>Venkatapur - IV (36701020603)</x:v>
      </x:c>
      <x:c r="AB423" s="26" t="str">
        <x:v>Enriched from Mulugu project JSON</x:v>
      </x:c>
    </x:row>
    <x:row r="424">
      <x:c r="A424" s="26" t="n">
        <x:v>421</x:v>
      </x:c>
      <x:c r="B424" s="26" t="n">
        <x:v>201</x:v>
      </x:c>
      <x:c r="C424" s="26" t="str">
        <x:v>Mulugu</x:v>
      </x:c>
      <x:c r="D424" s="26" t="n">
        <x:v>11386</x:v>
      </x:c>
      <x:c r="E424" s="26" t="str">
        <x:v>PRJ-2026-0011386</x:v>
      </x:c>
      <x:c r="F424" s="26" t="str">
        <x:v>AWC Venkatapur IV</x:v>
      </x:c>
      <x:c r="G424" s="26" t="n">
        <x:v>516</x:v>
      </x:c>
      <x:c r="H424" s="26" t="n">
        <x:v>44040</x:v>
      </x:c>
      <x:c r="I424" s="26" t="str">
        <x:v>Swing sets</x:v>
      </x:c>
      <x:c r="J424" s="26" t="str">
        <x:v>Number</x:v>
      </x:c>
      <x:c r="K424" s="26" t="n">
        <x:v>2</x:v>
      </x:c>
      <x:c r="L424" s="26" t="n">
        <x:v>2</x:v>
      </x:c>
      <x:c r="M424" s="26" t="n">
        <x:v>2</x:v>
      </x:c>
      <x:c r="N424" s="26" t="n">
        <x:v>0</x:v>
      </x:c>
      <x:c r="O424" s="26" t="n">
        <x:f>MAX(M424-N424,0)</x:f>
        <x:v>2</x:v>
      </x:c>
      <x:c r="P424" s="38" t="n">
        <x:f>IFERROR(N424/M424,0)</x:f>
        <x:v>0</x:v>
      </x:c>
      <x:c r="Q424" s="26" t="str">
        <x:v>Material/Assets/Equipment</x:v>
      </x:c>
      <x:c r="R424" s="26" t="str">
        <x:v>ECCE Equipment</x:v>
      </x:c>
      <x:c r="S424" s="26" t="str">
        <x:v>Minor</x:v>
      </x:c>
      <x:c r="T424" s="26"/>
      <x:c r="U424" s="26"/>
      <x:c r="V424" s="26"/>
      <x:c r="W424" s="32"/>
      <x:c r="X424" s="27" t="b">
        <x:v>1</x:v>
      </x:c>
      <x:c r="Y424" s="34" t="n">
        <x:v>46219.72966435185</x:v>
      </x:c>
      <x:c r="Z424" s="26"/>
      <x:c r="AA424" s="26" t="str">
        <x:v>Venkatapur - IV (36701020603)</x:v>
      </x:c>
      <x:c r="AB424" s="26" t="str">
        <x:v>Enriched from Mulugu project JSON</x:v>
      </x:c>
    </x:row>
    <x:row r="425">
      <x:c r="A425" s="26" t="n">
        <x:v>422</x:v>
      </x:c>
      <x:c r="B425" s="26" t="n">
        <x:v>201</x:v>
      </x:c>
      <x:c r="C425" s="26" t="str">
        <x:v>Mulugu</x:v>
      </x:c>
      <x:c r="D425" s="26" t="n">
        <x:v>11386</x:v>
      </x:c>
      <x:c r="E425" s="26" t="str">
        <x:v>PRJ-2026-0011386</x:v>
      </x:c>
      <x:c r="F425" s="26" t="str">
        <x:v>AWC Venkatapur IV</x:v>
      </x:c>
      <x:c r="G425" s="26" t="n">
        <x:v>517</x:v>
      </x:c>
      <x:c r="H425" s="26" t="n">
        <x:v>44041</x:v>
      </x:c>
      <x:c r="I425" s="26" t="str">
        <x:v>Chairs/Benches</x:v>
      </x:c>
      <x:c r="J425" s="26" t="str">
        <x:v>Number</x:v>
      </x:c>
      <x:c r="K425" s="26" t="n">
        <x:v>10</x:v>
      </x:c>
      <x:c r="L425" s="26" t="n">
        <x:v>10</x:v>
      </x:c>
      <x:c r="M425" s="26" t="n">
        <x:v>10</x:v>
      </x:c>
      <x:c r="N425" s="26" t="n">
        <x:v>0</x:v>
      </x:c>
      <x:c r="O425" s="26" t="n">
        <x:f>MAX(M425-N425,0)</x:f>
        <x:v>10</x:v>
      </x:c>
      <x:c r="P425" s="38" t="n">
        <x:f>IFERROR(N425/M425,0)</x:f>
        <x:v>0</x:v>
      </x:c>
      <x:c r="Q425" s="26" t="str">
        <x:v>Material/Assets/Equipment</x:v>
      </x:c>
      <x:c r="R425" s="26" t="str">
        <x:v>Educational Needs</x:v>
      </x:c>
      <x:c r="S425" s="26" t="str">
        <x:v>Minor</x:v>
      </x:c>
      <x:c r="T425" s="26"/>
      <x:c r="U425" s="26"/>
      <x:c r="V425" s="26"/>
      <x:c r="W425" s="32"/>
      <x:c r="X425" s="27" t="b">
        <x:v>1</x:v>
      </x:c>
      <x:c r="Y425" s="34" t="n">
        <x:v>46219.72966435185</x:v>
      </x:c>
      <x:c r="Z425" s="26"/>
      <x:c r="AA425" s="26" t="str">
        <x:v>Venkatapur - IV (36701020603)</x:v>
      </x:c>
      <x:c r="AB425" s="26" t="str">
        <x:v>Enriched from Mulugu project JSON</x:v>
      </x:c>
    </x:row>
    <x:row r="426">
      <x:c r="A426" s="26" t="n">
        <x:v>423</x:v>
      </x:c>
      <x:c r="B426" s="26" t="n">
        <x:v>201</x:v>
      </x:c>
      <x:c r="C426" s="26" t="str">
        <x:v>Mulugu</x:v>
      </x:c>
      <x:c r="D426" s="26" t="n">
        <x:v>11386</x:v>
      </x:c>
      <x:c r="E426" s="26" t="str">
        <x:v>PRJ-2026-0011386</x:v>
      </x:c>
      <x:c r="F426" s="26" t="str">
        <x:v>AWC Venkatapur IV</x:v>
      </x:c>
      <x:c r="G426" s="26" t="n">
        <x:v>518</x:v>
      </x:c>
      <x:c r="H426" s="26" t="n">
        <x:v>44042</x:v>
      </x:c>
      <x:c r="I426" s="26" t="str">
        <x:v>Tube Lights</x:v>
      </x:c>
      <x:c r="J426" s="26" t="str">
        <x:v>Number</x:v>
      </x:c>
      <x:c r="K426" s="26" t="n">
        <x:v>2</x:v>
      </x:c>
      <x:c r="L426" s="26" t="n">
        <x:v>2</x:v>
      </x:c>
      <x:c r="M426" s="26" t="n">
        <x:v>2</x:v>
      </x:c>
      <x:c r="N426" s="26" t="n">
        <x:v>0</x:v>
      </x:c>
      <x:c r="O426" s="26" t="n">
        <x:f>MAX(M426-N426,0)</x:f>
        <x:v>2</x:v>
      </x:c>
      <x:c r="P426" s="38" t="n">
        <x:f>IFERROR(N426/M426,0)</x:f>
        <x:v>0</x:v>
      </x:c>
      <x:c r="Q426" s="26" t="str">
        <x:v>Material/Assets/Equipment</x:v>
      </x:c>
      <x:c r="R426" s="26" t="str">
        <x:v>Electrical Infrastructure</x:v>
      </x:c>
      <x:c r="S426" s="26" t="str">
        <x:v>Medium</x:v>
      </x:c>
      <x:c r="T426" s="26"/>
      <x:c r="U426" s="26"/>
      <x:c r="V426" s="26"/>
      <x:c r="W426" s="32"/>
      <x:c r="X426" s="27" t="b">
        <x:v>1</x:v>
      </x:c>
      <x:c r="Y426" s="34" t="n">
        <x:v>46219.72966435185</x:v>
      </x:c>
      <x:c r="Z426" s="26"/>
      <x:c r="AA426" s="26" t="str">
        <x:v>Venkatapur - IV (36701020603)</x:v>
      </x:c>
      <x:c r="AB426" s="26" t="str">
        <x:v>Enriched from Mulugu project JSON</x:v>
      </x:c>
    </x:row>
    <x:row r="427">
      <x:c r="A427" s="26" t="n">
        <x:v>424</x:v>
      </x:c>
      <x:c r="B427" s="26" t="n">
        <x:v>201</x:v>
      </x:c>
      <x:c r="C427" s="26" t="str">
        <x:v>Mulugu</x:v>
      </x:c>
      <x:c r="D427" s="26" t="n">
        <x:v>11386</x:v>
      </x:c>
      <x:c r="E427" s="26" t="str">
        <x:v>PRJ-2026-0011386</x:v>
      </x:c>
      <x:c r="F427" s="26" t="str">
        <x:v>AWC Venkatapur IV</x:v>
      </x:c>
      <x:c r="G427" s="26" t="n">
        <x:v>519</x:v>
      </x:c>
      <x:c r="H427" s="26" t="n">
        <x:v>44043</x:v>
      </x:c>
      <x:c r="I427" s="26" t="str">
        <x:v>Cooking Equipments</x:v>
      </x:c>
      <x:c r="J427" s="26" t="str">
        <x:v>Number</x:v>
      </x:c>
      <x:c r="K427" s="26" t="n">
        <x:v>1</x:v>
      </x:c>
      <x:c r="L427" s="26" t="n">
        <x:v>1</x:v>
      </x:c>
      <x:c r="M427" s="26" t="n">
        <x:v>1</x:v>
      </x:c>
      <x:c r="N427" s="26" t="n">
        <x:v>0</x:v>
      </x:c>
      <x:c r="O427" s="26" t="n">
        <x:f>MAX(M427-N427,0)</x:f>
        <x:v>1</x:v>
      </x:c>
      <x:c r="P427" s="38" t="n">
        <x:f>IFERROR(N427/M427,0)</x:f>
        <x:v>0</x:v>
      </x:c>
      <x:c r="Q427" s="26" t="str">
        <x:v>Material/Assets/Equipment</x:v>
      </x:c>
      <x:c r="R427" s="26" t="str">
        <x:v>Electrical Infrastructure</x:v>
      </x:c>
      <x:c r="S427" s="26" t="str">
        <x:v>Medium</x:v>
      </x:c>
      <x:c r="T427" s="26"/>
      <x:c r="U427" s="26"/>
      <x:c r="V427" s="26"/>
      <x:c r="W427" s="32"/>
      <x:c r="X427" s="27" t="b">
        <x:v>1</x:v>
      </x:c>
      <x:c r="Y427" s="34" t="n">
        <x:v>46219.72966435185</x:v>
      </x:c>
      <x:c r="Z427" s="26"/>
      <x:c r="AA427" s="26" t="str">
        <x:v>Venkatapur - IV (36701020603)</x:v>
      </x:c>
      <x:c r="AB427" s="26" t="str">
        <x:v>Enriched from Mulugu project JSON</x:v>
      </x:c>
    </x:row>
    <x:row r="428">
      <x:c r="A428" s="26" t="n">
        <x:v>425</x:v>
      </x:c>
      <x:c r="B428" s="26" t="n">
        <x:v>201</x:v>
      </x:c>
      <x:c r="C428" s="26" t="str">
        <x:v>Mulugu</x:v>
      </x:c>
      <x:c r="D428" s="26" t="n">
        <x:v>11386</x:v>
      </x:c>
      <x:c r="E428" s="26" t="str">
        <x:v>PRJ-2026-0011386</x:v>
      </x:c>
      <x:c r="F428" s="26" t="str">
        <x:v>AWC Venkatapur IV</x:v>
      </x:c>
      <x:c r="G428" s="26" t="n">
        <x:v>520</x:v>
      </x:c>
      <x:c r="H428" s="26" t="n">
        <x:v>44044</x:v>
      </x:c>
      <x:c r="I428" s="26" t="str">
        <x:v>Solar Panel</x:v>
      </x:c>
      <x:c r="J428" s="26" t="str">
        <x:v>Number</x:v>
      </x:c>
      <x:c r="K428" s="26" t="n">
        <x:v>1</x:v>
      </x:c>
      <x:c r="L428" s="26" t="n">
        <x:v>1</x:v>
      </x:c>
      <x:c r="M428" s="26" t="n">
        <x:v>1</x:v>
      </x:c>
      <x:c r="N428" s="26" t="n">
        <x:v>0</x:v>
      </x:c>
      <x:c r="O428" s="26" t="n">
        <x:f>MAX(M428-N428,0)</x:f>
        <x:v>1</x:v>
      </x:c>
      <x:c r="P428" s="38" t="n">
        <x:f>IFERROR(N428/M428,0)</x:f>
        <x:v>0</x:v>
      </x:c>
      <x:c r="Q428" s="26" t="str">
        <x:v>Material/Assets/Equipment</x:v>
      </x:c>
      <x:c r="R428" s="26" t="str">
        <x:v>Electrical Infrastructure</x:v>
      </x:c>
      <x:c r="S428" s="26" t="str">
        <x:v>Medium</x:v>
      </x:c>
      <x:c r="T428" s="26"/>
      <x:c r="U428" s="26"/>
      <x:c r="V428" s="26"/>
      <x:c r="W428" s="32"/>
      <x:c r="X428" s="27" t="b">
        <x:v>1</x:v>
      </x:c>
      <x:c r="Y428" s="34" t="n">
        <x:v>46219.72966435185</x:v>
      </x:c>
      <x:c r="Z428" s="26"/>
      <x:c r="AA428" s="26" t="str">
        <x:v>Venkatapur - IV (36701020603)</x:v>
      </x:c>
      <x:c r="AB428" s="26" t="str">
        <x:v>Enriched from Mulugu project JSON</x:v>
      </x:c>
    </x:row>
    <x:row r="429">
      <x:c r="A429" s="26" t="n">
        <x:v>426</x:v>
      </x:c>
      <x:c r="B429" s="26" t="n">
        <x:v>201</x:v>
      </x:c>
      <x:c r="C429" s="26" t="str">
        <x:v>Mulugu</x:v>
      </x:c>
      <x:c r="D429" s="26" t="n">
        <x:v>11386</x:v>
      </x:c>
      <x:c r="E429" s="26" t="str">
        <x:v>PRJ-2026-0011386</x:v>
      </x:c>
      <x:c r="F429" s="26" t="str">
        <x:v>AWC Venkatapur IV</x:v>
      </x:c>
      <x:c r="G429" s="26" t="n">
        <x:v>521</x:v>
      </x:c>
      <x:c r="H429" s="26" t="n">
        <x:v>44045</x:v>
      </x:c>
      <x:c r="I429" s="26" t="str">
        <x:v>Water Purifier</x:v>
      </x:c>
      <x:c r="J429" s="26" t="str">
        <x:v>Number</x:v>
      </x:c>
      <x:c r="K429" s="26" t="n">
        <x:v>1</x:v>
      </x:c>
      <x:c r="L429" s="26" t="n">
        <x:v>1</x:v>
      </x:c>
      <x:c r="M429" s="26" t="n">
        <x:v>1</x:v>
      </x:c>
      <x:c r="N429" s="26" t="n">
        <x:v>0</x:v>
      </x:c>
      <x:c r="O429" s="26" t="n">
        <x:f>MAX(M429-N429,0)</x:f>
        <x:v>1</x:v>
      </x:c>
      <x:c r="P429" s="38" t="n">
        <x:f>IFERROR(N429/M429,0)</x:f>
        <x:v>0</x:v>
      </x:c>
      <x:c r="Q429" s="26" t="str">
        <x:v>Material/Assets/Equipment</x:v>
      </x:c>
      <x:c r="R429" s="26" t="str">
        <x:v>Health and Safety aids</x:v>
      </x:c>
      <x:c r="S429" s="26" t="str">
        <x:v>Minor</x:v>
      </x:c>
      <x:c r="T429" s="26"/>
      <x:c r="U429" s="26"/>
      <x:c r="V429" s="26"/>
      <x:c r="W429" s="32"/>
      <x:c r="X429" s="27" t="b">
        <x:v>1</x:v>
      </x:c>
      <x:c r="Y429" s="34" t="n">
        <x:v>46219.72966435185</x:v>
      </x:c>
      <x:c r="Z429" s="26"/>
      <x:c r="AA429" s="26" t="str">
        <x:v>Venkatapur - IV (36701020603)</x:v>
      </x:c>
      <x:c r="AB429" s="26" t="str">
        <x:v>Enriched from Mulugu project JSON</x:v>
      </x:c>
    </x:row>
    <x:row r="430">
      <x:c r="A430" s="26" t="n">
        <x:v>427</x:v>
      </x:c>
      <x:c r="B430" s="26" t="n">
        <x:v>201</x:v>
      </x:c>
      <x:c r="C430" s="26" t="str">
        <x:v>Mulugu</x:v>
      </x:c>
      <x:c r="D430" s="26" t="n">
        <x:v>11386</x:v>
      </x:c>
      <x:c r="E430" s="26" t="str">
        <x:v>PRJ-2026-0011386</x:v>
      </x:c>
      <x:c r="F430" s="26" t="str">
        <x:v>AWC Venkatapur IV</x:v>
      </x:c>
      <x:c r="G430" s="26" t="n">
        <x:v>522</x:v>
      </x:c>
      <x:c r="H430" s="26" t="n">
        <x:v>44046</x:v>
      </x:c>
      <x:c r="I430" s="26" t="str">
        <x:v>Chairs</x:v>
      </x:c>
      <x:c r="J430" s="26" t="str">
        <x:v>Number</x:v>
      </x:c>
      <x:c r="K430" s="26" t="n">
        <x:v>5</x:v>
      </x:c>
      <x:c r="L430" s="26" t="n">
        <x:v>5</x:v>
      </x:c>
      <x:c r="M430" s="26" t="n">
        <x:v>5</x:v>
      </x:c>
      <x:c r="N430" s="26" t="n">
        <x:v>0</x:v>
      </x:c>
      <x:c r="O430" s="26" t="n">
        <x:f>MAX(M430-N430,0)</x:f>
        <x:v>5</x:v>
      </x:c>
      <x:c r="P430" s="38" t="n">
        <x:f>IFERROR(N430/M430,0)</x:f>
        <x:v>0</x:v>
      </x:c>
      <x:c r="Q430" s="26" t="str">
        <x:v>Material/Assets/Equipment</x:v>
      </x:c>
      <x:c r="R430" s="26" t="str">
        <x:v>Office Needs</x:v>
      </x:c>
      <x:c r="S430" s="26" t="str">
        <x:v>Minor</x:v>
      </x:c>
      <x:c r="T430" s="26"/>
      <x:c r="U430" s="26"/>
      <x:c r="V430" s="26"/>
      <x:c r="W430" s="32"/>
      <x:c r="X430" s="27" t="b">
        <x:v>1</x:v>
      </x:c>
      <x:c r="Y430" s="34" t="n">
        <x:v>46219.72966435185</x:v>
      </x:c>
      <x:c r="Z430" s="26"/>
      <x:c r="AA430" s="26" t="str">
        <x:v>Venkatapur - IV (36701020603)</x:v>
      </x:c>
      <x:c r="AB430" s="26" t="str">
        <x:v>Enriched from Mulugu project JSON</x:v>
      </x:c>
    </x:row>
    <x:row r="431">
      <x:c r="A431" s="26" t="n">
        <x:v>428</x:v>
      </x:c>
      <x:c r="B431" s="26" t="n">
        <x:v>196</x:v>
      </x:c>
      <x:c r="C431" s="26" t="str">
        <x:v>Mulugu</x:v>
      </x:c>
      <x:c r="D431" s="26" t="n">
        <x:v>13112</x:v>
      </x:c>
      <x:c r="E431" s="26" t="str">
        <x:v>PRJ-2026-0013112</x:v>
      </x:c>
      <x:c r="F431" s="26" t="str">
        <x:v>AWC Laxmidevipeta</x:v>
      </x:c>
      <x:c r="G431" s="26" t="n">
        <x:v>480</x:v>
      </x:c>
      <x:c r="H431" s="26" t="n">
        <x:v>52366</x:v>
      </x:c>
      <x:c r="I431" s="26" t="str">
        <x:v>Toys</x:v>
      </x:c>
      <x:c r="J431" s="26" t="str">
        <x:v>Number</x:v>
      </x:c>
      <x:c r="K431" s="26" t="n">
        <x:v>10</x:v>
      </x:c>
      <x:c r="L431" s="26" t="n">
        <x:v>10</x:v>
      </x:c>
      <x:c r="M431" s="26" t="n">
        <x:v>10</x:v>
      </x:c>
      <x:c r="N431" s="26" t="n">
        <x:v>0</x:v>
      </x:c>
      <x:c r="O431" s="26" t="n">
        <x:f>MAX(M431-N431,0)</x:f>
        <x:v>10</x:v>
      </x:c>
      <x:c r="P431" s="38" t="n">
        <x:f>IFERROR(N431/M431,0)</x:f>
        <x:v>0</x:v>
      </x:c>
      <x:c r="Q431" s="26" t="str">
        <x:v>Material/Assets/Equipment</x:v>
      </x:c>
      <x:c r="R431" s="26" t="str">
        <x:v>ECCE Equipment</x:v>
      </x:c>
      <x:c r="S431" s="26" t="str">
        <x:v>Minor</x:v>
      </x:c>
      <x:c r="T431" s="26"/>
      <x:c r="U431" s="26"/>
      <x:c r="V431" s="26"/>
      <x:c r="W431" s="32"/>
      <x:c r="X431" s="27" t="b">
        <x:v>1</x:v>
      </x:c>
      <x:c r="Y431" s="34" t="n">
        <x:v>46219.72965277778</x:v>
      </x:c>
      <x:c r="Z431" s="26"/>
      <x:c r="AA431" s="26" t="str">
        <x:v>Laxmidevpet (36701020619)</x:v>
      </x:c>
      <x:c r="AB431" s="26" t="str">
        <x:v>Enriched from Mulugu project JSON</x:v>
      </x:c>
    </x:row>
    <x:row r="432">
      <x:c r="A432" s="26" t="n">
        <x:v>429</x:v>
      </x:c>
      <x:c r="B432" s="26" t="n">
        <x:v>196</x:v>
      </x:c>
      <x:c r="C432" s="26" t="str">
        <x:v>Mulugu</x:v>
      </x:c>
      <x:c r="D432" s="26" t="n">
        <x:v>13112</x:v>
      </x:c>
      <x:c r="E432" s="26" t="str">
        <x:v>PRJ-2026-0013112</x:v>
      </x:c>
      <x:c r="F432" s="26" t="str">
        <x:v>AWC Laxmidevipeta</x:v>
      </x:c>
      <x:c r="G432" s="26" t="n">
        <x:v>481</x:v>
      </x:c>
      <x:c r="H432" s="26" t="n">
        <x:v>52367</x:v>
      </x:c>
      <x:c r="I432" s="26" t="str">
        <x:v>Games</x:v>
      </x:c>
      <x:c r="J432" s="26" t="str">
        <x:v>Number</x:v>
      </x:c>
      <x:c r="K432" s="26" t="n">
        <x:v>10</x:v>
      </x:c>
      <x:c r="L432" s="26" t="n">
        <x:v>10</x:v>
      </x:c>
      <x:c r="M432" s="26" t="n">
        <x:v>10</x:v>
      </x:c>
      <x:c r="N432" s="26" t="n">
        <x:v>0</x:v>
      </x:c>
      <x:c r="O432" s="26" t="n">
        <x:f>MAX(M432-N432,0)</x:f>
        <x:v>10</x:v>
      </x:c>
      <x:c r="P432" s="38" t="n">
        <x:f>IFERROR(N432/M432,0)</x:f>
        <x:v>0</x:v>
      </x:c>
      <x:c r="Q432" s="26" t="str">
        <x:v>Material/Assets/Equipment</x:v>
      </x:c>
      <x:c r="R432" s="26" t="str">
        <x:v>ECCE Equipment</x:v>
      </x:c>
      <x:c r="S432" s="26" t="str">
        <x:v>Minor</x:v>
      </x:c>
      <x:c r="T432" s="26"/>
      <x:c r="U432" s="26"/>
      <x:c r="V432" s="26"/>
      <x:c r="W432" s="32"/>
      <x:c r="X432" s="27" t="b">
        <x:v>1</x:v>
      </x:c>
      <x:c r="Y432" s="34" t="n">
        <x:v>46219.72965277778</x:v>
      </x:c>
      <x:c r="Z432" s="26"/>
      <x:c r="AA432" s="26" t="str">
        <x:v>Laxmidevpet (36701020619)</x:v>
      </x:c>
      <x:c r="AB432" s="26" t="str">
        <x:v>Enriched from Mulugu project JSON</x:v>
      </x:c>
    </x:row>
    <x:row r="433">
      <x:c r="A433" s="26" t="n">
        <x:v>430</x:v>
      </x:c>
      <x:c r="B433" s="26" t="n">
        <x:v>196</x:v>
      </x:c>
      <x:c r="C433" s="26" t="str">
        <x:v>Mulugu</x:v>
      </x:c>
      <x:c r="D433" s="26" t="n">
        <x:v>13112</x:v>
      </x:c>
      <x:c r="E433" s="26" t="str">
        <x:v>PRJ-2026-0013112</x:v>
      </x:c>
      <x:c r="F433" s="26" t="str">
        <x:v>AWC Laxmidevipeta</x:v>
      </x:c>
      <x:c r="G433" s="26" t="n">
        <x:v>482</x:v>
      </x:c>
      <x:c r="H433" s="26" t="n">
        <x:v>52368</x:v>
      </x:c>
      <x:c r="I433" s="26" t="str">
        <x:v>Chairs/Benches</x:v>
      </x:c>
      <x:c r="J433" s="26" t="str">
        <x:v>Number</x:v>
      </x:c>
      <x:c r="K433" s="26" t="n">
        <x:v>10</x:v>
      </x:c>
      <x:c r="L433" s="26" t="n">
        <x:v>10</x:v>
      </x:c>
      <x:c r="M433" s="26" t="n">
        <x:v>10</x:v>
      </x:c>
      <x:c r="N433" s="26" t="n">
        <x:v>0</x:v>
      </x:c>
      <x:c r="O433" s="26" t="n">
        <x:f>MAX(M433-N433,0)</x:f>
        <x:v>10</x:v>
      </x:c>
      <x:c r="P433" s="38" t="n">
        <x:f>IFERROR(N433/M433,0)</x:f>
        <x:v>0</x:v>
      </x:c>
      <x:c r="Q433" s="26" t="str">
        <x:v>Material/Assets/Equipment</x:v>
      </x:c>
      <x:c r="R433" s="26" t="str">
        <x:v>Educational Needs</x:v>
      </x:c>
      <x:c r="S433" s="26" t="str">
        <x:v>Minor</x:v>
      </x:c>
      <x:c r="T433" s="26"/>
      <x:c r="U433" s="26"/>
      <x:c r="V433" s="26"/>
      <x:c r="W433" s="32"/>
      <x:c r="X433" s="27" t="b">
        <x:v>1</x:v>
      </x:c>
      <x:c r="Y433" s="34" t="n">
        <x:v>46219.72965277778</x:v>
      </x:c>
      <x:c r="Z433" s="26"/>
      <x:c r="AA433" s="26" t="str">
        <x:v>Laxmidevpet (36701020619)</x:v>
      </x:c>
      <x:c r="AB433" s="26" t="str">
        <x:v>Enriched from Mulugu project JSON</x:v>
      </x:c>
    </x:row>
    <x:row r="434">
      <x:c r="A434" s="26" t="n">
        <x:v>431</x:v>
      </x:c>
      <x:c r="B434" s="26" t="n">
        <x:v>196</x:v>
      </x:c>
      <x:c r="C434" s="26" t="str">
        <x:v>Mulugu</x:v>
      </x:c>
      <x:c r="D434" s="26" t="n">
        <x:v>13112</x:v>
      </x:c>
      <x:c r="E434" s="26" t="str">
        <x:v>PRJ-2026-0013112</x:v>
      </x:c>
      <x:c r="F434" s="26" t="str">
        <x:v>AWC Laxmidevipeta</x:v>
      </x:c>
      <x:c r="G434" s="26" t="n">
        <x:v>483</x:v>
      </x:c>
      <x:c r="H434" s="26" t="n">
        <x:v>52369</x:v>
      </x:c>
      <x:c r="I434" s="26" t="str">
        <x:v>Cooking Equipments</x:v>
      </x:c>
      <x:c r="J434" s="26" t="str">
        <x:v>Number</x:v>
      </x:c>
      <x:c r="K434" s="26" t="n">
        <x:v>1</x:v>
      </x:c>
      <x:c r="L434" s="26" t="n">
        <x:v>1</x:v>
      </x:c>
      <x:c r="M434" s="26" t="n">
        <x:v>1</x:v>
      </x:c>
      <x:c r="N434" s="26" t="n">
        <x:v>0</x:v>
      </x:c>
      <x:c r="O434" s="26" t="n">
        <x:f>MAX(M434-N434,0)</x:f>
        <x:v>1</x:v>
      </x:c>
      <x:c r="P434" s="38" t="n">
        <x:f>IFERROR(N434/M434,0)</x:f>
        <x:v>0</x:v>
      </x:c>
      <x:c r="Q434" s="26" t="str">
        <x:v>Material/Assets/Equipment</x:v>
      </x:c>
      <x:c r="R434" s="26" t="str">
        <x:v>Electrical Infrastructure</x:v>
      </x:c>
      <x:c r="S434" s="26" t="str">
        <x:v>Medium</x:v>
      </x:c>
      <x:c r="T434" s="26"/>
      <x:c r="U434" s="26"/>
      <x:c r="V434" s="26"/>
      <x:c r="W434" s="32"/>
      <x:c r="X434" s="27" t="b">
        <x:v>1</x:v>
      </x:c>
      <x:c r="Y434" s="34" t="n">
        <x:v>46219.72965277778</x:v>
      </x:c>
      <x:c r="Z434" s="26"/>
      <x:c r="AA434" s="26" t="str">
        <x:v>Laxmidevpet (36701020619)</x:v>
      </x:c>
      <x:c r="AB434" s="26" t="str">
        <x:v>Enriched from Mulugu project JSON</x:v>
      </x:c>
    </x:row>
    <x:row r="435">
      <x:c r="A435" s="26" t="n">
        <x:v>432</x:v>
      </x:c>
      <x:c r="B435" s="26" t="n">
        <x:v>196</x:v>
      </x:c>
      <x:c r="C435" s="26" t="str">
        <x:v>Mulugu</x:v>
      </x:c>
      <x:c r="D435" s="26" t="n">
        <x:v>13112</x:v>
      </x:c>
      <x:c r="E435" s="26" t="str">
        <x:v>PRJ-2026-0013112</x:v>
      </x:c>
      <x:c r="F435" s="26" t="str">
        <x:v>AWC Laxmidevipeta</x:v>
      </x:c>
      <x:c r="G435" s="26" t="n">
        <x:v>484</x:v>
      </x:c>
      <x:c r="H435" s="26" t="n">
        <x:v>52370</x:v>
      </x:c>
      <x:c r="I435" s="26" t="str">
        <x:v>Tube Lights</x:v>
      </x:c>
      <x:c r="J435" s="26" t="str">
        <x:v>Number</x:v>
      </x:c>
      <x:c r="K435" s="26" t="n">
        <x:v>2</x:v>
      </x:c>
      <x:c r="L435" s="26" t="n">
        <x:v>2</x:v>
      </x:c>
      <x:c r="M435" s="26" t="n">
        <x:v>2</x:v>
      </x:c>
      <x:c r="N435" s="26" t="n">
        <x:v>0</x:v>
      </x:c>
      <x:c r="O435" s="26" t="n">
        <x:f>MAX(M435-N435,0)</x:f>
        <x:v>2</x:v>
      </x:c>
      <x:c r="P435" s="38" t="n">
        <x:f>IFERROR(N435/M435,0)</x:f>
        <x:v>0</x:v>
      </x:c>
      <x:c r="Q435" s="26" t="str">
        <x:v>Material/Assets/Equipment</x:v>
      </x:c>
      <x:c r="R435" s="26" t="str">
        <x:v>Electrical Infrastructure</x:v>
      </x:c>
      <x:c r="S435" s="26" t="str">
        <x:v>Medium</x:v>
      </x:c>
      <x:c r="T435" s="26"/>
      <x:c r="U435" s="26"/>
      <x:c r="V435" s="26"/>
      <x:c r="W435" s="32"/>
      <x:c r="X435" s="27" t="b">
        <x:v>1</x:v>
      </x:c>
      <x:c r="Y435" s="34" t="n">
        <x:v>46219.72965277778</x:v>
      </x:c>
      <x:c r="Z435" s="26"/>
      <x:c r="AA435" s="26" t="str">
        <x:v>Laxmidevpet (36701020619)</x:v>
      </x:c>
      <x:c r="AB435" s="26" t="str">
        <x:v>Enriched from Mulugu project JSON</x:v>
      </x:c>
    </x:row>
    <x:row r="436">
      <x:c r="A436" s="26" t="n">
        <x:v>433</x:v>
      </x:c>
      <x:c r="B436" s="26" t="n">
        <x:v>196</x:v>
      </x:c>
      <x:c r="C436" s="26" t="str">
        <x:v>Mulugu</x:v>
      </x:c>
      <x:c r="D436" s="26" t="n">
        <x:v>13112</x:v>
      </x:c>
      <x:c r="E436" s="26" t="str">
        <x:v>PRJ-2026-0013112</x:v>
      </x:c>
      <x:c r="F436" s="26" t="str">
        <x:v>AWC Laxmidevipeta</x:v>
      </x:c>
      <x:c r="G436" s="26" t="n">
        <x:v>485</x:v>
      </x:c>
      <x:c r="H436" s="26" t="n">
        <x:v>52371</x:v>
      </x:c>
      <x:c r="I436" s="26" t="str">
        <x:v>Water Purifier</x:v>
      </x:c>
      <x:c r="J436" s="26" t="str">
        <x:v>Number</x:v>
      </x:c>
      <x:c r="K436" s="26" t="n">
        <x:v>1</x:v>
      </x:c>
      <x:c r="L436" s="26" t="n">
        <x:v>1</x:v>
      </x:c>
      <x:c r="M436" s="26" t="n">
        <x:v>1</x:v>
      </x:c>
      <x:c r="N436" s="26" t="n">
        <x:v>0</x:v>
      </x:c>
      <x:c r="O436" s="26" t="n">
        <x:f>MAX(M436-N436,0)</x:f>
        <x:v>1</x:v>
      </x:c>
      <x:c r="P436" s="38" t="n">
        <x:f>IFERROR(N436/M436,0)</x:f>
        <x:v>0</x:v>
      </x:c>
      <x:c r="Q436" s="26" t="str">
        <x:v>Material/Assets/Equipment</x:v>
      </x:c>
      <x:c r="R436" s="26" t="str">
        <x:v>Health and Safety aids</x:v>
      </x:c>
      <x:c r="S436" s="26" t="str">
        <x:v>Minor</x:v>
      </x:c>
      <x:c r="T436" s="26"/>
      <x:c r="U436" s="26"/>
      <x:c r="V436" s="26"/>
      <x:c r="W436" s="32"/>
      <x:c r="X436" s="27" t="b">
        <x:v>1</x:v>
      </x:c>
      <x:c r="Y436" s="34" t="n">
        <x:v>46219.72965277778</x:v>
      </x:c>
      <x:c r="Z436" s="26"/>
      <x:c r="AA436" s="26" t="str">
        <x:v>Laxmidevpet (36701020619)</x:v>
      </x:c>
      <x:c r="AB436" s="26" t="str">
        <x:v>Enriched from Mulugu project JSON</x:v>
      </x:c>
    </x:row>
    <x:row r="437">
      <x:c r="A437" s="26" t="n">
        <x:v>434</x:v>
      </x:c>
      <x:c r="B437" s="26" t="n">
        <x:v>196</x:v>
      </x:c>
      <x:c r="C437" s="26" t="str">
        <x:v>Mulugu</x:v>
      </x:c>
      <x:c r="D437" s="26" t="n">
        <x:v>13112</x:v>
      </x:c>
      <x:c r="E437" s="26" t="str">
        <x:v>PRJ-2026-0013112</x:v>
      </x:c>
      <x:c r="F437" s="26" t="str">
        <x:v>AWC Laxmidevipeta</x:v>
      </x:c>
      <x:c r="G437" s="26" t="n">
        <x:v>486</x:v>
      </x:c>
      <x:c r="H437" s="26" t="n">
        <x:v>52372</x:v>
      </x:c>
      <x:c r="I437" s="26" t="str">
        <x:v>Chairs</x:v>
      </x:c>
      <x:c r="J437" s="26" t="str">
        <x:v>Number</x:v>
      </x:c>
      <x:c r="K437" s="26" t="n">
        <x:v>3</x:v>
      </x:c>
      <x:c r="L437" s="26" t="n">
        <x:v>3</x:v>
      </x:c>
      <x:c r="M437" s="26" t="n">
        <x:v>3</x:v>
      </x:c>
      <x:c r="N437" s="26" t="n">
        <x:v>0</x:v>
      </x:c>
      <x:c r="O437" s="26" t="n">
        <x:f>MAX(M437-N437,0)</x:f>
        <x:v>3</x:v>
      </x:c>
      <x:c r="P437" s="38" t="n">
        <x:f>IFERROR(N437/M437,0)</x:f>
        <x:v>0</x:v>
      </x:c>
      <x:c r="Q437" s="26" t="str">
        <x:v>Material/Assets/Equipment</x:v>
      </x:c>
      <x:c r="R437" s="26" t="str">
        <x:v>Office Needs</x:v>
      </x:c>
      <x:c r="S437" s="26" t="str">
        <x:v>Minor</x:v>
      </x:c>
      <x:c r="T437" s="26"/>
      <x:c r="U437" s="26"/>
      <x:c r="V437" s="26"/>
      <x:c r="W437" s="32"/>
      <x:c r="X437" s="27" t="b">
        <x:v>1</x:v>
      </x:c>
      <x:c r="Y437" s="34" t="n">
        <x:v>46219.72965277778</x:v>
      </x:c>
      <x:c r="Z437" s="26"/>
      <x:c r="AA437" s="26" t="str">
        <x:v>Laxmidevpet (36701020619)</x:v>
      </x:c>
      <x:c r="AB437" s="26" t="str">
        <x:v>Enriched from Mulugu project JSON</x:v>
      </x:c>
    </x:row>
    <x:row r="438">
      <x:c r="A438" s="26" t="n">
        <x:v>435</x:v>
      </x:c>
      <x:c r="B438" s="26" t="n">
        <x:v>197</x:v>
      </x:c>
      <x:c r="C438" s="26" t="str">
        <x:v>Mulugu</x:v>
      </x:c>
      <x:c r="D438" s="26" t="n">
        <x:v>13091</x:v>
      </x:c>
      <x:c r="E438" s="26" t="str">
        <x:v>PRJ-2026-0013091</x:v>
      </x:c>
      <x:c r="F438" s="26" t="str">
        <x:v>AWC Gamponipally</x:v>
      </x:c>
      <x:c r="G438" s="26" t="n">
        <x:v>487</x:v>
      </x:c>
      <x:c r="H438" s="26" t="n">
        <x:v>52270</x:v>
      </x:c>
      <x:c r="I438" s="26" t="str">
        <x:v>Toys</x:v>
      </x:c>
      <x:c r="J438" s="26" t="str">
        <x:v>Number</x:v>
      </x:c>
      <x:c r="K438" s="26" t="n">
        <x:v>10</x:v>
      </x:c>
      <x:c r="L438" s="26" t="n">
        <x:v>10</x:v>
      </x:c>
      <x:c r="M438" s="26" t="n">
        <x:v>10</x:v>
      </x:c>
      <x:c r="N438" s="26" t="n">
        <x:v>0</x:v>
      </x:c>
      <x:c r="O438" s="26" t="n">
        <x:f>MAX(M438-N438,0)</x:f>
        <x:v>10</x:v>
      </x:c>
      <x:c r="P438" s="38" t="n">
        <x:f>IFERROR(N438/M438,0)</x:f>
        <x:v>0</x:v>
      </x:c>
      <x:c r="Q438" s="26" t="str">
        <x:v>Material/Assets/Equipment</x:v>
      </x:c>
      <x:c r="R438" s="26" t="str">
        <x:v>ECCE Equipment</x:v>
      </x:c>
      <x:c r="S438" s="26" t="str">
        <x:v>Minor</x:v>
      </x:c>
      <x:c r="T438" s="26"/>
      <x:c r="U438" s="26"/>
      <x:c r="V438" s="26"/>
      <x:c r="W438" s="32"/>
      <x:c r="X438" s="27" t="b">
        <x:v>1</x:v>
      </x:c>
      <x:c r="Y438" s="34" t="n">
        <x:v>46219.72965277778</x:v>
      </x:c>
      <x:c r="Z438" s="26"/>
      <x:c r="AA438" s="26" t="str">
        <x:v>Gamponipally(Mini) (36701020623)</x:v>
      </x:c>
      <x:c r="AB438" s="26" t="str">
        <x:v>Enriched from Mulugu project JSON</x:v>
      </x:c>
    </x:row>
    <x:row r="439">
      <x:c r="A439" s="26" t="n">
        <x:v>436</x:v>
      </x:c>
      <x:c r="B439" s="26" t="n">
        <x:v>197</x:v>
      </x:c>
      <x:c r="C439" s="26" t="str">
        <x:v>Mulugu</x:v>
      </x:c>
      <x:c r="D439" s="26" t="n">
        <x:v>13091</x:v>
      </x:c>
      <x:c r="E439" s="26" t="str">
        <x:v>PRJ-2026-0013091</x:v>
      </x:c>
      <x:c r="F439" s="26" t="str">
        <x:v>AWC Gamponipally</x:v>
      </x:c>
      <x:c r="G439" s="26" t="n">
        <x:v>488</x:v>
      </x:c>
      <x:c r="H439" s="26" t="n">
        <x:v>52271</x:v>
      </x:c>
      <x:c r="I439" s="26" t="str">
        <x:v>Games</x:v>
      </x:c>
      <x:c r="J439" s="26" t="str">
        <x:v>Number</x:v>
      </x:c>
      <x:c r="K439" s="26" t="n">
        <x:v>10</x:v>
      </x:c>
      <x:c r="L439" s="26" t="n">
        <x:v>10</x:v>
      </x:c>
      <x:c r="M439" s="26" t="n">
        <x:v>10</x:v>
      </x:c>
      <x:c r="N439" s="26" t="n">
        <x:v>0</x:v>
      </x:c>
      <x:c r="O439" s="26" t="n">
        <x:f>MAX(M439-N439,0)</x:f>
        <x:v>10</x:v>
      </x:c>
      <x:c r="P439" s="38" t="n">
        <x:f>IFERROR(N439/M439,0)</x:f>
        <x:v>0</x:v>
      </x:c>
      <x:c r="Q439" s="26" t="str">
        <x:v>Material/Assets/Equipment</x:v>
      </x:c>
      <x:c r="R439" s="26" t="str">
        <x:v>ECCE Equipment</x:v>
      </x:c>
      <x:c r="S439" s="26" t="str">
        <x:v>Minor</x:v>
      </x:c>
      <x:c r="T439" s="26"/>
      <x:c r="U439" s="26"/>
      <x:c r="V439" s="26"/>
      <x:c r="W439" s="32"/>
      <x:c r="X439" s="27" t="b">
        <x:v>1</x:v>
      </x:c>
      <x:c r="Y439" s="34" t="n">
        <x:v>46219.72965277778</x:v>
      </x:c>
      <x:c r="Z439" s="26"/>
      <x:c r="AA439" s="26" t="str">
        <x:v>Gamponipally(Mini) (36701020623)</x:v>
      </x:c>
      <x:c r="AB439" s="26" t="str">
        <x:v>Enriched from Mulugu project JSON</x:v>
      </x:c>
    </x:row>
    <x:row r="440">
      <x:c r="A440" s="26" t="n">
        <x:v>437</x:v>
      </x:c>
      <x:c r="B440" s="26" t="n">
        <x:v>197</x:v>
      </x:c>
      <x:c r="C440" s="26" t="str">
        <x:v>Mulugu</x:v>
      </x:c>
      <x:c r="D440" s="26" t="n">
        <x:v>13091</x:v>
      </x:c>
      <x:c r="E440" s="26" t="str">
        <x:v>PRJ-2026-0013091</x:v>
      </x:c>
      <x:c r="F440" s="26" t="str">
        <x:v>AWC Gamponipally</x:v>
      </x:c>
      <x:c r="G440" s="26" t="n">
        <x:v>489</x:v>
      </x:c>
      <x:c r="H440" s="26" t="n">
        <x:v>52272</x:v>
      </x:c>
      <x:c r="I440" s="26" t="str">
        <x:v>Chairs/Benches</x:v>
      </x:c>
      <x:c r="J440" s="26" t="str">
        <x:v>Number</x:v>
      </x:c>
      <x:c r="K440" s="26" t="n">
        <x:v>10</x:v>
      </x:c>
      <x:c r="L440" s="26" t="n">
        <x:v>10</x:v>
      </x:c>
      <x:c r="M440" s="26" t="n">
        <x:v>10</x:v>
      </x:c>
      <x:c r="N440" s="26" t="n">
        <x:v>0</x:v>
      </x:c>
      <x:c r="O440" s="26" t="n">
        <x:f>MAX(M440-N440,0)</x:f>
        <x:v>10</x:v>
      </x:c>
      <x:c r="P440" s="38" t="n">
        <x:f>IFERROR(N440/M440,0)</x:f>
        <x:v>0</x:v>
      </x:c>
      <x:c r="Q440" s="26" t="str">
        <x:v>Material/Assets/Equipment</x:v>
      </x:c>
      <x:c r="R440" s="26" t="str">
        <x:v>Educational Needs</x:v>
      </x:c>
      <x:c r="S440" s="26" t="str">
        <x:v>Minor</x:v>
      </x:c>
      <x:c r="T440" s="26"/>
      <x:c r="U440" s="26"/>
      <x:c r="V440" s="26"/>
      <x:c r="W440" s="32"/>
      <x:c r="X440" s="27" t="b">
        <x:v>1</x:v>
      </x:c>
      <x:c r="Y440" s="34" t="n">
        <x:v>46219.72965277778</x:v>
      </x:c>
      <x:c r="Z440" s="26"/>
      <x:c r="AA440" s="26" t="str">
        <x:v>Gamponipally(Mini) (36701020623)</x:v>
      </x:c>
      <x:c r="AB440" s="26" t="str">
        <x:v>Enriched from Mulugu project JSON</x:v>
      </x:c>
    </x:row>
    <x:row r="441">
      <x:c r="A441" s="26" t="n">
        <x:v>438</x:v>
      </x:c>
      <x:c r="B441" s="26" t="n">
        <x:v>197</x:v>
      </x:c>
      <x:c r="C441" s="26" t="str">
        <x:v>Mulugu</x:v>
      </x:c>
      <x:c r="D441" s="26" t="n">
        <x:v>13091</x:v>
      </x:c>
      <x:c r="E441" s="26" t="str">
        <x:v>PRJ-2026-0013091</x:v>
      </x:c>
      <x:c r="F441" s="26" t="str">
        <x:v>AWC Gamponipally</x:v>
      </x:c>
      <x:c r="G441" s="26" t="n">
        <x:v>490</x:v>
      </x:c>
      <x:c r="H441" s="26" t="n">
        <x:v>52273</x:v>
      </x:c>
      <x:c r="I441" s="26" t="str">
        <x:v>Cooking Equipments</x:v>
      </x:c>
      <x:c r="J441" s="26" t="str">
        <x:v>Number</x:v>
      </x:c>
      <x:c r="K441" s="26" t="n">
        <x:v>1</x:v>
      </x:c>
      <x:c r="L441" s="26" t="n">
        <x:v>1</x:v>
      </x:c>
      <x:c r="M441" s="26" t="n">
        <x:v>1</x:v>
      </x:c>
      <x:c r="N441" s="26" t="n">
        <x:v>0</x:v>
      </x:c>
      <x:c r="O441" s="26" t="n">
        <x:f>MAX(M441-N441,0)</x:f>
        <x:v>1</x:v>
      </x:c>
      <x:c r="P441" s="38" t="n">
        <x:f>IFERROR(N441/M441,0)</x:f>
        <x:v>0</x:v>
      </x:c>
      <x:c r="Q441" s="26" t="str">
        <x:v>Material/Assets/Equipment</x:v>
      </x:c>
      <x:c r="R441" s="26" t="str">
        <x:v>Electrical Infrastructure</x:v>
      </x:c>
      <x:c r="S441" s="26" t="str">
        <x:v>Medium</x:v>
      </x:c>
      <x:c r="T441" s="26"/>
      <x:c r="U441" s="26"/>
      <x:c r="V441" s="26"/>
      <x:c r="W441" s="32"/>
      <x:c r="X441" s="27" t="b">
        <x:v>1</x:v>
      </x:c>
      <x:c r="Y441" s="34" t="n">
        <x:v>46219.72965277778</x:v>
      </x:c>
      <x:c r="Z441" s="26"/>
      <x:c r="AA441" s="26" t="str">
        <x:v>Gamponipally(Mini) (36701020623)</x:v>
      </x:c>
      <x:c r="AB441" s="26" t="str">
        <x:v>Enriched from Mulugu project JSON</x:v>
      </x:c>
    </x:row>
    <x:row r="442">
      <x:c r="A442" s="26" t="n">
        <x:v>439</x:v>
      </x:c>
      <x:c r="B442" s="26" t="n">
        <x:v>197</x:v>
      </x:c>
      <x:c r="C442" s="26" t="str">
        <x:v>Mulugu</x:v>
      </x:c>
      <x:c r="D442" s="26" t="n">
        <x:v>13091</x:v>
      </x:c>
      <x:c r="E442" s="26" t="str">
        <x:v>PRJ-2026-0013091</x:v>
      </x:c>
      <x:c r="F442" s="26" t="str">
        <x:v>AWC Gamponipally</x:v>
      </x:c>
      <x:c r="G442" s="26" t="n">
        <x:v>491</x:v>
      </x:c>
      <x:c r="H442" s="26" t="n">
        <x:v>52274</x:v>
      </x:c>
      <x:c r="I442" s="26" t="str">
        <x:v>Tube Lights</x:v>
      </x:c>
      <x:c r="J442" s="26" t="str">
        <x:v>Number</x:v>
      </x:c>
      <x:c r="K442" s="26" t="n">
        <x:v>2</x:v>
      </x:c>
      <x:c r="L442" s="26" t="n">
        <x:v>2</x:v>
      </x:c>
      <x:c r="M442" s="26" t="n">
        <x:v>2</x:v>
      </x:c>
      <x:c r="N442" s="26" t="n">
        <x:v>0</x:v>
      </x:c>
      <x:c r="O442" s="26" t="n">
        <x:f>MAX(M442-N442,0)</x:f>
        <x:v>2</x:v>
      </x:c>
      <x:c r="P442" s="38" t="n">
        <x:f>IFERROR(N442/M442,0)</x:f>
        <x:v>0</x:v>
      </x:c>
      <x:c r="Q442" s="26" t="str">
        <x:v>Material/Assets/Equipment</x:v>
      </x:c>
      <x:c r="R442" s="26" t="str">
        <x:v>Electrical Infrastructure</x:v>
      </x:c>
      <x:c r="S442" s="26" t="str">
        <x:v>Medium</x:v>
      </x:c>
      <x:c r="T442" s="26"/>
      <x:c r="U442" s="26"/>
      <x:c r="V442" s="26"/>
      <x:c r="W442" s="32"/>
      <x:c r="X442" s="27" t="b">
        <x:v>1</x:v>
      </x:c>
      <x:c r="Y442" s="34" t="n">
        <x:v>46219.72965277778</x:v>
      </x:c>
      <x:c r="Z442" s="26"/>
      <x:c r="AA442" s="26" t="str">
        <x:v>Gamponipally(Mini) (36701020623)</x:v>
      </x:c>
      <x:c r="AB442" s="26" t="str">
        <x:v>Enriched from Mulugu project JSON</x:v>
      </x:c>
    </x:row>
    <x:row r="443">
      <x:c r="A443" s="26" t="n">
        <x:v>440</x:v>
      </x:c>
      <x:c r="B443" s="26" t="n">
        <x:v>197</x:v>
      </x:c>
      <x:c r="C443" s="26" t="str">
        <x:v>Mulugu</x:v>
      </x:c>
      <x:c r="D443" s="26" t="n">
        <x:v>13091</x:v>
      </x:c>
      <x:c r="E443" s="26" t="str">
        <x:v>PRJ-2026-0013091</x:v>
      </x:c>
      <x:c r="F443" s="26" t="str">
        <x:v>AWC Gamponipally</x:v>
      </x:c>
      <x:c r="G443" s="26" t="n">
        <x:v>492</x:v>
      </x:c>
      <x:c r="H443" s="26" t="n">
        <x:v>52275</x:v>
      </x:c>
      <x:c r="I443" s="26" t="str">
        <x:v>Water Purifier</x:v>
      </x:c>
      <x:c r="J443" s="26" t="str">
        <x:v>Number</x:v>
      </x:c>
      <x:c r="K443" s="26" t="n">
        <x:v>1</x:v>
      </x:c>
      <x:c r="L443" s="26" t="n">
        <x:v>1</x:v>
      </x:c>
      <x:c r="M443" s="26" t="n">
        <x:v>1</x:v>
      </x:c>
      <x:c r="N443" s="26" t="n">
        <x:v>0</x:v>
      </x:c>
      <x:c r="O443" s="26" t="n">
        <x:f>MAX(M443-N443,0)</x:f>
        <x:v>1</x:v>
      </x:c>
      <x:c r="P443" s="38" t="n">
        <x:f>IFERROR(N443/M443,0)</x:f>
        <x:v>0</x:v>
      </x:c>
      <x:c r="Q443" s="26" t="str">
        <x:v>Material/Assets/Equipment</x:v>
      </x:c>
      <x:c r="R443" s="26" t="str">
        <x:v>Health and Safety aids</x:v>
      </x:c>
      <x:c r="S443" s="26" t="str">
        <x:v>Minor</x:v>
      </x:c>
      <x:c r="T443" s="26"/>
      <x:c r="U443" s="26"/>
      <x:c r="V443" s="26"/>
      <x:c r="W443" s="32"/>
      <x:c r="X443" s="27" t="b">
        <x:v>1</x:v>
      </x:c>
      <x:c r="Y443" s="34" t="n">
        <x:v>46219.72965277778</x:v>
      </x:c>
      <x:c r="Z443" s="26"/>
      <x:c r="AA443" s="26" t="str">
        <x:v>Gamponipally(Mini) (36701020623)</x:v>
      </x:c>
      <x:c r="AB443" s="26" t="str">
        <x:v>Enriched from Mulugu project JSON</x:v>
      </x:c>
    </x:row>
    <x:row r="444">
      <x:c r="A444" s="26" t="n">
        <x:v>441</x:v>
      </x:c>
      <x:c r="B444" s="26" t="n">
        <x:v>197</x:v>
      </x:c>
      <x:c r="C444" s="26" t="str">
        <x:v>Mulugu</x:v>
      </x:c>
      <x:c r="D444" s="26" t="n">
        <x:v>13091</x:v>
      </x:c>
      <x:c r="E444" s="26" t="str">
        <x:v>PRJ-2026-0013091</x:v>
      </x:c>
      <x:c r="F444" s="26" t="str">
        <x:v>AWC Gamponipally</x:v>
      </x:c>
      <x:c r="G444" s="26" t="n">
        <x:v>493</x:v>
      </x:c>
      <x:c r="H444" s="26" t="n">
        <x:v>52276</x:v>
      </x:c>
      <x:c r="I444" s="26" t="str">
        <x:v>Chairs</x:v>
      </x:c>
      <x:c r="J444" s="26" t="str">
        <x:v>Number</x:v>
      </x:c>
      <x:c r="K444" s="26" t="n">
        <x:v>3</x:v>
      </x:c>
      <x:c r="L444" s="26" t="n">
        <x:v>3</x:v>
      </x:c>
      <x:c r="M444" s="26" t="n">
        <x:v>3</x:v>
      </x:c>
      <x:c r="N444" s="26" t="n">
        <x:v>0</x:v>
      </x:c>
      <x:c r="O444" s="26" t="n">
        <x:f>MAX(M444-N444,0)</x:f>
        <x:v>3</x:v>
      </x:c>
      <x:c r="P444" s="38" t="n">
        <x:f>IFERROR(N444/M444,0)</x:f>
        <x:v>0</x:v>
      </x:c>
      <x:c r="Q444" s="26" t="str">
        <x:v>Material/Assets/Equipment</x:v>
      </x:c>
      <x:c r="R444" s="26" t="str">
        <x:v>Office Needs</x:v>
      </x:c>
      <x:c r="S444" s="26" t="str">
        <x:v>Minor</x:v>
      </x:c>
      <x:c r="T444" s="26"/>
      <x:c r="U444" s="26"/>
      <x:c r="V444" s="26"/>
      <x:c r="W444" s="32"/>
      <x:c r="X444" s="27" t="b">
        <x:v>1</x:v>
      </x:c>
      <x:c r="Y444" s="34" t="n">
        <x:v>46219.72965277778</x:v>
      </x:c>
      <x:c r="Z444" s="26"/>
      <x:c r="AA444" s="26" t="str">
        <x:v>Gamponipally(Mini) (36701020623)</x:v>
      </x:c>
      <x:c r="AB444" s="26" t="str">
        <x:v>Enriched from Mulugu project JSON</x:v>
      </x:c>
    </x:row>
    <x:row r="445">
      <x:c r="A445" s="26" t="n">
        <x:v>442</x:v>
      </x:c>
      <x:c r="B445" s="26" t="n">
        <x:v>198</x:v>
      </x:c>
      <x:c r="C445" s="26" t="str">
        <x:v>Mulugu</x:v>
      </x:c>
      <x:c r="D445" s="26" t="n">
        <x:v>13087</x:v>
      </x:c>
      <x:c r="E445" s="26" t="str">
        <x:v>PRJ-2026-0013087</x:v>
      </x:c>
      <x:c r="F445" s="26" t="str">
        <x:v>AWC Burugupeta</x:v>
      </x:c>
      <x:c r="G445" s="26" t="n">
        <x:v>494</x:v>
      </x:c>
      <x:c r="H445" s="26" t="n">
        <x:v>52252</x:v>
      </x:c>
      <x:c r="I445" s="26" t="str">
        <x:v>Toys</x:v>
      </x:c>
      <x:c r="J445" s="26" t="str">
        <x:v>Number</x:v>
      </x:c>
      <x:c r="K445" s="26" t="n">
        <x:v>10</x:v>
      </x:c>
      <x:c r="L445" s="26" t="n">
        <x:v>10</x:v>
      </x:c>
      <x:c r="M445" s="26" t="n">
        <x:v>10</x:v>
      </x:c>
      <x:c r="N445" s="26" t="n">
        <x:v>0</x:v>
      </x:c>
      <x:c r="O445" s="26" t="n">
        <x:f>MAX(M445-N445,0)</x:f>
        <x:v>10</x:v>
      </x:c>
      <x:c r="P445" s="38" t="n">
        <x:f>IFERROR(N445/M445,0)</x:f>
        <x:v>0</x:v>
      </x:c>
      <x:c r="Q445" s="26" t="str">
        <x:v>Material/Assets/Equipment</x:v>
      </x:c>
      <x:c r="R445" s="26" t="str">
        <x:v>ECCE Equipment</x:v>
      </x:c>
      <x:c r="S445" s="26" t="str">
        <x:v>Minor</x:v>
      </x:c>
      <x:c r="T445" s="26"/>
      <x:c r="U445" s="26"/>
      <x:c r="V445" s="26"/>
      <x:c r="W445" s="32"/>
      <x:c r="X445" s="27" t="b">
        <x:v>1</x:v>
      </x:c>
      <x:c r="Y445" s="34" t="n">
        <x:v>46219.72965277778</x:v>
      </x:c>
      <x:c r="Z445" s="26"/>
      <x:c r="AA445" s="26" t="str">
        <x:v>Burugupeta (36701020624)</x:v>
      </x:c>
      <x:c r="AB445" s="26" t="str">
        <x:v>Enriched from Mulugu project JSON</x:v>
      </x:c>
    </x:row>
    <x:row r="446">
      <x:c r="A446" s="26" t="n">
        <x:v>443</x:v>
      </x:c>
      <x:c r="B446" s="26" t="n">
        <x:v>198</x:v>
      </x:c>
      <x:c r="C446" s="26" t="str">
        <x:v>Mulugu</x:v>
      </x:c>
      <x:c r="D446" s="26" t="n">
        <x:v>13087</x:v>
      </x:c>
      <x:c r="E446" s="26" t="str">
        <x:v>PRJ-2026-0013087</x:v>
      </x:c>
      <x:c r="F446" s="26" t="str">
        <x:v>AWC Burugupeta</x:v>
      </x:c>
      <x:c r="G446" s="26" t="n">
        <x:v>495</x:v>
      </x:c>
      <x:c r="H446" s="26" t="n">
        <x:v>52253</x:v>
      </x:c>
      <x:c r="I446" s="26" t="str">
        <x:v>Games</x:v>
      </x:c>
      <x:c r="J446" s="26" t="str">
        <x:v>Number</x:v>
      </x:c>
      <x:c r="K446" s="26" t="n">
        <x:v>10</x:v>
      </x:c>
      <x:c r="L446" s="26" t="n">
        <x:v>10</x:v>
      </x:c>
      <x:c r="M446" s="26" t="n">
        <x:v>10</x:v>
      </x:c>
      <x:c r="N446" s="26" t="n">
        <x:v>0</x:v>
      </x:c>
      <x:c r="O446" s="26" t="n">
        <x:f>MAX(M446-N446,0)</x:f>
        <x:v>10</x:v>
      </x:c>
      <x:c r="P446" s="38" t="n">
        <x:f>IFERROR(N446/M446,0)</x:f>
        <x:v>0</x:v>
      </x:c>
      <x:c r="Q446" s="26" t="str">
        <x:v>Material/Assets/Equipment</x:v>
      </x:c>
      <x:c r="R446" s="26" t="str">
        <x:v>ECCE Equipment</x:v>
      </x:c>
      <x:c r="S446" s="26" t="str">
        <x:v>Minor</x:v>
      </x:c>
      <x:c r="T446" s="26"/>
      <x:c r="U446" s="26"/>
      <x:c r="V446" s="26"/>
      <x:c r="W446" s="32"/>
      <x:c r="X446" s="27" t="b">
        <x:v>1</x:v>
      </x:c>
      <x:c r="Y446" s="34" t="n">
        <x:v>46219.72965277778</x:v>
      </x:c>
      <x:c r="Z446" s="26"/>
      <x:c r="AA446" s="26" t="str">
        <x:v>Burugupeta (36701020624)</x:v>
      </x:c>
      <x:c r="AB446" s="26" t="str">
        <x:v>Enriched from Mulugu project JSON</x:v>
      </x:c>
    </x:row>
    <x:row r="447">
      <x:c r="A447" s="26" t="n">
        <x:v>444</x:v>
      </x:c>
      <x:c r="B447" s="26" t="n">
        <x:v>198</x:v>
      </x:c>
      <x:c r="C447" s="26" t="str">
        <x:v>Mulugu</x:v>
      </x:c>
      <x:c r="D447" s="26" t="n">
        <x:v>13087</x:v>
      </x:c>
      <x:c r="E447" s="26" t="str">
        <x:v>PRJ-2026-0013087</x:v>
      </x:c>
      <x:c r="F447" s="26" t="str">
        <x:v>AWC Burugupeta</x:v>
      </x:c>
      <x:c r="G447" s="26" t="n">
        <x:v>496</x:v>
      </x:c>
      <x:c r="H447" s="26" t="n">
        <x:v>52254</x:v>
      </x:c>
      <x:c r="I447" s="26" t="str">
        <x:v>Chairs/Benches</x:v>
      </x:c>
      <x:c r="J447" s="26" t="str">
        <x:v>Number</x:v>
      </x:c>
      <x:c r="K447" s="26" t="n">
        <x:v>10</x:v>
      </x:c>
      <x:c r="L447" s="26" t="n">
        <x:v>10</x:v>
      </x:c>
      <x:c r="M447" s="26" t="n">
        <x:v>10</x:v>
      </x:c>
      <x:c r="N447" s="26" t="n">
        <x:v>0</x:v>
      </x:c>
      <x:c r="O447" s="26" t="n">
        <x:f>MAX(M447-N447,0)</x:f>
        <x:v>10</x:v>
      </x:c>
      <x:c r="P447" s="38" t="n">
        <x:f>IFERROR(N447/M447,0)</x:f>
        <x:v>0</x:v>
      </x:c>
      <x:c r="Q447" s="26" t="str">
        <x:v>Material/Assets/Equipment</x:v>
      </x:c>
      <x:c r="R447" s="26" t="str">
        <x:v>Educational Needs</x:v>
      </x:c>
      <x:c r="S447" s="26" t="str">
        <x:v>Minor</x:v>
      </x:c>
      <x:c r="T447" s="26"/>
      <x:c r="U447" s="26"/>
      <x:c r="V447" s="26"/>
      <x:c r="W447" s="32"/>
      <x:c r="X447" s="27" t="b">
        <x:v>1</x:v>
      </x:c>
      <x:c r="Y447" s="34" t="n">
        <x:v>46219.72965277778</x:v>
      </x:c>
      <x:c r="Z447" s="26"/>
      <x:c r="AA447" s="26" t="str">
        <x:v>Burugupeta (36701020624)</x:v>
      </x:c>
      <x:c r="AB447" s="26" t="str">
        <x:v>Enriched from Mulugu project JSON</x:v>
      </x:c>
    </x:row>
    <x:row r="448">
      <x:c r="A448" s="26" t="n">
        <x:v>445</x:v>
      </x:c>
      <x:c r="B448" s="26" t="n">
        <x:v>198</x:v>
      </x:c>
      <x:c r="C448" s="26" t="str">
        <x:v>Mulugu</x:v>
      </x:c>
      <x:c r="D448" s="26" t="n">
        <x:v>13087</x:v>
      </x:c>
      <x:c r="E448" s="26" t="str">
        <x:v>PRJ-2026-0013087</x:v>
      </x:c>
      <x:c r="F448" s="26" t="str">
        <x:v>AWC Burugupeta</x:v>
      </x:c>
      <x:c r="G448" s="26" t="n">
        <x:v>497</x:v>
      </x:c>
      <x:c r="H448" s="26" t="n">
        <x:v>52255</x:v>
      </x:c>
      <x:c r="I448" s="26" t="str">
        <x:v>Tube Lights</x:v>
      </x:c>
      <x:c r="J448" s="26" t="str">
        <x:v>Number</x:v>
      </x:c>
      <x:c r="K448" s="26" t="n">
        <x:v>2</x:v>
      </x:c>
      <x:c r="L448" s="26" t="n">
        <x:v>2</x:v>
      </x:c>
      <x:c r="M448" s="26" t="n">
        <x:v>2</x:v>
      </x:c>
      <x:c r="N448" s="26" t="n">
        <x:v>0</x:v>
      </x:c>
      <x:c r="O448" s="26" t="n">
        <x:f>MAX(M448-N448,0)</x:f>
        <x:v>2</x:v>
      </x:c>
      <x:c r="P448" s="38" t="n">
        <x:f>IFERROR(N448/M448,0)</x:f>
        <x:v>0</x:v>
      </x:c>
      <x:c r="Q448" s="26" t="str">
        <x:v>Material/Assets/Equipment</x:v>
      </x:c>
      <x:c r="R448" s="26" t="str">
        <x:v>Electrical Infrastructure</x:v>
      </x:c>
      <x:c r="S448" s="26" t="str">
        <x:v>Medium</x:v>
      </x:c>
      <x:c r="T448" s="26"/>
      <x:c r="U448" s="26"/>
      <x:c r="V448" s="26"/>
      <x:c r="W448" s="32"/>
      <x:c r="X448" s="27" t="b">
        <x:v>1</x:v>
      </x:c>
      <x:c r="Y448" s="34" t="n">
        <x:v>46219.72965277778</x:v>
      </x:c>
      <x:c r="Z448" s="26"/>
      <x:c r="AA448" s="26" t="str">
        <x:v>Burugupeta (36701020624)</x:v>
      </x:c>
      <x:c r="AB448" s="26" t="str">
        <x:v>Enriched from Mulugu project JSON</x:v>
      </x:c>
    </x:row>
    <x:row r="449">
      <x:c r="A449" s="26" t="n">
        <x:v>446</x:v>
      </x:c>
      <x:c r="B449" s="26" t="n">
        <x:v>198</x:v>
      </x:c>
      <x:c r="C449" s="26" t="str">
        <x:v>Mulugu</x:v>
      </x:c>
      <x:c r="D449" s="26" t="n">
        <x:v>13087</x:v>
      </x:c>
      <x:c r="E449" s="26" t="str">
        <x:v>PRJ-2026-0013087</x:v>
      </x:c>
      <x:c r="F449" s="26" t="str">
        <x:v>AWC Burugupeta</x:v>
      </x:c>
      <x:c r="G449" s="26" t="n">
        <x:v>498</x:v>
      </x:c>
      <x:c r="H449" s="26" t="n">
        <x:v>52256</x:v>
      </x:c>
      <x:c r="I449" s="26" t="str">
        <x:v>Cooking Equipments</x:v>
      </x:c>
      <x:c r="J449" s="26" t="str">
        <x:v>Number</x:v>
      </x:c>
      <x:c r="K449" s="26" t="n">
        <x:v>1</x:v>
      </x:c>
      <x:c r="L449" s="26" t="n">
        <x:v>1</x:v>
      </x:c>
      <x:c r="M449" s="26" t="n">
        <x:v>1</x:v>
      </x:c>
      <x:c r="N449" s="26" t="n">
        <x:v>0</x:v>
      </x:c>
      <x:c r="O449" s="26" t="n">
        <x:f>MAX(M449-N449,0)</x:f>
        <x:v>1</x:v>
      </x:c>
      <x:c r="P449" s="38" t="n">
        <x:f>IFERROR(N449/M449,0)</x:f>
        <x:v>0</x:v>
      </x:c>
      <x:c r="Q449" s="26" t="str">
        <x:v>Material/Assets/Equipment</x:v>
      </x:c>
      <x:c r="R449" s="26" t="str">
        <x:v>Electrical Infrastructure</x:v>
      </x:c>
      <x:c r="S449" s="26" t="str">
        <x:v>Medium</x:v>
      </x:c>
      <x:c r="T449" s="26"/>
      <x:c r="U449" s="26"/>
      <x:c r="V449" s="26"/>
      <x:c r="W449" s="32"/>
      <x:c r="X449" s="27" t="b">
        <x:v>1</x:v>
      </x:c>
      <x:c r="Y449" s="34" t="n">
        <x:v>46219.72965277778</x:v>
      </x:c>
      <x:c r="Z449" s="26"/>
      <x:c r="AA449" s="26" t="str">
        <x:v>Burugupeta (36701020624)</x:v>
      </x:c>
      <x:c r="AB449" s="26" t="str">
        <x:v>Enriched from Mulugu project JSON</x:v>
      </x:c>
    </x:row>
    <x:row r="450">
      <x:c r="A450" s="26" t="n">
        <x:v>447</x:v>
      </x:c>
      <x:c r="B450" s="26" t="n">
        <x:v>198</x:v>
      </x:c>
      <x:c r="C450" s="26" t="str">
        <x:v>Mulugu</x:v>
      </x:c>
      <x:c r="D450" s="26" t="n">
        <x:v>13087</x:v>
      </x:c>
      <x:c r="E450" s="26" t="str">
        <x:v>PRJ-2026-0013087</x:v>
      </x:c>
      <x:c r="F450" s="26" t="str">
        <x:v>AWC Burugupeta</x:v>
      </x:c>
      <x:c r="G450" s="26" t="n">
        <x:v>499</x:v>
      </x:c>
      <x:c r="H450" s="26" t="n">
        <x:v>52257</x:v>
      </x:c>
      <x:c r="I450" s="26" t="str">
        <x:v>Water Purifier</x:v>
      </x:c>
      <x:c r="J450" s="26" t="str">
        <x:v>Number</x:v>
      </x:c>
      <x:c r="K450" s="26" t="n">
        <x:v>1</x:v>
      </x:c>
      <x:c r="L450" s="26" t="n">
        <x:v>1</x:v>
      </x:c>
      <x:c r="M450" s="26" t="n">
        <x:v>1</x:v>
      </x:c>
      <x:c r="N450" s="26" t="n">
        <x:v>0</x:v>
      </x:c>
      <x:c r="O450" s="26" t="n">
        <x:f>MAX(M450-N450,0)</x:f>
        <x:v>1</x:v>
      </x:c>
      <x:c r="P450" s="38" t="n">
        <x:f>IFERROR(N450/M450,0)</x:f>
        <x:v>0</x:v>
      </x:c>
      <x:c r="Q450" s="26" t="str">
        <x:v>Material/Assets/Equipment</x:v>
      </x:c>
      <x:c r="R450" s="26" t="str">
        <x:v>Health and Safety aids</x:v>
      </x:c>
      <x:c r="S450" s="26" t="str">
        <x:v>Minor</x:v>
      </x:c>
      <x:c r="T450" s="26"/>
      <x:c r="U450" s="26"/>
      <x:c r="V450" s="26"/>
      <x:c r="W450" s="32"/>
      <x:c r="X450" s="27" t="b">
        <x:v>1</x:v>
      </x:c>
      <x:c r="Y450" s="34" t="n">
        <x:v>46219.72965277778</x:v>
      </x:c>
      <x:c r="Z450" s="26"/>
      <x:c r="AA450" s="26" t="str">
        <x:v>Burugupeta (36701020624)</x:v>
      </x:c>
      <x:c r="AB450" s="26" t="str">
        <x:v>Enriched from Mulugu project JSON</x:v>
      </x:c>
    </x:row>
    <x:row r="451">
      <x:c r="A451" s="26" t="n">
        <x:v>448</x:v>
      </x:c>
      <x:c r="B451" s="26" t="n">
        <x:v>198</x:v>
      </x:c>
      <x:c r="C451" s="26" t="str">
        <x:v>Mulugu</x:v>
      </x:c>
      <x:c r="D451" s="26" t="n">
        <x:v>13087</x:v>
      </x:c>
      <x:c r="E451" s="26" t="str">
        <x:v>PRJ-2026-0013087</x:v>
      </x:c>
      <x:c r="F451" s="26" t="str">
        <x:v>AWC Burugupeta</x:v>
      </x:c>
      <x:c r="G451" s="26" t="n">
        <x:v>500</x:v>
      </x:c>
      <x:c r="H451" s="26" t="n">
        <x:v>52258</x:v>
      </x:c>
      <x:c r="I451" s="26" t="str">
        <x:v>Chairs</x:v>
      </x:c>
      <x:c r="J451" s="26" t="str">
        <x:v>Number</x:v>
      </x:c>
      <x:c r="K451" s="26" t="n">
        <x:v>3</x:v>
      </x:c>
      <x:c r="L451" s="26" t="n">
        <x:v>3</x:v>
      </x:c>
      <x:c r="M451" s="26" t="n">
        <x:v>3</x:v>
      </x:c>
      <x:c r="N451" s="26" t="n">
        <x:v>0</x:v>
      </x:c>
      <x:c r="O451" s="26" t="n">
        <x:f>MAX(M451-N451,0)</x:f>
        <x:v>3</x:v>
      </x:c>
      <x:c r="P451" s="38" t="n">
        <x:f>IFERROR(N451/M451,0)</x:f>
        <x:v>0</x:v>
      </x:c>
      <x:c r="Q451" s="26" t="str">
        <x:v>Material/Assets/Equipment</x:v>
      </x:c>
      <x:c r="R451" s="26" t="str">
        <x:v>Office Needs</x:v>
      </x:c>
      <x:c r="S451" s="26" t="str">
        <x:v>Minor</x:v>
      </x:c>
      <x:c r="T451" s="26"/>
      <x:c r="U451" s="26"/>
      <x:c r="V451" s="26"/>
      <x:c r="W451" s="32"/>
      <x:c r="X451" s="27" t="b">
        <x:v>1</x:v>
      </x:c>
      <x:c r="Y451" s="34" t="n">
        <x:v>46219.72965277778</x:v>
      </x:c>
      <x:c r="Z451" s="26"/>
      <x:c r="AA451" s="26" t="str">
        <x:v>Burugupeta (36701020624)</x:v>
      </x:c>
      <x:c r="AB451" s="26" t="str">
        <x:v>Enriched from Mulugu project JSON</x:v>
      </x:c>
    </x:row>
    <x:row r="452">
      <x:c r="A452" s="26" t="n">
        <x:v>449</x:v>
      </x:c>
      <x:c r="B452" s="26" t="n">
        <x:v>193</x:v>
      </x:c>
      <x:c r="C452" s="26" t="str">
        <x:v>Mulugu</x:v>
      </x:c>
      <x:c r="D452" s="26" t="n">
        <x:v>15963</x:v>
      </x:c>
      <x:c r="E452" s="26" t="str">
        <x:v>PRJ-2026-0015963</x:v>
      </x:c>
      <x:c r="F452" s="26" t="str">
        <x:v>AWC Venkatapur Sector</x:v>
      </x:c>
      <x:c r="G452" s="26" t="n">
        <x:v>460</x:v>
      </x:c>
      <x:c r="H452" s="26" t="n">
        <x:v>66150</x:v>
      </x:c>
      <x:c r="I452" s="26" t="str">
        <x:v>Toys</x:v>
      </x:c>
      <x:c r="J452" s="26" t="str">
        <x:v>Number</x:v>
      </x:c>
      <x:c r="K452" s="26" t="n">
        <x:v>10</x:v>
      </x:c>
      <x:c r="L452" s="26" t="n">
        <x:v>10</x:v>
      </x:c>
      <x:c r="M452" s="26" t="n">
        <x:v>10</x:v>
      </x:c>
      <x:c r="N452" s="26" t="n">
        <x:v>0</x:v>
      </x:c>
      <x:c r="O452" s="26" t="n">
        <x:f>MAX(M452-N452,0)</x:f>
        <x:v>10</x:v>
      </x:c>
      <x:c r="P452" s="38" t="n">
        <x:f>IFERROR(N452/M452,0)</x:f>
        <x:v>0</x:v>
      </x:c>
      <x:c r="Q452" s="26" t="str">
        <x:v>Material/Assets/Equipment</x:v>
      </x:c>
      <x:c r="R452" s="26" t="str">
        <x:v>ECCE Equipment</x:v>
      </x:c>
      <x:c r="S452" s="26" t="str">
        <x:v>Minor</x:v>
      </x:c>
      <x:c r="T452" s="26"/>
      <x:c r="U452" s="26"/>
      <x:c r="V452" s="26"/>
      <x:c r="W452" s="32"/>
      <x:c r="X452" s="27" t="b">
        <x:v>1</x:v>
      </x:c>
      <x:c r="Y452" s="34" t="n">
        <x:v>46219.7296412037</x:v>
      </x:c>
      <x:c r="Z452" s="26"/>
      <x:c r="AA452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AB452" s="26" t="str">
        <x:v>Enriched from Mulugu project JSON</x:v>
      </x:c>
    </x:row>
    <x:row r="453">
      <x:c r="A453" s="26" t="n">
        <x:v>450</x:v>
      </x:c>
      <x:c r="B453" s="26" t="n">
        <x:v>193</x:v>
      </x:c>
      <x:c r="C453" s="26" t="str">
        <x:v>Mulugu</x:v>
      </x:c>
      <x:c r="D453" s="26" t="n">
        <x:v>15963</x:v>
      </x:c>
      <x:c r="E453" s="26" t="str">
        <x:v>PRJ-2026-0015963</x:v>
      </x:c>
      <x:c r="F453" s="26" t="str">
        <x:v>AWC Venkatapur Sector</x:v>
      </x:c>
      <x:c r="G453" s="26" t="n">
        <x:v>461</x:v>
      </x:c>
      <x:c r="H453" s="26" t="n">
        <x:v>66151</x:v>
      </x:c>
      <x:c r="I453" s="26" t="str">
        <x:v>Chairs/Benches</x:v>
      </x:c>
      <x:c r="J453" s="26" t="str">
        <x:v>Number</x:v>
      </x:c>
      <x:c r="K453" s="26" t="n">
        <x:v>10</x:v>
      </x:c>
      <x:c r="L453" s="26" t="n">
        <x:v>10</x:v>
      </x:c>
      <x:c r="M453" s="26" t="n">
        <x:v>10</x:v>
      </x:c>
      <x:c r="N453" s="26" t="n">
        <x:v>0</x:v>
      </x:c>
      <x:c r="O453" s="26" t="n">
        <x:f>MAX(M453-N453,0)</x:f>
        <x:v>10</x:v>
      </x:c>
      <x:c r="P453" s="38" t="n">
        <x:f>IFERROR(N453/M453,0)</x:f>
        <x:v>0</x:v>
      </x:c>
      <x:c r="Q453" s="26" t="str">
        <x:v>Material/Assets/Equipment</x:v>
      </x:c>
      <x:c r="R453" s="26" t="str">
        <x:v>Educational Needs</x:v>
      </x:c>
      <x:c r="S453" s="26" t="str">
        <x:v>Minor</x:v>
      </x:c>
      <x:c r="T453" s="26"/>
      <x:c r="U453" s="26"/>
      <x:c r="V453" s="26"/>
      <x:c r="W453" s="32"/>
      <x:c r="X453" s="27" t="b">
        <x:v>1</x:v>
      </x:c>
      <x:c r="Y453" s="34" t="n">
        <x:v>46219.7296412037</x:v>
      </x:c>
      <x:c r="Z453" s="26"/>
      <x:c r="AA453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AB453" s="26" t="str">
        <x:v>Enriched from Mulugu project JSON</x:v>
      </x:c>
    </x:row>
    <x:row r="454">
      <x:c r="A454" s="26" t="n">
        <x:v>451</x:v>
      </x:c>
      <x:c r="B454" s="26" t="n">
        <x:v>193</x:v>
      </x:c>
      <x:c r="C454" s="26" t="str">
        <x:v>Mulugu</x:v>
      </x:c>
      <x:c r="D454" s="26" t="n">
        <x:v>15963</x:v>
      </x:c>
      <x:c r="E454" s="26" t="str">
        <x:v>PRJ-2026-0015963</x:v>
      </x:c>
      <x:c r="F454" s="26" t="str">
        <x:v>AWC Venkatapur Sector</x:v>
      </x:c>
      <x:c r="G454" s="26" t="n">
        <x:v>462</x:v>
      </x:c>
      <x:c r="H454" s="26" t="n">
        <x:v>66152</x:v>
      </x:c>
      <x:c r="I454" s="26" t="str">
        <x:v>Tube Lights</x:v>
      </x:c>
      <x:c r="J454" s="26" t="str">
        <x:v>Number</x:v>
      </x:c>
      <x:c r="K454" s="26" t="n">
        <x:v>2</x:v>
      </x:c>
      <x:c r="L454" s="26" t="n">
        <x:v>2</x:v>
      </x:c>
      <x:c r="M454" s="26" t="n">
        <x:v>2</x:v>
      </x:c>
      <x:c r="N454" s="26" t="n">
        <x:v>0</x:v>
      </x:c>
      <x:c r="O454" s="26" t="n">
        <x:f>MAX(M454-N454,0)</x:f>
        <x:v>2</x:v>
      </x:c>
      <x:c r="P454" s="38" t="n">
        <x:f>IFERROR(N454/M454,0)</x:f>
        <x:v>0</x:v>
      </x:c>
      <x:c r="Q454" s="26" t="str">
        <x:v>Material/Assets/Equipment</x:v>
      </x:c>
      <x:c r="R454" s="26" t="str">
        <x:v>Electrical Infrastructure</x:v>
      </x:c>
      <x:c r="S454" s="26" t="str">
        <x:v>Medium</x:v>
      </x:c>
      <x:c r="T454" s="26"/>
      <x:c r="U454" s="26"/>
      <x:c r="V454" s="26"/>
      <x:c r="W454" s="32"/>
      <x:c r="X454" s="27" t="b">
        <x:v>1</x:v>
      </x:c>
      <x:c r="Y454" s="34" t="n">
        <x:v>46219.7296412037</x:v>
      </x:c>
      <x:c r="Z454" s="26"/>
      <x:c r="AA454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AB454" s="26" t="str">
        <x:v>Enriched from Mulugu project JSON</x:v>
      </x:c>
    </x:row>
    <x:row r="455">
      <x:c r="A455" s="26" t="n">
        <x:v>452</x:v>
      </x:c>
      <x:c r="B455" s="26" t="n">
        <x:v>193</x:v>
      </x:c>
      <x:c r="C455" s="26" t="str">
        <x:v>Mulugu</x:v>
      </x:c>
      <x:c r="D455" s="26" t="n">
        <x:v>15963</x:v>
      </x:c>
      <x:c r="E455" s="26" t="str">
        <x:v>PRJ-2026-0015963</x:v>
      </x:c>
      <x:c r="F455" s="26" t="str">
        <x:v>AWC Venkatapur Sector</x:v>
      </x:c>
      <x:c r="G455" s="26" t="n">
        <x:v>463</x:v>
      </x:c>
      <x:c r="H455" s="26" t="n">
        <x:v>66153</x:v>
      </x:c>
      <x:c r="I455" s="26" t="str">
        <x:v>Cooking Equipments</x:v>
      </x:c>
      <x:c r="J455" s="26" t="str">
        <x:v>Number</x:v>
      </x:c>
      <x:c r="K455" s="26" t="n">
        <x:v>2</x:v>
      </x:c>
      <x:c r="L455" s="26" t="n">
        <x:v>2</x:v>
      </x:c>
      <x:c r="M455" s="26" t="n">
        <x:v>2</x:v>
      </x:c>
      <x:c r="N455" s="26" t="n">
        <x:v>0</x:v>
      </x:c>
      <x:c r="O455" s="26" t="n">
        <x:f>MAX(M455-N455,0)</x:f>
        <x:v>2</x:v>
      </x:c>
      <x:c r="P455" s="38" t="n">
        <x:f>IFERROR(N455/M455,0)</x:f>
        <x:v>0</x:v>
      </x:c>
      <x:c r="Q455" s="26" t="str">
        <x:v>Material/Assets/Equipment</x:v>
      </x:c>
      <x:c r="R455" s="26" t="str">
        <x:v>Electrical Infrastructure</x:v>
      </x:c>
      <x:c r="S455" s="26" t="str">
        <x:v>Medium</x:v>
      </x:c>
      <x:c r="T455" s="26"/>
      <x:c r="U455" s="26"/>
      <x:c r="V455" s="26"/>
      <x:c r="W455" s="32"/>
      <x:c r="X455" s="27" t="b">
        <x:v>1</x:v>
      </x:c>
      <x:c r="Y455" s="34" t="n">
        <x:v>46219.7296412037</x:v>
      </x:c>
      <x:c r="Z455" s="26"/>
      <x:c r="AA455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AB455" s="26" t="str">
        <x:v>Enriched from Mulugu project JSON</x:v>
      </x:c>
    </x:row>
    <x:row r="456">
      <x:c r="A456" s="26" t="n">
        <x:v>453</x:v>
      </x:c>
      <x:c r="B456" s="26" t="n">
        <x:v>193</x:v>
      </x:c>
      <x:c r="C456" s="26" t="str">
        <x:v>Mulugu</x:v>
      </x:c>
      <x:c r="D456" s="26" t="n">
        <x:v>15963</x:v>
      </x:c>
      <x:c r="E456" s="26" t="str">
        <x:v>PRJ-2026-0015963</x:v>
      </x:c>
      <x:c r="F456" s="26" t="str">
        <x:v>AWC Venkatapur Sector</x:v>
      </x:c>
      <x:c r="G456" s="26" t="n">
        <x:v>464</x:v>
      </x:c>
      <x:c r="H456" s="26" t="n">
        <x:v>66154</x:v>
      </x:c>
      <x:c r="I456" s="26" t="str">
        <x:v>Water Purifier</x:v>
      </x:c>
      <x:c r="J456" s="26" t="str">
        <x:v>Number</x:v>
      </x:c>
      <x:c r="K456" s="26" t="n">
        <x:v>2</x:v>
      </x:c>
      <x:c r="L456" s="26" t="n">
        <x:v>2</x:v>
      </x:c>
      <x:c r="M456" s="26" t="n">
        <x:v>2</x:v>
      </x:c>
      <x:c r="N456" s="26" t="n">
        <x:v>0</x:v>
      </x:c>
      <x:c r="O456" s="26" t="n">
        <x:f>MAX(M456-N456,0)</x:f>
        <x:v>2</x:v>
      </x:c>
      <x:c r="P456" s="38" t="n">
        <x:f>IFERROR(N456/M456,0)</x:f>
        <x:v>0</x:v>
      </x:c>
      <x:c r="Q456" s="26" t="str">
        <x:v>Material/Assets/Equipment</x:v>
      </x:c>
      <x:c r="R456" s="26" t="str">
        <x:v>Health and Safety aids</x:v>
      </x:c>
      <x:c r="S456" s="26" t="str">
        <x:v>Minor</x:v>
      </x:c>
      <x:c r="T456" s="26"/>
      <x:c r="U456" s="26"/>
      <x:c r="V456" s="26"/>
      <x:c r="W456" s="32"/>
      <x:c r="X456" s="27" t="b">
        <x:v>1</x:v>
      </x:c>
      <x:c r="Y456" s="34" t="n">
        <x:v>46219.7296412037</x:v>
      </x:c>
      <x:c r="Z456" s="26"/>
      <x:c r="AA456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AB456" s="26" t="str">
        <x:v>Enriched from Mulugu project JSON</x:v>
      </x:c>
    </x:row>
    <x:row r="457">
      <x:c r="A457" s="26" t="n">
        <x:v>454</x:v>
      </x:c>
      <x:c r="B457" s="26" t="n">
        <x:v>193</x:v>
      </x:c>
      <x:c r="C457" s="26" t="str">
        <x:v>Mulugu</x:v>
      </x:c>
      <x:c r="D457" s="26" t="n">
        <x:v>15963</x:v>
      </x:c>
      <x:c r="E457" s="26" t="str">
        <x:v>PRJ-2026-0015963</x:v>
      </x:c>
      <x:c r="F457" s="26" t="str">
        <x:v>AWC Venkatapur Sector</x:v>
      </x:c>
      <x:c r="G457" s="26" t="n">
        <x:v>465</x:v>
      </x:c>
      <x:c r="H457" s="26" t="n">
        <x:v>66155</x:v>
      </x:c>
      <x:c r="I457" s="26" t="str">
        <x:v>Tables</x:v>
      </x:c>
      <x:c r="J457" s="26" t="str">
        <x:v>Number</x:v>
      </x:c>
      <x:c r="K457" s="26" t="n">
        <x:v>5</x:v>
      </x:c>
      <x:c r="L457" s="26" t="n">
        <x:v>5</x:v>
      </x:c>
      <x:c r="M457" s="26" t="n">
        <x:v>5</x:v>
      </x:c>
      <x:c r="N457" s="26" t="n">
        <x:v>0</x:v>
      </x:c>
      <x:c r="O457" s="26" t="n">
        <x:f>MAX(M457-N457,0)</x:f>
        <x:v>5</x:v>
      </x:c>
      <x:c r="P457" s="38" t="n">
        <x:f>IFERROR(N457/M457,0)</x:f>
        <x:v>0</x:v>
      </x:c>
      <x:c r="Q457" s="26" t="str">
        <x:v>Material/Assets/Equipment</x:v>
      </x:c>
      <x:c r="R457" s="26" t="str">
        <x:v>Office Needs</x:v>
      </x:c>
      <x:c r="S457" s="26" t="str">
        <x:v>Minor</x:v>
      </x:c>
      <x:c r="T457" s="26"/>
      <x:c r="U457" s="26"/>
      <x:c r="V457" s="26"/>
      <x:c r="W457" s="32"/>
      <x:c r="X457" s="27" t="b">
        <x:v>1</x:v>
      </x:c>
      <x:c r="Y457" s="34" t="n">
        <x:v>46219.7296412037</x:v>
      </x:c>
      <x:c r="Z457" s="26"/>
      <x:c r="AA457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AB457" s="26" t="str">
        <x:v>Enriched from Mulugu project JSON</x:v>
      </x:c>
    </x:row>
    <x:row r="458">
      <x:c r="A458" s="26" t="n">
        <x:v>455</x:v>
      </x:c>
      <x:c r="B458" s="26" t="n">
        <x:v>193</x:v>
      </x:c>
      <x:c r="C458" s="26" t="str">
        <x:v>Mulugu</x:v>
      </x:c>
      <x:c r="D458" s="26" t="n">
        <x:v>15963</x:v>
      </x:c>
      <x:c r="E458" s="26" t="str">
        <x:v>PRJ-2026-0015963</x:v>
      </x:c>
      <x:c r="F458" s="26" t="str">
        <x:v>AWC Venkatapur Sector</x:v>
      </x:c>
      <x:c r="G458" s="26" t="n">
        <x:v>466</x:v>
      </x:c>
      <x:c r="H458" s="26" t="n">
        <x:v>66156</x:v>
      </x:c>
      <x:c r="I458" s="26" t="str">
        <x:v>Swing sets</x:v>
      </x:c>
      <x:c r="J458" s="26" t="str">
        <x:v>Number</x:v>
      </x:c>
      <x:c r="K458" s="26" t="n">
        <x:v>2</x:v>
      </x:c>
      <x:c r="L458" s="26" t="n">
        <x:v>2</x:v>
      </x:c>
      <x:c r="M458" s="26" t="n">
        <x:v>2</x:v>
      </x:c>
      <x:c r="N458" s="26" t="n">
        <x:v>0</x:v>
      </x:c>
      <x:c r="O458" s="26" t="n">
        <x:f>MAX(M458-N458,0)</x:f>
        <x:v>2</x:v>
      </x:c>
      <x:c r="P458" s="38" t="n">
        <x:f>IFERROR(N458/M458,0)</x:f>
        <x:v>0</x:v>
      </x:c>
      <x:c r="Q458" s="26" t="str">
        <x:v>Material/Assets/Equipment</x:v>
      </x:c>
      <x:c r="R458" s="26" t="str">
        <x:v>ECCE Equipment</x:v>
      </x:c>
      <x:c r="S458" s="26" t="str">
        <x:v>Minor</x:v>
      </x:c>
      <x:c r="T458" s="26"/>
      <x:c r="U458" s="26"/>
      <x:c r="V458" s="26"/>
      <x:c r="W458" s="32"/>
      <x:c r="X458" s="27" t="b">
        <x:v>1</x:v>
      </x:c>
      <x:c r="Y458" s="34" t="n">
        <x:v>46219.7296412037</x:v>
      </x:c>
      <x:c r="Z458" s="26"/>
      <x:c r="AA458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AB458" s="26" t="str">
        <x:v>Enriched from Mulugu project JSON</x:v>
      </x:c>
    </x:row>
    <x:row r="459">
      <x:c r="A459" s="26" t="n">
        <x:v>456</x:v>
      </x:c>
      <x:c r="B459" s="26" t="n">
        <x:v>194</x:v>
      </x:c>
      <x:c r="C459" s="26" t="str">
        <x:v>Mulugu</x:v>
      </x:c>
      <x:c r="D459" s="26" t="n">
        <x:v>13542</x:v>
      </x:c>
      <x:c r="E459" s="26" t="str">
        <x:v>PRJ-2026-0013542</x:v>
      </x:c>
      <x:c r="F459" s="26" t="str">
        <x:v>Egg &amp; Milk Storge Racks</x:v>
      </x:c>
      <x:c r="G459" s="26" t="n">
        <x:v>467</x:v>
      </x:c>
      <x:c r="H459" s="26" t="n">
        <x:v>54347</x:v>
      </x:c>
      <x:c r="I459" s="26" t="str">
        <x:v>Desks</x:v>
      </x:c>
      <x:c r="J459" s="26" t="str">
        <x:v>Number</x:v>
      </x:c>
      <x:c r="K459" s="26" t="n">
        <x:v>1</x:v>
      </x:c>
      <x:c r="L459" s="26" t="n">
        <x:v>1</x:v>
      </x:c>
      <x:c r="M459" s="26" t="n">
        <x:v>1</x:v>
      </x:c>
      <x:c r="N459" s="26" t="n">
        <x:v>0</x:v>
      </x:c>
      <x:c r="O459" s="26" t="n">
        <x:f>MAX(M459-N459,0)</x:f>
        <x:v>1</x:v>
      </x:c>
      <x:c r="P459" s="38" t="n">
        <x:f>IFERROR(N459/M459,0)</x:f>
        <x:v>0</x:v>
      </x:c>
      <x:c r="Q459" s="26" t="str">
        <x:v>Material/Assets/Equipment</x:v>
      </x:c>
      <x:c r="R459" s="26" t="str">
        <x:v>Office Needs</x:v>
      </x:c>
      <x:c r="S459" s="26" t="str">
        <x:v>Minor</x:v>
      </x:c>
      <x:c r="T459" s="26"/>
      <x:c r="U459" s="26"/>
      <x:c r="V459" s="26"/>
      <x:c r="W459" s="32"/>
      <x:c r="X459" s="27" t="b">
        <x:v>1</x:v>
      </x:c>
      <x:c r="Y459" s="34" t="n">
        <x:v>46219.7296412037</x:v>
      </x:c>
      <x:c r="Z459" s="26"/>
      <x:c r="AA459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AB459" s="26" t="str">
        <x:v>Enriched from Mulugu project JSON</x:v>
      </x:c>
    </x:row>
    <x:row r="460">
      <x:c r="A460" s="26" t="n">
        <x:v>457</x:v>
      </x:c>
      <x:c r="B460" s="26" t="n">
        <x:v>194</x:v>
      </x:c>
      <x:c r="C460" s="26" t="str">
        <x:v>Mulugu</x:v>
      </x:c>
      <x:c r="D460" s="26" t="n">
        <x:v>13542</x:v>
      </x:c>
      <x:c r="E460" s="26" t="str">
        <x:v>PRJ-2026-0013542</x:v>
      </x:c>
      <x:c r="F460" s="26" t="str">
        <x:v>Egg &amp; Milk Storge Racks</x:v>
      </x:c>
      <x:c r="G460" s="26" t="n">
        <x:v>468</x:v>
      </x:c>
      <x:c r="H460" s="26" t="n">
        <x:v>72245</x:v>
      </x:c>
      <x:c r="I460" s="26" t="str">
        <x:v>Toys</x:v>
      </x:c>
      <x:c r="J460" s="26" t="str">
        <x:v>Number</x:v>
      </x:c>
      <x:c r="K460" s="26" t="n">
        <x:v>100</x:v>
      </x:c>
      <x:c r="L460" s="26" t="n">
        <x:v>100</x:v>
      </x:c>
      <x:c r="M460" s="26" t="n">
        <x:v>100</x:v>
      </x:c>
      <x:c r="N460" s="26" t="n">
        <x:v>0</x:v>
      </x:c>
      <x:c r="O460" s="26" t="n">
        <x:f>MAX(M460-N460,0)</x:f>
        <x:v>100</x:v>
      </x:c>
      <x:c r="P460" s="38" t="n">
        <x:f>IFERROR(N460/M460,0)</x:f>
        <x:v>0</x:v>
      </x:c>
      <x:c r="Q460" s="26" t="str">
        <x:v>Material/Assets/Equipment</x:v>
      </x:c>
      <x:c r="R460" s="26" t="str">
        <x:v>ECCE Equipment</x:v>
      </x:c>
      <x:c r="S460" s="26" t="str">
        <x:v>Minor</x:v>
      </x:c>
      <x:c r="T460" s="26"/>
      <x:c r="U460" s="26"/>
      <x:c r="V460" s="26"/>
      <x:c r="W460" s="32"/>
      <x:c r="X460" s="27" t="b">
        <x:v>1</x:v>
      </x:c>
      <x:c r="Y460" s="34" t="n">
        <x:v>46219.7296412037</x:v>
      </x:c>
      <x:c r="Z460" s="26"/>
      <x:c r="AA460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AB460" s="26" t="str">
        <x:v>Enriched from Mulugu project JSON</x:v>
      </x:c>
    </x:row>
    <x:row r="461">
      <x:c r="A461" s="26" t="n">
        <x:v>458</x:v>
      </x:c>
      <x:c r="B461" s="26" t="n">
        <x:v>194</x:v>
      </x:c>
      <x:c r="C461" s="26" t="str">
        <x:v>Mulugu</x:v>
      </x:c>
      <x:c r="D461" s="26" t="n">
        <x:v>13542</x:v>
      </x:c>
      <x:c r="E461" s="26" t="str">
        <x:v>PRJ-2026-0013542</x:v>
      </x:c>
      <x:c r="F461" s="26" t="str">
        <x:v>Egg &amp; Milk Storge Racks</x:v>
      </x:c>
      <x:c r="G461" s="26" t="n">
        <x:v>469</x:v>
      </x:c>
      <x:c r="H461" s="26" t="n">
        <x:v>72246</x:v>
      </x:c>
      <x:c r="I461" s="26" t="str">
        <x:v>Swing sets</x:v>
      </x:c>
      <x:c r="J461" s="26" t="str">
        <x:v>Number</x:v>
      </x:c>
      <x:c r="K461" s="26" t="n">
        <x:v>100</x:v>
      </x:c>
      <x:c r="L461" s="26" t="n">
        <x:v>100</x:v>
      </x:c>
      <x:c r="M461" s="26" t="n">
        <x:v>100</x:v>
      </x:c>
      <x:c r="N461" s="26" t="n">
        <x:v>0</x:v>
      </x:c>
      <x:c r="O461" s="26" t="n">
        <x:f>MAX(M461-N461,0)</x:f>
        <x:v>100</x:v>
      </x:c>
      <x:c r="P461" s="38" t="n">
        <x:f>IFERROR(N461/M461,0)</x:f>
        <x:v>0</x:v>
      </x:c>
      <x:c r="Q461" s="26" t="str">
        <x:v>Material/Assets/Equipment</x:v>
      </x:c>
      <x:c r="R461" s="26" t="str">
        <x:v>ECCE Equipment</x:v>
      </x:c>
      <x:c r="S461" s="26" t="str">
        <x:v>Minor</x:v>
      </x:c>
      <x:c r="T461" s="26"/>
      <x:c r="U461" s="26"/>
      <x:c r="V461" s="26"/>
      <x:c r="W461" s="32"/>
      <x:c r="X461" s="27" t="b">
        <x:v>1</x:v>
      </x:c>
      <x:c r="Y461" s="34" t="n">
        <x:v>46219.7296412037</x:v>
      </x:c>
      <x:c r="Z461" s="26"/>
      <x:c r="AA461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AB461" s="26" t="str">
        <x:v>Enriched from Mulugu project JSON</x:v>
      </x:c>
    </x:row>
    <x:row r="462">
      <x:c r="A462" s="26" t="n">
        <x:v>459</x:v>
      </x:c>
      <x:c r="B462" s="26" t="n">
        <x:v>194</x:v>
      </x:c>
      <x:c r="C462" s="26" t="str">
        <x:v>Mulugu</x:v>
      </x:c>
      <x:c r="D462" s="26" t="n">
        <x:v>13542</x:v>
      </x:c>
      <x:c r="E462" s="26" t="str">
        <x:v>PRJ-2026-0013542</x:v>
      </x:c>
      <x:c r="F462" s="26" t="str">
        <x:v>Egg &amp; Milk Storge Racks</x:v>
      </x:c>
      <x:c r="G462" s="26" t="n">
        <x:v>470</x:v>
      </x:c>
      <x:c r="H462" s="26" t="n">
        <x:v>72247</x:v>
      </x:c>
      <x:c r="I462" s="26" t="str">
        <x:v>Solar Panel</x:v>
      </x:c>
      <x:c r="J462" s="26" t="str">
        <x:v>Number</x:v>
      </x:c>
      <x:c r="K462" s="26" t="n">
        <x:v>100</x:v>
      </x:c>
      <x:c r="L462" s="26" t="n">
        <x:v>100</x:v>
      </x:c>
      <x:c r="M462" s="26" t="n">
        <x:v>100</x:v>
      </x:c>
      <x:c r="N462" s="26" t="n">
        <x:v>0</x:v>
      </x:c>
      <x:c r="O462" s="26" t="n">
        <x:f>MAX(M462-N462,0)</x:f>
        <x:v>100</x:v>
      </x:c>
      <x:c r="P462" s="38" t="n">
        <x:f>IFERROR(N462/M462,0)</x:f>
        <x:v>0</x:v>
      </x:c>
      <x:c r="Q462" s="26" t="str">
        <x:v>Material/Assets/Equipment</x:v>
      </x:c>
      <x:c r="R462" s="26" t="str">
        <x:v>Electrical Infrastructure</x:v>
      </x:c>
      <x:c r="S462" s="26" t="str">
        <x:v>Medium</x:v>
      </x:c>
      <x:c r="T462" s="26"/>
      <x:c r="U462" s="26"/>
      <x:c r="V462" s="26"/>
      <x:c r="W462" s="32"/>
      <x:c r="X462" s="27" t="b">
        <x:v>1</x:v>
      </x:c>
      <x:c r="Y462" s="34" t="n">
        <x:v>46219.7296412037</x:v>
      </x:c>
      <x:c r="Z462" s="26"/>
      <x:c r="AA462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AB462" s="26" t="str">
        <x:v>Enriched from Mulugu project JSON</x:v>
      </x:c>
    </x:row>
    <x:row r="463">
      <x:c r="A463" s="26" t="n">
        <x:v>460</x:v>
      </x:c>
      <x:c r="B463" s="26" t="n">
        <x:v>194</x:v>
      </x:c>
      <x:c r="C463" s="26" t="str">
        <x:v>Mulugu</x:v>
      </x:c>
      <x:c r="D463" s="26" t="n">
        <x:v>13542</x:v>
      </x:c>
      <x:c r="E463" s="26" t="str">
        <x:v>PRJ-2026-0013542</x:v>
      </x:c>
      <x:c r="F463" s="26" t="str">
        <x:v>Egg &amp; Milk Storge Racks</x:v>
      </x:c>
      <x:c r="G463" s="26" t="n">
        <x:v>471</x:v>
      </x:c>
      <x:c r="H463" s="26" t="n">
        <x:v>72248</x:v>
      </x:c>
      <x:c r="I463" s="26" t="str">
        <x:v>Water Purifier</x:v>
      </x:c>
      <x:c r="J463" s="26" t="str">
        <x:v>Number</x:v>
      </x:c>
      <x:c r="K463" s="26" t="n">
        <x:v>20</x:v>
      </x:c>
      <x:c r="L463" s="26" t="n">
        <x:v>20</x:v>
      </x:c>
      <x:c r="M463" s="26" t="n">
        <x:v>20</x:v>
      </x:c>
      <x:c r="N463" s="26" t="n">
        <x:v>0</x:v>
      </x:c>
      <x:c r="O463" s="26" t="n">
        <x:f>MAX(M463-N463,0)</x:f>
        <x:v>20</x:v>
      </x:c>
      <x:c r="P463" s="38" t="n">
        <x:f>IFERROR(N463/M463,0)</x:f>
        <x:v>0</x:v>
      </x:c>
      <x:c r="Q463" s="26" t="str">
        <x:v>Material/Assets/Equipment</x:v>
      </x:c>
      <x:c r="R463" s="26" t="str">
        <x:v>Health and Safety aids</x:v>
      </x:c>
      <x:c r="S463" s="26" t="str">
        <x:v>Minor</x:v>
      </x:c>
      <x:c r="T463" s="26"/>
      <x:c r="U463" s="26"/>
      <x:c r="V463" s="26"/>
      <x:c r="W463" s="32"/>
      <x:c r="X463" s="27" t="b">
        <x:v>1</x:v>
      </x:c>
      <x:c r="Y463" s="34" t="n">
        <x:v>46219.7296412037</x:v>
      </x:c>
      <x:c r="Z463" s="26"/>
      <x:c r="AA463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AB463" s="26" t="str">
        <x:v>Enriched from Mulugu project JSON</x:v>
      </x:c>
    </x:row>
    <x:row r="464">
      <x:c r="A464" s="26" t="n">
        <x:v>461</x:v>
      </x:c>
      <x:c r="B464" s="26" t="n">
        <x:v>194</x:v>
      </x:c>
      <x:c r="C464" s="26" t="str">
        <x:v>Mulugu</x:v>
      </x:c>
      <x:c r="D464" s="26" t="n">
        <x:v>13542</x:v>
      </x:c>
      <x:c r="E464" s="26" t="str">
        <x:v>PRJ-2026-0013542</x:v>
      </x:c>
      <x:c r="F464" s="26" t="str">
        <x:v>Egg &amp; Milk Storge Racks</x:v>
      </x:c>
      <x:c r="G464" s="26" t="n">
        <x:v>472</x:v>
      </x:c>
      <x:c r="H464" s="26" t="n">
        <x:v>72249</x:v>
      </x:c>
      <x:c r="I464" s="26" t="str">
        <x:v>Tube Lights</x:v>
      </x:c>
      <x:c r="J464" s="26" t="str">
        <x:v>Number</x:v>
      </x:c>
      <x:c r="K464" s="26" t="n">
        <x:v>40</x:v>
      </x:c>
      <x:c r="L464" s="26" t="n">
        <x:v>40</x:v>
      </x:c>
      <x:c r="M464" s="26" t="n">
        <x:v>40</x:v>
      </x:c>
      <x:c r="N464" s="26" t="n">
        <x:v>0</x:v>
      </x:c>
      <x:c r="O464" s="26" t="n">
        <x:f>MAX(M464-N464,0)</x:f>
        <x:v>40</x:v>
      </x:c>
      <x:c r="P464" s="38" t="n">
        <x:f>IFERROR(N464/M464,0)</x:f>
        <x:v>0</x:v>
      </x:c>
      <x:c r="Q464" s="26" t="str">
        <x:v>Material/Assets/Equipment</x:v>
      </x:c>
      <x:c r="R464" s="26" t="str">
        <x:v>Electrical Infrastructure</x:v>
      </x:c>
      <x:c r="S464" s="26" t="str">
        <x:v>Medium</x:v>
      </x:c>
      <x:c r="T464" s="26"/>
      <x:c r="U464" s="26"/>
      <x:c r="V464" s="26"/>
      <x:c r="W464" s="32"/>
      <x:c r="X464" s="27" t="b">
        <x:v>1</x:v>
      </x:c>
      <x:c r="Y464" s="34" t="n">
        <x:v>46219.7296412037</x:v>
      </x:c>
      <x:c r="Z464" s="26"/>
      <x:c r="AA464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AB464" s="26" t="str">
        <x:v>Enriched from Mulugu project JSON</x:v>
      </x:c>
    </x:row>
    <x:row r="465">
      <x:c r="A465" s="26" t="n">
        <x:v>462</x:v>
      </x:c>
      <x:c r="B465" s="26" t="n">
        <x:v>194</x:v>
      </x:c>
      <x:c r="C465" s="26" t="str">
        <x:v>Mulugu</x:v>
      </x:c>
      <x:c r="D465" s="26" t="n">
        <x:v>13542</x:v>
      </x:c>
      <x:c r="E465" s="26" t="str">
        <x:v>PRJ-2026-0013542</x:v>
      </x:c>
      <x:c r="F465" s="26" t="str">
        <x:v>Egg &amp; Milk Storge Racks</x:v>
      </x:c>
      <x:c r="G465" s="26" t="n">
        <x:v>473</x:v>
      </x:c>
      <x:c r="H465" s="26" t="n">
        <x:v>72250</x:v>
      </x:c>
      <x:c r="I465" s="26" t="str">
        <x:v>Chairs/Benches</x:v>
      </x:c>
      <x:c r="J465" s="26" t="str">
        <x:v>Number</x:v>
      </x:c>
      <x:c r="K465" s="26" t="n">
        <x:v>40</x:v>
      </x:c>
      <x:c r="L465" s="26" t="n">
        <x:v>40</x:v>
      </x:c>
      <x:c r="M465" s="26" t="n">
        <x:v>40</x:v>
      </x:c>
      <x:c r="N465" s="26" t="n">
        <x:v>0</x:v>
      </x:c>
      <x:c r="O465" s="26" t="n">
        <x:f>MAX(M465-N465,0)</x:f>
        <x:v>40</x:v>
      </x:c>
      <x:c r="P465" s="38" t="n">
        <x:f>IFERROR(N465/M465,0)</x:f>
        <x:v>0</x:v>
      </x:c>
      <x:c r="Q465" s="26" t="str">
        <x:v>Material/Assets/Equipment</x:v>
      </x:c>
      <x:c r="R465" s="26" t="str">
        <x:v>Educational Needs</x:v>
      </x:c>
      <x:c r="S465" s="26" t="str">
        <x:v>Minor</x:v>
      </x:c>
      <x:c r="T465" s="26"/>
      <x:c r="U465" s="26"/>
      <x:c r="V465" s="26"/>
      <x:c r="W465" s="32"/>
      <x:c r="X465" s="27" t="b">
        <x:v>1</x:v>
      </x:c>
      <x:c r="Y465" s="34" t="n">
        <x:v>46219.7296412037</x:v>
      </x:c>
      <x:c r="Z465" s="26"/>
      <x:c r="AA465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AB465" s="26" t="str">
        <x:v>Enriched from Mulugu project JSON</x:v>
      </x:c>
    </x:row>
    <x:row r="466">
      <x:c r="A466" s="26" t="n">
        <x:v>463</x:v>
      </x:c>
      <x:c r="B466" s="26" t="n">
        <x:v>195</x:v>
      </x:c>
      <x:c r="C466" s="26" t="str">
        <x:v>Mulugu</x:v>
      </x:c>
      <x:c r="D466" s="26" t="n">
        <x:v>13276</x:v>
      </x:c>
      <x:c r="E466" s="26" t="str">
        <x:v>PRJ-2026-0013276</x:v>
      </x:c>
      <x:c r="F466" s="26" t="str">
        <x:v>Egg &amp; Milk Storge Racks</x:v>
      </x:c>
      <x:c r="G466" s="26" t="n">
        <x:v>474</x:v>
      </x:c>
      <x:c r="H466" s="26" t="n">
        <x:v>53111</x:v>
      </x:c>
      <x:c r="I466" s="26" t="str">
        <x:v>Desks</x:v>
      </x:c>
      <x:c r="J466" s="26" t="str">
        <x:v>Number</x:v>
      </x:c>
      <x:c r="K466" s="26" t="n">
        <x:v>1</x:v>
      </x:c>
      <x:c r="L466" s="26" t="n">
        <x:v>1</x:v>
      </x:c>
      <x:c r="M466" s="26" t="n">
        <x:v>1</x:v>
      </x:c>
      <x:c r="N466" s="26" t="n">
        <x:v>0</x:v>
      </x:c>
      <x:c r="O466" s="26" t="n">
        <x:f>MAX(M466-N466,0)</x:f>
        <x:v>1</x:v>
      </x:c>
      <x:c r="P466" s="38" t="n">
        <x:f>IFERROR(N466/M466,0)</x:f>
        <x:v>0</x:v>
      </x:c>
      <x:c r="Q466" s="26" t="str">
        <x:v>Material/Assets/Equipment</x:v>
      </x:c>
      <x:c r="R466" s="26" t="str">
        <x:v>Office Needs</x:v>
      </x:c>
      <x:c r="S466" s="26" t="str">
        <x:v>Minor</x:v>
      </x:c>
      <x:c r="T466" s="26"/>
      <x:c r="U466" s="26"/>
      <x:c r="V466" s="26"/>
      <x:c r="W466" s="32"/>
      <x:c r="X466" s="27" t="b">
        <x:v>1</x:v>
      </x:c>
      <x:c r="Y466" s="34" t="n">
        <x:v>46219.7296412037</x:v>
      </x:c>
      <x:c r="Z466" s="26"/>
      <x:c r="AA466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AB466" s="26" t="str">
        <x:v>Enriched from Mulugu project JSON</x:v>
      </x:c>
    </x:row>
    <x:row r="467">
      <x:c r="A467" s="26" t="n">
        <x:v>464</x:v>
      </x:c>
      <x:c r="B467" s="26" t="n">
        <x:v>195</x:v>
      </x:c>
      <x:c r="C467" s="26" t="str">
        <x:v>Mulugu</x:v>
      </x:c>
      <x:c r="D467" s="26" t="n">
        <x:v>13276</x:v>
      </x:c>
      <x:c r="E467" s="26" t="str">
        <x:v>PRJ-2026-0013276</x:v>
      </x:c>
      <x:c r="F467" s="26" t="str">
        <x:v>Egg &amp; Milk Storge Racks</x:v>
      </x:c>
      <x:c r="G467" s="26" t="n">
        <x:v>475</x:v>
      </x:c>
      <x:c r="H467" s="26" t="n">
        <x:v>72313</x:v>
      </x:c>
      <x:c r="I467" s="26" t="str">
        <x:v>Toys</x:v>
      </x:c>
      <x:c r="J467" s="26" t="str">
        <x:v>Number</x:v>
      </x:c>
      <x:c r="K467" s="26" t="n">
        <x:v>12</x:v>
      </x:c>
      <x:c r="L467" s="26" t="n">
        <x:v>12</x:v>
      </x:c>
      <x:c r="M467" s="26" t="n">
        <x:v>12</x:v>
      </x:c>
      <x:c r="N467" s="26" t="n">
        <x:v>0</x:v>
      </x:c>
      <x:c r="O467" s="26" t="n">
        <x:f>MAX(M467-N467,0)</x:f>
        <x:v>12</x:v>
      </x:c>
      <x:c r="P467" s="38" t="n">
        <x:f>IFERROR(N467/M467,0)</x:f>
        <x:v>0</x:v>
      </x:c>
      <x:c r="Q467" s="26" t="str">
        <x:v>Material/Assets/Equipment</x:v>
      </x:c>
      <x:c r="R467" s="26" t="str">
        <x:v>ECCE Equipment</x:v>
      </x:c>
      <x:c r="S467" s="26" t="str">
        <x:v>Minor</x:v>
      </x:c>
      <x:c r="T467" s="26"/>
      <x:c r="U467" s="26"/>
      <x:c r="V467" s="26"/>
      <x:c r="W467" s="32"/>
      <x:c r="X467" s="27" t="b">
        <x:v>1</x:v>
      </x:c>
      <x:c r="Y467" s="34" t="n">
        <x:v>46219.7296412037</x:v>
      </x:c>
      <x:c r="Z467" s="26"/>
      <x:c r="AA467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AB467" s="26" t="str">
        <x:v>Enriched from Mulugu project JSON</x:v>
      </x:c>
    </x:row>
    <x:row r="468">
      <x:c r="A468" s="26" t="n">
        <x:v>465</x:v>
      </x:c>
      <x:c r="B468" s="26" t="n">
        <x:v>195</x:v>
      </x:c>
      <x:c r="C468" s="26" t="str">
        <x:v>Mulugu</x:v>
      </x:c>
      <x:c r="D468" s="26" t="n">
        <x:v>13276</x:v>
      </x:c>
      <x:c r="E468" s="26" t="str">
        <x:v>PRJ-2026-0013276</x:v>
      </x:c>
      <x:c r="F468" s="26" t="str">
        <x:v>Egg &amp; Milk Storge Racks</x:v>
      </x:c>
      <x:c r="G468" s="26" t="n">
        <x:v>476</x:v>
      </x:c>
      <x:c r="H468" s="26" t="n">
        <x:v>72314</x:v>
      </x:c>
      <x:c r="I468" s="26" t="str">
        <x:v>Chairs/Benches</x:v>
      </x:c>
      <x:c r="J468" s="26" t="str">
        <x:v>Number</x:v>
      </x:c>
      <x:c r="K468" s="26" t="n">
        <x:v>120</x:v>
      </x:c>
      <x:c r="L468" s="26" t="n">
        <x:v>120</x:v>
      </x:c>
      <x:c r="M468" s="26" t="n">
        <x:v>120</x:v>
      </x:c>
      <x:c r="N468" s="26" t="n">
        <x:v>0</x:v>
      </x:c>
      <x:c r="O468" s="26" t="n">
        <x:f>MAX(M468-N468,0)</x:f>
        <x:v>120</x:v>
      </x:c>
      <x:c r="P468" s="38" t="n">
        <x:f>IFERROR(N468/M468,0)</x:f>
        <x:v>0</x:v>
      </x:c>
      <x:c r="Q468" s="26" t="str">
        <x:v>Material/Assets/Equipment</x:v>
      </x:c>
      <x:c r="R468" s="26" t="str">
        <x:v>Educational Needs</x:v>
      </x:c>
      <x:c r="S468" s="26" t="str">
        <x:v>Minor</x:v>
      </x:c>
      <x:c r="T468" s="26"/>
      <x:c r="U468" s="26"/>
      <x:c r="V468" s="26"/>
      <x:c r="W468" s="32"/>
      <x:c r="X468" s="27" t="b">
        <x:v>1</x:v>
      </x:c>
      <x:c r="Y468" s="34" t="n">
        <x:v>46219.7296412037</x:v>
      </x:c>
      <x:c r="Z468" s="26"/>
      <x:c r="AA468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AB468" s="26" t="str">
        <x:v>Enriched from Mulugu project JSON</x:v>
      </x:c>
    </x:row>
    <x:row r="469">
      <x:c r="A469" s="26" t="n">
        <x:v>466</x:v>
      </x:c>
      <x:c r="B469" s="26" t="n">
        <x:v>195</x:v>
      </x:c>
      <x:c r="C469" s="26" t="str">
        <x:v>Mulugu</x:v>
      </x:c>
      <x:c r="D469" s="26" t="n">
        <x:v>13276</x:v>
      </x:c>
      <x:c r="E469" s="26" t="str">
        <x:v>PRJ-2026-0013276</x:v>
      </x:c>
      <x:c r="F469" s="26" t="str">
        <x:v>Egg &amp; Milk Storge Racks</x:v>
      </x:c>
      <x:c r="G469" s="26" t="n">
        <x:v>477</x:v>
      </x:c>
      <x:c r="H469" s="26" t="n">
        <x:v>72315</x:v>
      </x:c>
      <x:c r="I469" s="26" t="str">
        <x:v>Water Purifier</x:v>
      </x:c>
      <x:c r="J469" s="26" t="str">
        <x:v>Number</x:v>
      </x:c>
      <x:c r="K469" s="26" t="n">
        <x:v>12</x:v>
      </x:c>
      <x:c r="L469" s="26" t="n">
        <x:v>12</x:v>
      </x:c>
      <x:c r="M469" s="26" t="n">
        <x:v>12</x:v>
      </x:c>
      <x:c r="N469" s="26" t="n">
        <x:v>0</x:v>
      </x:c>
      <x:c r="O469" s="26" t="n">
        <x:f>MAX(M469-N469,0)</x:f>
        <x:v>12</x:v>
      </x:c>
      <x:c r="P469" s="38" t="n">
        <x:f>IFERROR(N469/M469,0)</x:f>
        <x:v>0</x:v>
      </x:c>
      <x:c r="Q469" s="26" t="str">
        <x:v>Material/Assets/Equipment</x:v>
      </x:c>
      <x:c r="R469" s="26" t="str">
        <x:v>Health and Safety aids</x:v>
      </x:c>
      <x:c r="S469" s="26" t="str">
        <x:v>Minor</x:v>
      </x:c>
      <x:c r="T469" s="26"/>
      <x:c r="U469" s="26"/>
      <x:c r="V469" s="26"/>
      <x:c r="W469" s="32"/>
      <x:c r="X469" s="27" t="b">
        <x:v>1</x:v>
      </x:c>
      <x:c r="Y469" s="34" t="n">
        <x:v>46219.7296412037</x:v>
      </x:c>
      <x:c r="Z469" s="26"/>
      <x:c r="AA469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AB469" s="26" t="str">
        <x:v>Enriched from Mulugu project JSON</x:v>
      </x:c>
    </x:row>
    <x:row r="470">
      <x:c r="A470" s="26" t="n">
        <x:v>467</x:v>
      </x:c>
      <x:c r="B470" s="26" t="n">
        <x:v>195</x:v>
      </x:c>
      <x:c r="C470" s="26" t="str">
        <x:v>Mulugu</x:v>
      </x:c>
      <x:c r="D470" s="26" t="n">
        <x:v>13276</x:v>
      </x:c>
      <x:c r="E470" s="26" t="str">
        <x:v>PRJ-2026-0013276</x:v>
      </x:c>
      <x:c r="F470" s="26" t="str">
        <x:v>Egg &amp; Milk Storge Racks</x:v>
      </x:c>
      <x:c r="G470" s="26" t="n">
        <x:v>478</x:v>
      </x:c>
      <x:c r="H470" s="26" t="n">
        <x:v>72316</x:v>
      </x:c>
      <x:c r="I470" s="26" t="str">
        <x:v>Tube Lights</x:v>
      </x:c>
      <x:c r="J470" s="26" t="str">
        <x:v>Number</x:v>
      </x:c>
      <x:c r="K470" s="26" t="n">
        <x:v>24</x:v>
      </x:c>
      <x:c r="L470" s="26" t="n">
        <x:v>24</x:v>
      </x:c>
      <x:c r="M470" s="26" t="n">
        <x:v>24</x:v>
      </x:c>
      <x:c r="N470" s="26" t="n">
        <x:v>0</x:v>
      </x:c>
      <x:c r="O470" s="26" t="n">
        <x:f>MAX(M470-N470,0)</x:f>
        <x:v>24</x:v>
      </x:c>
      <x:c r="P470" s="38" t="n">
        <x:f>IFERROR(N470/M470,0)</x:f>
        <x:v>0</x:v>
      </x:c>
      <x:c r="Q470" s="26" t="str">
        <x:v>Material/Assets/Equipment</x:v>
      </x:c>
      <x:c r="R470" s="26" t="str">
        <x:v>Electrical Infrastructure</x:v>
      </x:c>
      <x:c r="S470" s="26" t="str">
        <x:v>Medium</x:v>
      </x:c>
      <x:c r="T470" s="26"/>
      <x:c r="U470" s="26"/>
      <x:c r="V470" s="26"/>
      <x:c r="W470" s="32"/>
      <x:c r="X470" s="27" t="b">
        <x:v>1</x:v>
      </x:c>
      <x:c r="Y470" s="34" t="n">
        <x:v>46219.7296412037</x:v>
      </x:c>
      <x:c r="Z470" s="26"/>
      <x:c r="AA470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AB470" s="26" t="str">
        <x:v>Enriched from Mulugu project JSON</x:v>
      </x:c>
    </x:row>
    <x:row r="471">
      <x:c r="A471" s="26" t="n">
        <x:v>468</x:v>
      </x:c>
      <x:c r="B471" s="26" t="n">
        <x:v>195</x:v>
      </x:c>
      <x:c r="C471" s="26" t="str">
        <x:v>Mulugu</x:v>
      </x:c>
      <x:c r="D471" s="26" t="n">
        <x:v>13276</x:v>
      </x:c>
      <x:c r="E471" s="26" t="str">
        <x:v>PRJ-2026-0013276</x:v>
      </x:c>
      <x:c r="F471" s="26" t="str">
        <x:v>Egg &amp; Milk Storge Racks</x:v>
      </x:c>
      <x:c r="G471" s="26" t="n">
        <x:v>479</x:v>
      </x:c>
      <x:c r="H471" s="26" t="n">
        <x:v>72317</x:v>
      </x:c>
      <x:c r="I471" s="26" t="str">
        <x:v>Cooking Equipments</x:v>
      </x:c>
      <x:c r="J471" s="26" t="str">
        <x:v>Number</x:v>
      </x:c>
      <x:c r="K471" s="26" t="n">
        <x:v>12</x:v>
      </x:c>
      <x:c r="L471" s="26" t="n">
        <x:v>12</x:v>
      </x:c>
      <x:c r="M471" s="26" t="n">
        <x:v>12</x:v>
      </x:c>
      <x:c r="N471" s="26" t="n">
        <x:v>0</x:v>
      </x:c>
      <x:c r="O471" s="26" t="n">
        <x:f>MAX(M471-N471,0)</x:f>
        <x:v>12</x:v>
      </x:c>
      <x:c r="P471" s="38" t="n">
        <x:f>IFERROR(N471/M471,0)</x:f>
        <x:v>0</x:v>
      </x:c>
      <x:c r="Q471" s="26" t="str">
        <x:v>Material/Assets/Equipment</x:v>
      </x:c>
      <x:c r="R471" s="26" t="str">
        <x:v>Electrical Infrastructure</x:v>
      </x:c>
      <x:c r="S471" s="26" t="str">
        <x:v>Medium</x:v>
      </x:c>
      <x:c r="T471" s="26"/>
      <x:c r="U471" s="26"/>
      <x:c r="V471" s="26"/>
      <x:c r="W471" s="32"/>
      <x:c r="X471" s="27" t="b">
        <x:v>1</x:v>
      </x:c>
      <x:c r="Y471" s="34" t="n">
        <x:v>46219.7296412037</x:v>
      </x:c>
      <x:c r="Z471" s="26"/>
      <x:c r="AA471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AB471" s="26" t="str">
        <x:v>Enriched from Mulugu project JSON</x:v>
      </x:c>
    </x:row>
    <x:row r="472">
      <x:c r="A472" s="26" t="n">
        <x:v>469</x:v>
      </x:c>
      <x:c r="B472" s="26" t="n">
        <x:v>192</x:v>
      </x:c>
      <x:c r="C472" s="26" t="str">
        <x:v>Mulugu</x:v>
      </x:c>
      <x:c r="D472" s="26" t="n">
        <x:v>19440</x:v>
      </x:c>
      <x:c r="E472" s="26" t="str">
        <x:v>PRJ-2026-0019440</x:v>
      </x:c>
      <x:c r="F472" s="26" t="str">
        <x:v>AWC Jangalapally Sector</x:v>
      </x:c>
      <x:c r="G472" s="26" t="n">
        <x:v>453</x:v>
      </x:c>
      <x:c r="H472" s="26" t="n">
        <x:v>75056</x:v>
      </x:c>
      <x:c r="I472" s="26" t="str">
        <x:v>Toys</x:v>
      </x:c>
      <x:c r="J472" s="26" t="str">
        <x:v>Number</x:v>
      </x:c>
      <x:c r="K472" s="26" t="n">
        <x:v>200</x:v>
      </x:c>
      <x:c r="L472" s="26" t="n">
        <x:v>200</x:v>
      </x:c>
      <x:c r="M472" s="26" t="n">
        <x:v>200</x:v>
      </x:c>
      <x:c r="N472" s="26" t="n">
        <x:v>0</x:v>
      </x:c>
      <x:c r="O472" s="26" t="n">
        <x:f>MAX(M472-N472,0)</x:f>
        <x:v>200</x:v>
      </x:c>
      <x:c r="P472" s="38" t="n">
        <x:f>IFERROR(N472/M472,0)</x:f>
        <x:v>0</x:v>
      </x:c>
      <x:c r="Q472" s="26" t="str">
        <x:v>Material/Assets/Equipment</x:v>
      </x:c>
      <x:c r="R472" s="26" t="str">
        <x:v>ECCE Equipment</x:v>
      </x:c>
      <x:c r="S472" s="26" t="str">
        <x:v>Minor</x:v>
      </x:c>
      <x:c r="T472" s="26"/>
      <x:c r="U472" s="26"/>
      <x:c r="V472" s="26"/>
      <x:c r="W472" s="32"/>
      <x:c r="X472" s="27" t="b">
        <x:v>1</x:v>
      </x:c>
      <x:c r="Y472" s="34" t="n">
        <x:v>46219.72961805556</x:v>
      </x:c>
      <x:c r="Z472" s="26"/>
      <x:c r="AA472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AB472" s="26" t="str">
        <x:v>Enriched from Mulugu project JSON</x:v>
      </x:c>
    </x:row>
    <x:row r="473">
      <x:c r="A473" s="26" t="n">
        <x:v>470</x:v>
      </x:c>
      <x:c r="B473" s="26" t="n">
        <x:v>192</x:v>
      </x:c>
      <x:c r="C473" s="26" t="str">
        <x:v>Mulugu</x:v>
      </x:c>
      <x:c r="D473" s="26" t="n">
        <x:v>19440</x:v>
      </x:c>
      <x:c r="E473" s="26" t="str">
        <x:v>PRJ-2026-0019440</x:v>
      </x:c>
      <x:c r="F473" s="26" t="str">
        <x:v>AWC Jangalapally Sector</x:v>
      </x:c>
      <x:c r="G473" s="26" t="n">
        <x:v>454</x:v>
      </x:c>
      <x:c r="H473" s="26" t="n">
        <x:v>75057</x:v>
      </x:c>
      <x:c r="I473" s="26" t="str">
        <x:v>Games</x:v>
      </x:c>
      <x:c r="J473" s="26" t="str">
        <x:v>Number</x:v>
      </x:c>
      <x:c r="K473" s="26" t="n">
        <x:v>200</x:v>
      </x:c>
      <x:c r="L473" s="26" t="n">
        <x:v>200</x:v>
      </x:c>
      <x:c r="M473" s="26" t="n">
        <x:v>200</x:v>
      </x:c>
      <x:c r="N473" s="26" t="n">
        <x:v>0</x:v>
      </x:c>
      <x:c r="O473" s="26" t="n">
        <x:f>MAX(M473-N473,0)</x:f>
        <x:v>200</x:v>
      </x:c>
      <x:c r="P473" s="38" t="n">
        <x:f>IFERROR(N473/M473,0)</x:f>
        <x:v>0</x:v>
      </x:c>
      <x:c r="Q473" s="26" t="str">
        <x:v>Material/Assets/Equipment</x:v>
      </x:c>
      <x:c r="R473" s="26" t="str">
        <x:v>ECCE Equipment</x:v>
      </x:c>
      <x:c r="S473" s="26" t="str">
        <x:v>Minor</x:v>
      </x:c>
      <x:c r="T473" s="26"/>
      <x:c r="U473" s="26"/>
      <x:c r="V473" s="26"/>
      <x:c r="W473" s="32"/>
      <x:c r="X473" s="27" t="b">
        <x:v>1</x:v>
      </x:c>
      <x:c r="Y473" s="34" t="n">
        <x:v>46219.72961805556</x:v>
      </x:c>
      <x:c r="Z473" s="26"/>
      <x:c r="AA473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AB473" s="26" t="str">
        <x:v>Enriched from Mulugu project JSON</x:v>
      </x:c>
    </x:row>
    <x:row r="474">
      <x:c r="A474" s="26" t="n">
        <x:v>471</x:v>
      </x:c>
      <x:c r="B474" s="26" t="n">
        <x:v>192</x:v>
      </x:c>
      <x:c r="C474" s="26" t="str">
        <x:v>Mulugu</x:v>
      </x:c>
      <x:c r="D474" s="26" t="n">
        <x:v>19440</x:v>
      </x:c>
      <x:c r="E474" s="26" t="str">
        <x:v>PRJ-2026-0019440</x:v>
      </x:c>
      <x:c r="F474" s="26" t="str">
        <x:v>AWC Jangalapally Sector</x:v>
      </x:c>
      <x:c r="G474" s="26" t="n">
        <x:v>455</x:v>
      </x:c>
      <x:c r="H474" s="26" t="n">
        <x:v>75058</x:v>
      </x:c>
      <x:c r="I474" s="26" t="str">
        <x:v>Chairs/Benches</x:v>
      </x:c>
      <x:c r="J474" s="26" t="str">
        <x:v>Number</x:v>
      </x:c>
      <x:c r="K474" s="26" t="n">
        <x:v>100</x:v>
      </x:c>
      <x:c r="L474" s="26" t="n">
        <x:v>100</x:v>
      </x:c>
      <x:c r="M474" s="26" t="n">
        <x:v>100</x:v>
      </x:c>
      <x:c r="N474" s="26" t="n">
        <x:v>0</x:v>
      </x:c>
      <x:c r="O474" s="26" t="n">
        <x:f>MAX(M474-N474,0)</x:f>
        <x:v>100</x:v>
      </x:c>
      <x:c r="P474" s="38" t="n">
        <x:f>IFERROR(N474/M474,0)</x:f>
        <x:v>0</x:v>
      </x:c>
      <x:c r="Q474" s="26" t="str">
        <x:v>Material/Assets/Equipment</x:v>
      </x:c>
      <x:c r="R474" s="26" t="str">
        <x:v>Educational Needs</x:v>
      </x:c>
      <x:c r="S474" s="26" t="str">
        <x:v>Minor</x:v>
      </x:c>
      <x:c r="T474" s="26"/>
      <x:c r="U474" s="26"/>
      <x:c r="V474" s="26"/>
      <x:c r="W474" s="32"/>
      <x:c r="X474" s="27" t="b">
        <x:v>1</x:v>
      </x:c>
      <x:c r="Y474" s="34" t="n">
        <x:v>46219.72961805556</x:v>
      </x:c>
      <x:c r="Z474" s="26"/>
      <x:c r="AA474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AB474" s="26" t="str">
        <x:v>Enriched from Mulugu project JSON</x:v>
      </x:c>
    </x:row>
    <x:row r="475">
      <x:c r="A475" s="26" t="n">
        <x:v>472</x:v>
      </x:c>
      <x:c r="B475" s="26" t="n">
        <x:v>192</x:v>
      </x:c>
      <x:c r="C475" s="26" t="str">
        <x:v>Mulugu</x:v>
      </x:c>
      <x:c r="D475" s="26" t="n">
        <x:v>19440</x:v>
      </x:c>
      <x:c r="E475" s="26" t="str">
        <x:v>PRJ-2026-0019440</x:v>
      </x:c>
      <x:c r="F475" s="26" t="str">
        <x:v>AWC Jangalapally Sector</x:v>
      </x:c>
      <x:c r="G475" s="26" t="n">
        <x:v>456</x:v>
      </x:c>
      <x:c r="H475" s="26" t="n">
        <x:v>75059</x:v>
      </x:c>
      <x:c r="I475" s="26" t="str">
        <x:v>Tube Lights</x:v>
      </x:c>
      <x:c r="J475" s="26" t="str">
        <x:v>Number</x:v>
      </x:c>
      <x:c r="K475" s="26" t="n">
        <x:v>20</x:v>
      </x:c>
      <x:c r="L475" s="26" t="n">
        <x:v>20</x:v>
      </x:c>
      <x:c r="M475" s="26" t="n">
        <x:v>20</x:v>
      </x:c>
      <x:c r="N475" s="26" t="n">
        <x:v>0</x:v>
      </x:c>
      <x:c r="O475" s="26" t="n">
        <x:f>MAX(M475-N475,0)</x:f>
        <x:v>20</x:v>
      </x:c>
      <x:c r="P475" s="38" t="n">
        <x:f>IFERROR(N475/M475,0)</x:f>
        <x:v>0</x:v>
      </x:c>
      <x:c r="Q475" s="26" t="str">
        <x:v>Material/Assets/Equipment</x:v>
      </x:c>
      <x:c r="R475" s="26" t="str">
        <x:v>Electrical Infrastructure</x:v>
      </x:c>
      <x:c r="S475" s="26" t="str">
        <x:v>Medium</x:v>
      </x:c>
      <x:c r="T475" s="26"/>
      <x:c r="U475" s="26"/>
      <x:c r="V475" s="26"/>
      <x:c r="W475" s="32"/>
      <x:c r="X475" s="27" t="b">
        <x:v>1</x:v>
      </x:c>
      <x:c r="Y475" s="34" t="n">
        <x:v>46219.72961805556</x:v>
      </x:c>
      <x:c r="Z475" s="26"/>
      <x:c r="AA475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AB475" s="26" t="str">
        <x:v>Enriched from Mulugu project JSON</x:v>
      </x:c>
    </x:row>
    <x:row r="476">
      <x:c r="A476" s="26" t="n">
        <x:v>473</x:v>
      </x:c>
      <x:c r="B476" s="26" t="n">
        <x:v>192</x:v>
      </x:c>
      <x:c r="C476" s="26" t="str">
        <x:v>Mulugu</x:v>
      </x:c>
      <x:c r="D476" s="26" t="n">
        <x:v>19440</x:v>
      </x:c>
      <x:c r="E476" s="26" t="str">
        <x:v>PRJ-2026-0019440</x:v>
      </x:c>
      <x:c r="F476" s="26" t="str">
        <x:v>AWC Jangalapally Sector</x:v>
      </x:c>
      <x:c r="G476" s="26" t="n">
        <x:v>457</x:v>
      </x:c>
      <x:c r="H476" s="26" t="n">
        <x:v>75060</x:v>
      </x:c>
      <x:c r="I476" s="26" t="str">
        <x:v>Solar Panel</x:v>
      </x:c>
      <x:c r="J476" s="26" t="str">
        <x:v>Number</x:v>
      </x:c>
      <x:c r="K476" s="26" t="n">
        <x:v>20</x:v>
      </x:c>
      <x:c r="L476" s="26" t="n">
        <x:v>20</x:v>
      </x:c>
      <x:c r="M476" s="26" t="n">
        <x:v>20</x:v>
      </x:c>
      <x:c r="N476" s="26" t="n">
        <x:v>0</x:v>
      </x:c>
      <x:c r="O476" s="26" t="n">
        <x:f>MAX(M476-N476,0)</x:f>
        <x:v>20</x:v>
      </x:c>
      <x:c r="P476" s="38" t="n">
        <x:f>IFERROR(N476/M476,0)</x:f>
        <x:v>0</x:v>
      </x:c>
      <x:c r="Q476" s="26" t="str">
        <x:v>Material/Assets/Equipment</x:v>
      </x:c>
      <x:c r="R476" s="26" t="str">
        <x:v>Electrical Infrastructure</x:v>
      </x:c>
      <x:c r="S476" s="26" t="str">
        <x:v>Medium</x:v>
      </x:c>
      <x:c r="T476" s="26"/>
      <x:c r="U476" s="26"/>
      <x:c r="V476" s="26"/>
      <x:c r="W476" s="32"/>
      <x:c r="X476" s="27" t="b">
        <x:v>1</x:v>
      </x:c>
      <x:c r="Y476" s="34" t="n">
        <x:v>46219.72961805556</x:v>
      </x:c>
      <x:c r="Z476" s="26"/>
      <x:c r="AA476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AB476" s="26" t="str">
        <x:v>Enriched from Mulugu project JSON</x:v>
      </x:c>
    </x:row>
    <x:row r="477">
      <x:c r="A477" s="26" t="n">
        <x:v>474</x:v>
      </x:c>
      <x:c r="B477" s="26" t="n">
        <x:v>192</x:v>
      </x:c>
      <x:c r="C477" s="26" t="str">
        <x:v>Mulugu</x:v>
      </x:c>
      <x:c r="D477" s="26" t="n">
        <x:v>19440</x:v>
      </x:c>
      <x:c r="E477" s="26" t="str">
        <x:v>PRJ-2026-0019440</x:v>
      </x:c>
      <x:c r="F477" s="26" t="str">
        <x:v>AWC Jangalapally Sector</x:v>
      </x:c>
      <x:c r="G477" s="26" t="n">
        <x:v>458</x:v>
      </x:c>
      <x:c r="H477" s="26" t="n">
        <x:v>75061</x:v>
      </x:c>
      <x:c r="I477" s="26" t="str">
        <x:v>Water Purifier</x:v>
      </x:c>
      <x:c r="J477" s="26" t="str">
        <x:v>Number</x:v>
      </x:c>
      <x:c r="K477" s="26" t="n">
        <x:v>20</x:v>
      </x:c>
      <x:c r="L477" s="26" t="n">
        <x:v>20</x:v>
      </x:c>
      <x:c r="M477" s="26" t="n">
        <x:v>20</x:v>
      </x:c>
      <x:c r="N477" s="26" t="n">
        <x:v>0</x:v>
      </x:c>
      <x:c r="O477" s="26" t="n">
        <x:f>MAX(M477-N477,0)</x:f>
        <x:v>20</x:v>
      </x:c>
      <x:c r="P477" s="38" t="n">
        <x:f>IFERROR(N477/M477,0)</x:f>
        <x:v>0</x:v>
      </x:c>
      <x:c r="Q477" s="26" t="str">
        <x:v>Material/Assets/Equipment</x:v>
      </x:c>
      <x:c r="R477" s="26" t="str">
        <x:v>Health and Safety aids</x:v>
      </x:c>
      <x:c r="S477" s="26" t="str">
        <x:v>Minor</x:v>
      </x:c>
      <x:c r="T477" s="26"/>
      <x:c r="U477" s="26"/>
      <x:c r="V477" s="26"/>
      <x:c r="W477" s="32"/>
      <x:c r="X477" s="27" t="b">
        <x:v>1</x:v>
      </x:c>
      <x:c r="Y477" s="34" t="n">
        <x:v>46219.72961805556</x:v>
      </x:c>
      <x:c r="Z477" s="26"/>
      <x:c r="AA477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AB477" s="26" t="str">
        <x:v>Enriched from Mulugu project JSON</x:v>
      </x:c>
    </x:row>
    <x:row r="478">
      <x:c r="A478" s="26" t="n">
        <x:v>475</x:v>
      </x:c>
      <x:c r="B478" s="26" t="n">
        <x:v>192</x:v>
      </x:c>
      <x:c r="C478" s="26" t="str">
        <x:v>Mulugu</x:v>
      </x:c>
      <x:c r="D478" s="26" t="n">
        <x:v>19440</x:v>
      </x:c>
      <x:c r="E478" s="26" t="str">
        <x:v>PRJ-2026-0019440</x:v>
      </x:c>
      <x:c r="F478" s="26" t="str">
        <x:v>AWC Jangalapally Sector</x:v>
      </x:c>
      <x:c r="G478" s="26" t="n">
        <x:v>459</x:v>
      </x:c>
      <x:c r="H478" s="26" t="n">
        <x:v>75062</x:v>
      </x:c>
      <x:c r="I478" s="26" t="str">
        <x:v>Chairs</x:v>
      </x:c>
      <x:c r="J478" s="26" t="str">
        <x:v>Number</x:v>
      </x:c>
      <x:c r="K478" s="26" t="n">
        <x:v>20</x:v>
      </x:c>
      <x:c r="L478" s="26" t="n">
        <x:v>20</x:v>
      </x:c>
      <x:c r="M478" s="26" t="n">
        <x:v>20</x:v>
      </x:c>
      <x:c r="N478" s="26" t="n">
        <x:v>0</x:v>
      </x:c>
      <x:c r="O478" s="26" t="n">
        <x:f>MAX(M478-N478,0)</x:f>
        <x:v>20</x:v>
      </x:c>
      <x:c r="P478" s="38" t="n">
        <x:f>IFERROR(N478/M478,0)</x:f>
        <x:v>0</x:v>
      </x:c>
      <x:c r="Q478" s="26" t="str">
        <x:v>Material/Assets/Equipment</x:v>
      </x:c>
      <x:c r="R478" s="26" t="str">
        <x:v>Office Needs</x:v>
      </x:c>
      <x:c r="S478" s="26" t="str">
        <x:v>Minor</x:v>
      </x:c>
      <x:c r="T478" s="26"/>
      <x:c r="U478" s="26"/>
      <x:c r="V478" s="26"/>
      <x:c r="W478" s="32"/>
      <x:c r="X478" s="27" t="b">
        <x:v>1</x:v>
      </x:c>
      <x:c r="Y478" s="34" t="n">
        <x:v>46219.72961805556</x:v>
      </x:c>
      <x:c r="Z478" s="26"/>
      <x:c r="AA478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AB478" s="26" t="str">
        <x:v>Enriched from Mulugu project JSON</x:v>
      </x:c>
    </x:row>
    <x:row r="479">
      <x:c r="A479" s="26" t="n">
        <x:v>476</x:v>
      </x:c>
      <x:c r="B479" s="26" t="n">
        <x:v>191</x:v>
      </x:c>
      <x:c r="C479" s="26" t="str">
        <x:v>Mulugu</x:v>
      </x:c>
      <x:c r="D479" s="26" t="n">
        <x:v>7936</x:v>
      </x:c>
      <x:c r="E479" s="26" t="str">
        <x:v>PRJ-2026-0007936</x:v>
      </x:c>
      <x:c r="F479" s="26" t="str">
        <x:v>AWC ABBAPUR</x:v>
      </x:c>
      <x:c r="G479" s="26" t="n">
        <x:v>445</x:v>
      </x:c>
      <x:c r="H479" s="26" t="n">
        <x:v>29117</x:v>
      </x:c>
      <x:c r="I479" s="26" t="str">
        <x:v>Toys</x:v>
      </x:c>
      <x:c r="J479" s="26" t="str">
        <x:v>Number</x:v>
      </x:c>
      <x:c r="K479" s="26" t="n">
        <x:v>10</x:v>
      </x:c>
      <x:c r="L479" s="26" t="n">
        <x:v>10</x:v>
      </x:c>
      <x:c r="M479" s="26" t="n">
        <x:v>10</x:v>
      </x:c>
      <x:c r="N479" s="26" t="n">
        <x:v>0</x:v>
      </x:c>
      <x:c r="O479" s="26" t="n">
        <x:f>MAX(M479-N479,0)</x:f>
        <x:v>10</x:v>
      </x:c>
      <x:c r="P479" s="38" t="n">
        <x:f>IFERROR(N479/M479,0)</x:f>
        <x:v>0</x:v>
      </x:c>
      <x:c r="Q479" s="26" t="str">
        <x:v>Material/Assets/Equipment</x:v>
      </x:c>
      <x:c r="R479" s="26" t="str">
        <x:v>ECCE Equipment</x:v>
      </x:c>
      <x:c r="S479" s="26" t="str">
        <x:v>Minor</x:v>
      </x:c>
      <x:c r="T479" s="26"/>
      <x:c r="U479" s="26"/>
      <x:c r="V479" s="26"/>
      <x:c r="W479" s="32"/>
      <x:c r="X479" s="27" t="b">
        <x:v>1</x:v>
      </x:c>
      <x:c r="Y479" s="34" t="n">
        <x:v>46219.72287037037</x:v>
      </x:c>
      <x:c r="Z479" s="26"/>
      <x:c r="AA479" s="26" t="str">
        <x:v>Abbapur (36701020223)</x:v>
      </x:c>
      <x:c r="AB479" s="26" t="str">
        <x:v>Enriched from Mulugu project JSON</x:v>
      </x:c>
    </x:row>
    <x:row r="480">
      <x:c r="A480" s="26" t="n">
        <x:v>477</x:v>
      </x:c>
      <x:c r="B480" s="26" t="n">
        <x:v>191</x:v>
      </x:c>
      <x:c r="C480" s="26" t="str">
        <x:v>Mulugu</x:v>
      </x:c>
      <x:c r="D480" s="26" t="n">
        <x:v>7936</x:v>
      </x:c>
      <x:c r="E480" s="26" t="str">
        <x:v>PRJ-2026-0007936</x:v>
      </x:c>
      <x:c r="F480" s="26" t="str">
        <x:v>AWC ABBAPUR</x:v>
      </x:c>
      <x:c r="G480" s="26" t="n">
        <x:v>446</x:v>
      </x:c>
      <x:c r="H480" s="26" t="n">
        <x:v>29118</x:v>
      </x:c>
      <x:c r="I480" s="26" t="str">
        <x:v>Swing sets</x:v>
      </x:c>
      <x:c r="J480" s="26" t="str">
        <x:v>Number</x:v>
      </x:c>
      <x:c r="K480" s="26" t="n">
        <x:v>2</x:v>
      </x:c>
      <x:c r="L480" s="26" t="n">
        <x:v>2</x:v>
      </x:c>
      <x:c r="M480" s="26" t="n">
        <x:v>2</x:v>
      </x:c>
      <x:c r="N480" s="26" t="n">
        <x:v>0</x:v>
      </x:c>
      <x:c r="O480" s="26" t="n">
        <x:f>MAX(M480-N480,0)</x:f>
        <x:v>2</x:v>
      </x:c>
      <x:c r="P480" s="38" t="n">
        <x:f>IFERROR(N480/M480,0)</x:f>
        <x:v>0</x:v>
      </x:c>
      <x:c r="Q480" s="26" t="str">
        <x:v>Material/Assets/Equipment</x:v>
      </x:c>
      <x:c r="R480" s="26" t="str">
        <x:v>ECCE Equipment</x:v>
      </x:c>
      <x:c r="S480" s="26" t="str">
        <x:v>Minor</x:v>
      </x:c>
      <x:c r="T480" s="26"/>
      <x:c r="U480" s="26"/>
      <x:c r="V480" s="26"/>
      <x:c r="W480" s="32"/>
      <x:c r="X480" s="27" t="b">
        <x:v>1</x:v>
      </x:c>
      <x:c r="Y480" s="34" t="n">
        <x:v>46219.72287037037</x:v>
      </x:c>
      <x:c r="Z480" s="26"/>
      <x:c r="AA480" s="26" t="str">
        <x:v>Abbapur (36701020223)</x:v>
      </x:c>
      <x:c r="AB480" s="26" t="str">
        <x:v>Enriched from Mulugu project JSON</x:v>
      </x:c>
    </x:row>
    <x:row r="481">
      <x:c r="A481" s="26" t="n">
        <x:v>478</x:v>
      </x:c>
      <x:c r="B481" s="26" t="n">
        <x:v>191</x:v>
      </x:c>
      <x:c r="C481" s="26" t="str">
        <x:v>Mulugu</x:v>
      </x:c>
      <x:c r="D481" s="26" t="n">
        <x:v>7936</x:v>
      </x:c>
      <x:c r="E481" s="26" t="str">
        <x:v>PRJ-2026-0007936</x:v>
      </x:c>
      <x:c r="F481" s="26" t="str">
        <x:v>AWC ABBAPUR</x:v>
      </x:c>
      <x:c r="G481" s="26" t="n">
        <x:v>447</x:v>
      </x:c>
      <x:c r="H481" s="26" t="n">
        <x:v>29119</x:v>
      </x:c>
      <x:c r="I481" s="26" t="str">
        <x:v>Balls</x:v>
      </x:c>
      <x:c r="J481" s="26" t="str">
        <x:v>Number</x:v>
      </x:c>
      <x:c r="K481" s="26" t="n">
        <x:v>10</x:v>
      </x:c>
      <x:c r="L481" s="26" t="n">
        <x:v>10</x:v>
      </x:c>
      <x:c r="M481" s="26" t="n">
        <x:v>10</x:v>
      </x:c>
      <x:c r="N481" s="26" t="n">
        <x:v>0</x:v>
      </x:c>
      <x:c r="O481" s="26" t="n">
        <x:f>MAX(M481-N481,0)</x:f>
        <x:v>10</x:v>
      </x:c>
      <x:c r="P481" s="38" t="n">
        <x:f>IFERROR(N481/M481,0)</x:f>
        <x:v>0</x:v>
      </x:c>
      <x:c r="Q481" s="26" t="str">
        <x:v>Material/Assets/Equipment</x:v>
      </x:c>
      <x:c r="R481" s="26" t="str">
        <x:v>ECCE Equipment</x:v>
      </x:c>
      <x:c r="S481" s="26" t="str">
        <x:v>Minor</x:v>
      </x:c>
      <x:c r="T481" s="26"/>
      <x:c r="U481" s="26"/>
      <x:c r="V481" s="26"/>
      <x:c r="W481" s="32"/>
      <x:c r="X481" s="27" t="b">
        <x:v>1</x:v>
      </x:c>
      <x:c r="Y481" s="34" t="n">
        <x:v>46219.72287037037</x:v>
      </x:c>
      <x:c r="Z481" s="26"/>
      <x:c r="AA481" s="26" t="str">
        <x:v>Abbapur (36701020223)</x:v>
      </x:c>
      <x:c r="AB481" s="26" t="str">
        <x:v>Enriched from Mulugu project JSON</x:v>
      </x:c>
    </x:row>
    <x:row r="482">
      <x:c r="A482" s="26" t="n">
        <x:v>479</x:v>
      </x:c>
      <x:c r="B482" s="26" t="n">
        <x:v>191</x:v>
      </x:c>
      <x:c r="C482" s="26" t="str">
        <x:v>Mulugu</x:v>
      </x:c>
      <x:c r="D482" s="26" t="n">
        <x:v>7936</x:v>
      </x:c>
      <x:c r="E482" s="26" t="str">
        <x:v>PRJ-2026-0007936</x:v>
      </x:c>
      <x:c r="F482" s="26" t="str">
        <x:v>AWC ABBAPUR</x:v>
      </x:c>
      <x:c r="G482" s="26" t="n">
        <x:v>448</x:v>
      </x:c>
      <x:c r="H482" s="26" t="n">
        <x:v>29120</x:v>
      </x:c>
      <x:c r="I482" s="26" t="str">
        <x:v>Chairs/Benches</x:v>
      </x:c>
      <x:c r="J482" s="26" t="str">
        <x:v>Number</x:v>
      </x:c>
      <x:c r="K482" s="26" t="n">
        <x:v>10</x:v>
      </x:c>
      <x:c r="L482" s="26" t="n">
        <x:v>10</x:v>
      </x:c>
      <x:c r="M482" s="26" t="n">
        <x:v>10</x:v>
      </x:c>
      <x:c r="N482" s="26" t="n">
        <x:v>0</x:v>
      </x:c>
      <x:c r="O482" s="26" t="n">
        <x:f>MAX(M482-N482,0)</x:f>
        <x:v>10</x:v>
      </x:c>
      <x:c r="P482" s="38" t="n">
        <x:f>IFERROR(N482/M482,0)</x:f>
        <x:v>0</x:v>
      </x:c>
      <x:c r="Q482" s="26" t="str">
        <x:v>Material/Assets/Equipment</x:v>
      </x:c>
      <x:c r="R482" s="26" t="str">
        <x:v>Educational Needs</x:v>
      </x:c>
      <x:c r="S482" s="26" t="str">
        <x:v>Minor</x:v>
      </x:c>
      <x:c r="T482" s="26"/>
      <x:c r="U482" s="26"/>
      <x:c r="V482" s="26"/>
      <x:c r="W482" s="32"/>
      <x:c r="X482" s="27" t="b">
        <x:v>1</x:v>
      </x:c>
      <x:c r="Y482" s="34" t="n">
        <x:v>46219.72287037037</x:v>
      </x:c>
      <x:c r="Z482" s="26"/>
      <x:c r="AA482" s="26" t="str">
        <x:v>Abbapur (36701020223)</x:v>
      </x:c>
      <x:c r="AB482" s="26" t="str">
        <x:v>Enriched from Mulugu project JSON</x:v>
      </x:c>
    </x:row>
    <x:row r="483">
      <x:c r="A483" s="26" t="n">
        <x:v>480</x:v>
      </x:c>
      <x:c r="B483" s="26" t="n">
        <x:v>191</x:v>
      </x:c>
      <x:c r="C483" s="26" t="str">
        <x:v>Mulugu</x:v>
      </x:c>
      <x:c r="D483" s="26" t="n">
        <x:v>7936</x:v>
      </x:c>
      <x:c r="E483" s="26" t="str">
        <x:v>PRJ-2026-0007936</x:v>
      </x:c>
      <x:c r="F483" s="26" t="str">
        <x:v>AWC ABBAPUR</x:v>
      </x:c>
      <x:c r="G483" s="26" t="n">
        <x:v>449</x:v>
      </x:c>
      <x:c r="H483" s="26" t="n">
        <x:v>29121</x:v>
      </x:c>
      <x:c r="I483" s="26" t="str">
        <x:v>Tube Lights</x:v>
      </x:c>
      <x:c r="J483" s="26" t="str">
        <x:v>Number</x:v>
      </x:c>
      <x:c r="K483" s="26" t="n">
        <x:v>2</x:v>
      </x:c>
      <x:c r="L483" s="26" t="n">
        <x:v>2</x:v>
      </x:c>
      <x:c r="M483" s="26" t="n">
        <x:v>2</x:v>
      </x:c>
      <x:c r="N483" s="26" t="n">
        <x:v>0</x:v>
      </x:c>
      <x:c r="O483" s="26" t="n">
        <x:f>MAX(M483-N483,0)</x:f>
        <x:v>2</x:v>
      </x:c>
      <x:c r="P483" s="38" t="n">
        <x:f>IFERROR(N483/M483,0)</x:f>
        <x:v>0</x:v>
      </x:c>
      <x:c r="Q483" s="26" t="str">
        <x:v>Material/Assets/Equipment</x:v>
      </x:c>
      <x:c r="R483" s="26" t="str">
        <x:v>Electrical Infrastructure</x:v>
      </x:c>
      <x:c r="S483" s="26" t="str">
        <x:v>Medium</x:v>
      </x:c>
      <x:c r="T483" s="26"/>
      <x:c r="U483" s="26"/>
      <x:c r="V483" s="26"/>
      <x:c r="W483" s="32"/>
      <x:c r="X483" s="27" t="b">
        <x:v>1</x:v>
      </x:c>
      <x:c r="Y483" s="34" t="n">
        <x:v>46219.72287037037</x:v>
      </x:c>
      <x:c r="Z483" s="26"/>
      <x:c r="AA483" s="26" t="str">
        <x:v>Abbapur (36701020223)</x:v>
      </x:c>
      <x:c r="AB483" s="26" t="str">
        <x:v>Enriched from Mulugu project JSON</x:v>
      </x:c>
    </x:row>
    <x:row r="484">
      <x:c r="A484" s="26" t="n">
        <x:v>481</x:v>
      </x:c>
      <x:c r="B484" s="26" t="n">
        <x:v>191</x:v>
      </x:c>
      <x:c r="C484" s="26" t="str">
        <x:v>Mulugu</x:v>
      </x:c>
      <x:c r="D484" s="26" t="n">
        <x:v>7936</x:v>
      </x:c>
      <x:c r="E484" s="26" t="str">
        <x:v>PRJ-2026-0007936</x:v>
      </x:c>
      <x:c r="F484" s="26" t="str">
        <x:v>AWC ABBAPUR</x:v>
      </x:c>
      <x:c r="G484" s="26" t="n">
        <x:v>450</x:v>
      </x:c>
      <x:c r="H484" s="26" t="n">
        <x:v>29122</x:v>
      </x:c>
      <x:c r="I484" s="26" t="str">
        <x:v>Solar Panel</x:v>
      </x:c>
      <x:c r="J484" s="26" t="str">
        <x:v>Number</x:v>
      </x:c>
      <x:c r="K484" s="26" t="n">
        <x:v>1</x:v>
      </x:c>
      <x:c r="L484" s="26" t="n">
        <x:v>1</x:v>
      </x:c>
      <x:c r="M484" s="26" t="n">
        <x:v>1</x:v>
      </x:c>
      <x:c r="N484" s="26" t="n">
        <x:v>0</x:v>
      </x:c>
      <x:c r="O484" s="26" t="n">
        <x:f>MAX(M484-N484,0)</x:f>
        <x:v>1</x:v>
      </x:c>
      <x:c r="P484" s="38" t="n">
        <x:f>IFERROR(N484/M484,0)</x:f>
        <x:v>0</x:v>
      </x:c>
      <x:c r="Q484" s="26" t="str">
        <x:v>Material/Assets/Equipment</x:v>
      </x:c>
      <x:c r="R484" s="26" t="str">
        <x:v>Electrical Infrastructure</x:v>
      </x:c>
      <x:c r="S484" s="26" t="str">
        <x:v>Medium</x:v>
      </x:c>
      <x:c r="T484" s="26"/>
      <x:c r="U484" s="26"/>
      <x:c r="V484" s="26"/>
      <x:c r="W484" s="32"/>
      <x:c r="X484" s="27" t="b">
        <x:v>1</x:v>
      </x:c>
      <x:c r="Y484" s="34" t="n">
        <x:v>46219.72287037037</x:v>
      </x:c>
      <x:c r="Z484" s="26"/>
      <x:c r="AA484" s="26" t="str">
        <x:v>Abbapur (36701020223)</x:v>
      </x:c>
      <x:c r="AB484" s="26" t="str">
        <x:v>Enriched from Mulugu project JSON</x:v>
      </x:c>
    </x:row>
    <x:row r="485">
      <x:c r="A485" s="26" t="n">
        <x:v>482</x:v>
      </x:c>
      <x:c r="B485" s="26" t="n">
        <x:v>191</x:v>
      </x:c>
      <x:c r="C485" s="26" t="str">
        <x:v>Mulugu</x:v>
      </x:c>
      <x:c r="D485" s="26" t="n">
        <x:v>7936</x:v>
      </x:c>
      <x:c r="E485" s="26" t="str">
        <x:v>PRJ-2026-0007936</x:v>
      </x:c>
      <x:c r="F485" s="26" t="str">
        <x:v>AWC ABBAPUR</x:v>
      </x:c>
      <x:c r="G485" s="26" t="n">
        <x:v>451</x:v>
      </x:c>
      <x:c r="H485" s="26" t="n">
        <x:v>29123</x:v>
      </x:c>
      <x:c r="I485" s="26" t="str">
        <x:v>Cooking Equipments</x:v>
      </x:c>
      <x:c r="J485" s="26" t="str">
        <x:v>Number</x:v>
      </x:c>
      <x:c r="K485" s="26" t="n">
        <x:v>1</x:v>
      </x:c>
      <x:c r="L485" s="26" t="n">
        <x:v>1</x:v>
      </x:c>
      <x:c r="M485" s="26" t="n">
        <x:v>1</x:v>
      </x:c>
      <x:c r="N485" s="26" t="n">
        <x:v>0</x:v>
      </x:c>
      <x:c r="O485" s="26" t="n">
        <x:f>MAX(M485-N485,0)</x:f>
        <x:v>1</x:v>
      </x:c>
      <x:c r="P485" s="38" t="n">
        <x:f>IFERROR(N485/M485,0)</x:f>
        <x:v>0</x:v>
      </x:c>
      <x:c r="Q485" s="26" t="str">
        <x:v>Material/Assets/Equipment</x:v>
      </x:c>
      <x:c r="R485" s="26" t="str">
        <x:v>Electrical Infrastructure</x:v>
      </x:c>
      <x:c r="S485" s="26" t="str">
        <x:v>Medium</x:v>
      </x:c>
      <x:c r="T485" s="26"/>
      <x:c r="U485" s="26"/>
      <x:c r="V485" s="26"/>
      <x:c r="W485" s="32"/>
      <x:c r="X485" s="27" t="b">
        <x:v>1</x:v>
      </x:c>
      <x:c r="Y485" s="34" t="n">
        <x:v>46219.72287037037</x:v>
      </x:c>
      <x:c r="Z485" s="26"/>
      <x:c r="AA485" s="26" t="str">
        <x:v>Abbapur (36701020223)</x:v>
      </x:c>
      <x:c r="AB485" s="26" t="str">
        <x:v>Enriched from Mulugu project JSON</x:v>
      </x:c>
    </x:row>
    <x:row r="486">
      <x:c r="A486" s="26" t="n">
        <x:v>483</x:v>
      </x:c>
      <x:c r="B486" s="26" t="n">
        <x:v>191</x:v>
      </x:c>
      <x:c r="C486" s="26" t="str">
        <x:v>Mulugu</x:v>
      </x:c>
      <x:c r="D486" s="26" t="n">
        <x:v>7936</x:v>
      </x:c>
      <x:c r="E486" s="26" t="str">
        <x:v>PRJ-2026-0007936</x:v>
      </x:c>
      <x:c r="F486" s="26" t="str">
        <x:v>AWC ABBAPUR</x:v>
      </x:c>
      <x:c r="G486" s="26" t="n">
        <x:v>452</x:v>
      </x:c>
      <x:c r="H486" s="26" t="n">
        <x:v>29124</x:v>
      </x:c>
      <x:c r="I486" s="26" t="str">
        <x:v>Chairs</x:v>
      </x:c>
      <x:c r="J486" s="26" t="str">
        <x:v>Number</x:v>
      </x:c>
      <x:c r="K486" s="26" t="n">
        <x:v>3</x:v>
      </x:c>
      <x:c r="L486" s="26" t="n">
        <x:v>3</x:v>
      </x:c>
      <x:c r="M486" s="26" t="n">
        <x:v>3</x:v>
      </x:c>
      <x:c r="N486" s="26" t="n">
        <x:v>0</x:v>
      </x:c>
      <x:c r="O486" s="26" t="n">
        <x:f>MAX(M486-N486,0)</x:f>
        <x:v>3</x:v>
      </x:c>
      <x:c r="P486" s="38" t="n">
        <x:f>IFERROR(N486/M486,0)</x:f>
        <x:v>0</x:v>
      </x:c>
      <x:c r="Q486" s="26" t="str">
        <x:v>Material/Assets/Equipment</x:v>
      </x:c>
      <x:c r="R486" s="26" t="str">
        <x:v>Office Needs</x:v>
      </x:c>
      <x:c r="S486" s="26" t="str">
        <x:v>Minor</x:v>
      </x:c>
      <x:c r="T486" s="26"/>
      <x:c r="U486" s="26"/>
      <x:c r="V486" s="26"/>
      <x:c r="W486" s="32"/>
      <x:c r="X486" s="27" t="b">
        <x:v>1</x:v>
      </x:c>
      <x:c r="Y486" s="34" t="n">
        <x:v>46219.72287037037</x:v>
      </x:c>
      <x:c r="Z486" s="26"/>
      <x:c r="AA486" s="26" t="str">
        <x:v>Abbapur (36701020223)</x:v>
      </x:c>
      <x:c r="AB486" s="26" t="str">
        <x:v>Enriched from Mulugu project JSON</x:v>
      </x:c>
    </x:row>
    <x:row r="487">
      <x:c r="A487" s="26" t="n">
        <x:v>484</x:v>
      </x:c>
      <x:c r="B487" s="26" t="n">
        <x:v>190</x:v>
      </x:c>
      <x:c r="C487" s="26" t="str">
        <x:v>Mulugu</x:v>
      </x:c>
      <x:c r="D487" s="26" t="n">
        <x:v>19443</x:v>
      </x:c>
      <x:c r="E487" s="26" t="str">
        <x:v>PRJ-2026-0019443</x:v>
      </x:c>
      <x:c r="F487" s="26" t="str">
        <x:v>Jangalapally Sector 2</x:v>
      </x:c>
      <x:c r="G487" s="26" t="n">
        <x:v>438</x:v>
      </x:c>
      <x:c r="H487" s="26" t="n">
        <x:v>75089</x:v>
      </x:c>
      <x:c r="I487" s="26" t="str">
        <x:v>Toys</x:v>
      </x:c>
      <x:c r="J487" s="26" t="str">
        <x:v>Number</x:v>
      </x:c>
      <x:c r="K487" s="26" t="n">
        <x:v>50</x:v>
      </x:c>
      <x:c r="L487" s="26" t="n">
        <x:v>50</x:v>
      </x:c>
      <x:c r="M487" s="26" t="n">
        <x:v>50</x:v>
      </x:c>
      <x:c r="N487" s="26" t="n">
        <x:v>0</x:v>
      </x:c>
      <x:c r="O487" s="26" t="n">
        <x:f>MAX(M487-N487,0)</x:f>
        <x:v>50</x:v>
      </x:c>
      <x:c r="P487" s="38" t="n">
        <x:f>IFERROR(N487/M487,0)</x:f>
        <x:v>0</x:v>
      </x:c>
      <x:c r="Q487" s="26" t="str">
        <x:v>Material/Assets/Equipment</x:v>
      </x:c>
      <x:c r="R487" s="26" t="str">
        <x:v>ECCE Equipment</x:v>
      </x:c>
      <x:c r="S487" s="26" t="str">
        <x:v>Minor</x:v>
      </x:c>
      <x:c r="T487" s="26"/>
      <x:c r="U487" s="26"/>
      <x:c r="V487" s="26"/>
      <x:c r="W487" s="32"/>
      <x:c r="X487" s="27" t="b">
        <x:v>1</x:v>
      </x:c>
      <x:c r="Y487" s="34" t="n">
        <x:v>46219.71822916667</x:v>
      </x:c>
      <x:c r="Z487" s="26"/>
      <x:c r="AA487" s="26" t="str">
        <x:v>Incherla - II (36701020120); Jangalapalli - V (36701020114); Barigalonipalli (36701020123); Rainigudem - I (36701020106); Jangalapalli - IV (36701020115)</x:v>
      </x:c>
      <x:c r="AB487" s="26" t="str">
        <x:v>Enriched from Mulugu project JSON</x:v>
      </x:c>
    </x:row>
    <x:row r="488">
      <x:c r="A488" s="26" t="n">
        <x:v>485</x:v>
      </x:c>
      <x:c r="B488" s="26" t="n">
        <x:v>190</x:v>
      </x:c>
      <x:c r="C488" s="26" t="str">
        <x:v>Mulugu</x:v>
      </x:c>
      <x:c r="D488" s="26" t="n">
        <x:v>19443</x:v>
      </x:c>
      <x:c r="E488" s="26" t="str">
        <x:v>PRJ-2026-0019443</x:v>
      </x:c>
      <x:c r="F488" s="26" t="str">
        <x:v>Jangalapally Sector 2</x:v>
      </x:c>
      <x:c r="G488" s="26" t="n">
        <x:v>439</x:v>
      </x:c>
      <x:c r="H488" s="26" t="n">
        <x:v>75090</x:v>
      </x:c>
      <x:c r="I488" s="26" t="str">
        <x:v>Games</x:v>
      </x:c>
      <x:c r="J488" s="26" t="str">
        <x:v>Number</x:v>
      </x:c>
      <x:c r="K488" s="26" t="n">
        <x:v>50</x:v>
      </x:c>
      <x:c r="L488" s="26" t="n">
        <x:v>50</x:v>
      </x:c>
      <x:c r="M488" s="26" t="n">
        <x:v>50</x:v>
      </x:c>
      <x:c r="N488" s="26" t="n">
        <x:v>0</x:v>
      </x:c>
      <x:c r="O488" s="26" t="n">
        <x:f>MAX(M488-N488,0)</x:f>
        <x:v>50</x:v>
      </x:c>
      <x:c r="P488" s="38" t="n">
        <x:f>IFERROR(N488/M488,0)</x:f>
        <x:v>0</x:v>
      </x:c>
      <x:c r="Q488" s="26" t="str">
        <x:v>Material/Assets/Equipment</x:v>
      </x:c>
      <x:c r="R488" s="26" t="str">
        <x:v>ECCE Equipment</x:v>
      </x:c>
      <x:c r="S488" s="26" t="str">
        <x:v>Minor</x:v>
      </x:c>
      <x:c r="T488" s="26"/>
      <x:c r="U488" s="26"/>
      <x:c r="V488" s="26"/>
      <x:c r="W488" s="32"/>
      <x:c r="X488" s="27" t="b">
        <x:v>1</x:v>
      </x:c>
      <x:c r="Y488" s="34" t="n">
        <x:v>46219.71822916667</x:v>
      </x:c>
      <x:c r="Z488" s="26"/>
      <x:c r="AA488" s="26" t="str">
        <x:v>Incherla - II (36701020120); Jangalapalli - V (36701020114); Barigalonipalli (36701020123); Rainigudem - I (36701020106); Jangalapalli - IV (36701020115)</x:v>
      </x:c>
      <x:c r="AB488" s="26" t="str">
        <x:v>Enriched from Mulugu project JSON</x:v>
      </x:c>
    </x:row>
    <x:row r="489">
      <x:c r="A489" s="26" t="n">
        <x:v>486</x:v>
      </x:c>
      <x:c r="B489" s="26" t="n">
        <x:v>190</x:v>
      </x:c>
      <x:c r="C489" s="26" t="str">
        <x:v>Mulugu</x:v>
      </x:c>
      <x:c r="D489" s="26" t="n">
        <x:v>19443</x:v>
      </x:c>
      <x:c r="E489" s="26" t="str">
        <x:v>PRJ-2026-0019443</x:v>
      </x:c>
      <x:c r="F489" s="26" t="str">
        <x:v>Jangalapally Sector 2</x:v>
      </x:c>
      <x:c r="G489" s="26" t="n">
        <x:v>440</x:v>
      </x:c>
      <x:c r="H489" s="26" t="n">
        <x:v>75091</x:v>
      </x:c>
      <x:c r="I489" s="26" t="str">
        <x:v>Chairs/Benches</x:v>
      </x:c>
      <x:c r="J489" s="26" t="str">
        <x:v>Number</x:v>
      </x:c>
      <x:c r="K489" s="26" t="n">
        <x:v>50</x:v>
      </x:c>
      <x:c r="L489" s="26" t="n">
        <x:v>50</x:v>
      </x:c>
      <x:c r="M489" s="26" t="n">
        <x:v>50</x:v>
      </x:c>
      <x:c r="N489" s="26" t="n">
        <x:v>0</x:v>
      </x:c>
      <x:c r="O489" s="26" t="n">
        <x:f>MAX(M489-N489,0)</x:f>
        <x:v>50</x:v>
      </x:c>
      <x:c r="P489" s="38" t="n">
        <x:f>IFERROR(N489/M489,0)</x:f>
        <x:v>0</x:v>
      </x:c>
      <x:c r="Q489" s="26" t="str">
        <x:v>Material/Assets/Equipment</x:v>
      </x:c>
      <x:c r="R489" s="26" t="str">
        <x:v>Educational Needs</x:v>
      </x:c>
      <x:c r="S489" s="26" t="str">
        <x:v>Minor</x:v>
      </x:c>
      <x:c r="T489" s="26"/>
      <x:c r="U489" s="26"/>
      <x:c r="V489" s="26"/>
      <x:c r="W489" s="32"/>
      <x:c r="X489" s="27" t="b">
        <x:v>1</x:v>
      </x:c>
      <x:c r="Y489" s="34" t="n">
        <x:v>46219.71822916667</x:v>
      </x:c>
      <x:c r="Z489" s="26"/>
      <x:c r="AA489" s="26" t="str">
        <x:v>Incherla - II (36701020120); Jangalapalli - V (36701020114); Barigalonipalli (36701020123); Rainigudem - I (36701020106); Jangalapalli - IV (36701020115)</x:v>
      </x:c>
      <x:c r="AB489" s="26" t="str">
        <x:v>Enriched from Mulugu project JSON</x:v>
      </x:c>
    </x:row>
    <x:row r="490">
      <x:c r="A490" s="26" t="n">
        <x:v>487</x:v>
      </x:c>
      <x:c r="B490" s="26" t="n">
        <x:v>190</x:v>
      </x:c>
      <x:c r="C490" s="26" t="str">
        <x:v>Mulugu</x:v>
      </x:c>
      <x:c r="D490" s="26" t="n">
        <x:v>19443</x:v>
      </x:c>
      <x:c r="E490" s="26" t="str">
        <x:v>PRJ-2026-0019443</x:v>
      </x:c>
      <x:c r="F490" s="26" t="str">
        <x:v>Jangalapally Sector 2</x:v>
      </x:c>
      <x:c r="G490" s="26" t="n">
        <x:v>441</x:v>
      </x:c>
      <x:c r="H490" s="26" t="n">
        <x:v>75092</x:v>
      </x:c>
      <x:c r="I490" s="26" t="str">
        <x:v>Water Purifier</x:v>
      </x:c>
      <x:c r="J490" s="26" t="str">
        <x:v>Number</x:v>
      </x:c>
      <x:c r="K490" s="26" t="n">
        <x:v>5</x:v>
      </x:c>
      <x:c r="L490" s="26" t="n">
        <x:v>5</x:v>
      </x:c>
      <x:c r="M490" s="26" t="n">
        <x:v>5</x:v>
      </x:c>
      <x:c r="N490" s="26" t="n">
        <x:v>0</x:v>
      </x:c>
      <x:c r="O490" s="26" t="n">
        <x:f>MAX(M490-N490,0)</x:f>
        <x:v>5</x:v>
      </x:c>
      <x:c r="P490" s="38" t="n">
        <x:f>IFERROR(N490/M490,0)</x:f>
        <x:v>0</x:v>
      </x:c>
      <x:c r="Q490" s="26" t="str">
        <x:v>Material/Assets/Equipment</x:v>
      </x:c>
      <x:c r="R490" s="26" t="str">
        <x:v>Health and Safety aids</x:v>
      </x:c>
      <x:c r="S490" s="26" t="str">
        <x:v>Minor</x:v>
      </x:c>
      <x:c r="T490" s="26"/>
      <x:c r="U490" s="26"/>
      <x:c r="V490" s="26"/>
      <x:c r="W490" s="32"/>
      <x:c r="X490" s="27" t="b">
        <x:v>1</x:v>
      </x:c>
      <x:c r="Y490" s="34" t="n">
        <x:v>46219.71822916667</x:v>
      </x:c>
      <x:c r="Z490" s="26"/>
      <x:c r="AA490" s="26" t="str">
        <x:v>Incherla - II (36701020120); Jangalapalli - V (36701020114); Barigalonipalli (36701020123); Rainigudem - I (36701020106); Jangalapalli - IV (36701020115)</x:v>
      </x:c>
      <x:c r="AB490" s="26" t="str">
        <x:v>Enriched from Mulugu project JSON</x:v>
      </x:c>
    </x:row>
    <x:row r="491">
      <x:c r="A491" s="26" t="n">
        <x:v>488</x:v>
      </x:c>
      <x:c r="B491" s="26" t="n">
        <x:v>190</x:v>
      </x:c>
      <x:c r="C491" s="26" t="str">
        <x:v>Mulugu</x:v>
      </x:c>
      <x:c r="D491" s="26" t="n">
        <x:v>19443</x:v>
      </x:c>
      <x:c r="E491" s="26" t="str">
        <x:v>PRJ-2026-0019443</x:v>
      </x:c>
      <x:c r="F491" s="26" t="str">
        <x:v>Jangalapally Sector 2</x:v>
      </x:c>
      <x:c r="G491" s="26" t="n">
        <x:v>442</x:v>
      </x:c>
      <x:c r="H491" s="26" t="n">
        <x:v>75093</x:v>
      </x:c>
      <x:c r="I491" s="26" t="str">
        <x:v>Tube Lights</x:v>
      </x:c>
      <x:c r="J491" s="26" t="str">
        <x:v>Number</x:v>
      </x:c>
      <x:c r="K491" s="26" t="n">
        <x:v>10</x:v>
      </x:c>
      <x:c r="L491" s="26" t="n">
        <x:v>10</x:v>
      </x:c>
      <x:c r="M491" s="26" t="n">
        <x:v>10</x:v>
      </x:c>
      <x:c r="N491" s="26" t="n">
        <x:v>0</x:v>
      </x:c>
      <x:c r="O491" s="26" t="n">
        <x:f>MAX(M491-N491,0)</x:f>
        <x:v>10</x:v>
      </x:c>
      <x:c r="P491" s="38" t="n">
        <x:f>IFERROR(N491/M491,0)</x:f>
        <x:v>0</x:v>
      </x:c>
      <x:c r="Q491" s="26" t="str">
        <x:v>Material/Assets/Equipment</x:v>
      </x:c>
      <x:c r="R491" s="26" t="str">
        <x:v>Electrical Infrastructure</x:v>
      </x:c>
      <x:c r="S491" s="26" t="str">
        <x:v>Medium</x:v>
      </x:c>
      <x:c r="T491" s="26"/>
      <x:c r="U491" s="26"/>
      <x:c r="V491" s="26"/>
      <x:c r="W491" s="32"/>
      <x:c r="X491" s="27" t="b">
        <x:v>1</x:v>
      </x:c>
      <x:c r="Y491" s="34" t="n">
        <x:v>46219.71822916667</x:v>
      </x:c>
      <x:c r="Z491" s="26"/>
      <x:c r="AA491" s="26" t="str">
        <x:v>Incherla - II (36701020120); Jangalapalli - V (36701020114); Barigalonipalli (36701020123); Rainigudem - I (36701020106); Jangalapalli - IV (36701020115)</x:v>
      </x:c>
      <x:c r="AB491" s="26" t="str">
        <x:v>Enriched from Mulugu project JSON</x:v>
      </x:c>
    </x:row>
    <x:row r="492">
      <x:c r="A492" s="26" t="n">
        <x:v>489</x:v>
      </x:c>
      <x:c r="B492" s="26" t="n">
        <x:v>190</x:v>
      </x:c>
      <x:c r="C492" s="26" t="str">
        <x:v>Mulugu</x:v>
      </x:c>
      <x:c r="D492" s="26" t="n">
        <x:v>19443</x:v>
      </x:c>
      <x:c r="E492" s="26" t="str">
        <x:v>PRJ-2026-0019443</x:v>
      </x:c>
      <x:c r="F492" s="26" t="str">
        <x:v>Jangalapally Sector 2</x:v>
      </x:c>
      <x:c r="G492" s="26" t="n">
        <x:v>443</x:v>
      </x:c>
      <x:c r="H492" s="26" t="n">
        <x:v>75094</x:v>
      </x:c>
      <x:c r="I492" s="26" t="str">
        <x:v>Solar Panel</x:v>
      </x:c>
      <x:c r="J492" s="26" t="str">
        <x:v>Number</x:v>
      </x:c>
      <x:c r="K492" s="26" t="n">
        <x:v>5</x:v>
      </x:c>
      <x:c r="L492" s="26" t="n">
        <x:v>5</x:v>
      </x:c>
      <x:c r="M492" s="26" t="n">
        <x:v>5</x:v>
      </x:c>
      <x:c r="N492" s="26" t="n">
        <x:v>0</x:v>
      </x:c>
      <x:c r="O492" s="26" t="n">
        <x:f>MAX(M492-N492,0)</x:f>
        <x:v>5</x:v>
      </x:c>
      <x:c r="P492" s="38" t="n">
        <x:f>IFERROR(N492/M492,0)</x:f>
        <x:v>0</x:v>
      </x:c>
      <x:c r="Q492" s="26" t="str">
        <x:v>Material/Assets/Equipment</x:v>
      </x:c>
      <x:c r="R492" s="26" t="str">
        <x:v>Electrical Infrastructure</x:v>
      </x:c>
      <x:c r="S492" s="26" t="str">
        <x:v>Medium</x:v>
      </x:c>
      <x:c r="T492" s="26"/>
      <x:c r="U492" s="26"/>
      <x:c r="V492" s="26"/>
      <x:c r="W492" s="32"/>
      <x:c r="X492" s="27" t="b">
        <x:v>1</x:v>
      </x:c>
      <x:c r="Y492" s="34" t="n">
        <x:v>46219.71822916667</x:v>
      </x:c>
      <x:c r="Z492" s="26"/>
      <x:c r="AA492" s="26" t="str">
        <x:v>Incherla - II (36701020120); Jangalapalli - V (36701020114); Barigalonipalli (36701020123); Rainigudem - I (36701020106); Jangalapalli - IV (36701020115)</x:v>
      </x:c>
      <x:c r="AB492" s="26" t="str">
        <x:v>Enriched from Mulugu project JSON</x:v>
      </x:c>
    </x:row>
    <x:row r="493">
      <x:c r="A493" s="26" t="n">
        <x:v>490</x:v>
      </x:c>
      <x:c r="B493" s="26" t="n">
        <x:v>190</x:v>
      </x:c>
      <x:c r="C493" s="26" t="str">
        <x:v>Mulugu</x:v>
      </x:c>
      <x:c r="D493" s="26" t="n">
        <x:v>19443</x:v>
      </x:c>
      <x:c r="E493" s="26" t="str">
        <x:v>PRJ-2026-0019443</x:v>
      </x:c>
      <x:c r="F493" s="26" t="str">
        <x:v>Jangalapally Sector 2</x:v>
      </x:c>
      <x:c r="G493" s="26" t="n">
        <x:v>444</x:v>
      </x:c>
      <x:c r="H493" s="26" t="n">
        <x:v>75095</x:v>
      </x:c>
      <x:c r="I493" s="26" t="str">
        <x:v>Chairs</x:v>
      </x:c>
      <x:c r="J493" s="26" t="str">
        <x:v>Number</x:v>
      </x:c>
      <x:c r="K493" s="26" t="n">
        <x:v>5</x:v>
      </x:c>
      <x:c r="L493" s="26" t="n">
        <x:v>5</x:v>
      </x:c>
      <x:c r="M493" s="26" t="n">
        <x:v>5</x:v>
      </x:c>
      <x:c r="N493" s="26" t="n">
        <x:v>0</x:v>
      </x:c>
      <x:c r="O493" s="26" t="n">
        <x:f>MAX(M493-N493,0)</x:f>
        <x:v>5</x:v>
      </x:c>
      <x:c r="P493" s="38" t="n">
        <x:f>IFERROR(N493/M493,0)</x:f>
        <x:v>0</x:v>
      </x:c>
      <x:c r="Q493" s="26" t="str">
        <x:v>Material/Assets/Equipment</x:v>
      </x:c>
      <x:c r="R493" s="26" t="str">
        <x:v>Office Needs</x:v>
      </x:c>
      <x:c r="S493" s="26" t="str">
        <x:v>Minor</x:v>
      </x:c>
      <x:c r="T493" s="26"/>
      <x:c r="U493" s="26"/>
      <x:c r="V493" s="26"/>
      <x:c r="W493" s="32"/>
      <x:c r="X493" s="27" t="b">
        <x:v>1</x:v>
      </x:c>
      <x:c r="Y493" s="34" t="n">
        <x:v>46219.71822916667</x:v>
      </x:c>
      <x:c r="Z493" s="26"/>
      <x:c r="AA493" s="26" t="str">
        <x:v>Incherla - II (36701020120); Jangalapalli - V (36701020114); Barigalonipalli (36701020123); Rainigudem - I (36701020106); Jangalapalli - IV (36701020115)</x:v>
      </x:c>
      <x:c r="AB493" s="26" t="str">
        <x:v>Enriched from Mulugu project JSON</x:v>
      </x:c>
    </x:row>
    <x:row r="494">
      <x:c r="A494" s="26" t="n">
        <x:v>491</x:v>
      </x:c>
      <x:c r="B494" s="26" t="n">
        <x:v>189</x:v>
      </x:c>
      <x:c r="C494" s="26" t="str">
        <x:v>Kumuram Bheem Asifabad</x:v>
      </x:c>
      <x:c r="D494" s="26" t="n">
        <x:v>11243</x:v>
      </x:c>
      <x:c r="E494" s="26" t="str">
        <x:v>PRJ-2026-0011243</x:v>
      </x:c>
      <x:c r="F494" s="26" t="str">
        <x:v>Water filter, solar pyanal </x:v>
      </x:c>
      <x:c r="G494" s="26" t="n">
        <x:v>432</x:v>
      </x:c>
      <x:c r="H494" s="26" t="n">
        <x:v>43346</x:v>
      </x:c>
      <x:c r="I494" s="26"/>
      <x:c r="J494" s="26"/>
      <x:c r="K494" s="26"/>
      <x:c r="L494" s="26" t="n">
        <x:v>1</x:v>
      </x:c>
      <x:c r="M494" s="26" t="n">
        <x:v>1</x:v>
      </x:c>
      <x:c r="N494" s="26" t="n">
        <x:v>0</x:v>
      </x:c>
      <x:c r="O494" s="26" t="n">
        <x:f>MAX(M494-N494,0)</x:f>
        <x:v>1</x:v>
      </x:c>
      <x:c r="P494" s="38" t="n">
        <x:f>IFERROR(N494/M494,0)</x:f>
        <x:v>0</x:v>
      </x:c>
      <x:c r="Q494" s="26"/>
      <x:c r="R494" s="26"/>
      <x:c r="S494" s="26" t="str">
        <x:v>Pending Mapping</x:v>
      </x:c>
      <x:c r="T494" s="26"/>
      <x:c r="U494" s="26"/>
      <x:c r="V494" s="26"/>
      <x:c r="W494" s="32"/>
      <x:c r="X494" s="27" t="b">
        <x:v>1</x:v>
      </x:c>
      <x:c r="Y494" s="34" t="n">
        <x:v>46219.71761574074</x:v>
      </x:c>
      <x:c r="Z494" s="26"/>
      <x:c r="AA494" s="26" t="str"/>
      <x:c r="AB494" s="26" t="str">
        <x:v>Activity name/category not included in contribution response</x:v>
      </x:c>
    </x:row>
    <x:row r="495">
      <x:c r="A495" s="26" t="n">
        <x:v>492</x:v>
      </x:c>
      <x:c r="B495" s="26" t="n">
        <x:v>189</x:v>
      </x:c>
      <x:c r="C495" s="26" t="str">
        <x:v>Kumuram Bheem Asifabad</x:v>
      </x:c>
      <x:c r="D495" s="26" t="n">
        <x:v>11243</x:v>
      </x:c>
      <x:c r="E495" s="26" t="str">
        <x:v>PRJ-2026-0011243</x:v>
      </x:c>
      <x:c r="F495" s="26" t="str">
        <x:v>Water filter, solar pyanal </x:v>
      </x:c>
      <x:c r="G495" s="26" t="n">
        <x:v>433</x:v>
      </x:c>
      <x:c r="H495" s="26" t="n">
        <x:v>43347</x:v>
      </x:c>
      <x:c r="I495" s="26"/>
      <x:c r="J495" s="26"/>
      <x:c r="K495" s="26"/>
      <x:c r="L495" s="26" t="n">
        <x:v>1</x:v>
      </x:c>
      <x:c r="M495" s="26" t="n">
        <x:v>1</x:v>
      </x:c>
      <x:c r="N495" s="26" t="n">
        <x:v>0</x:v>
      </x:c>
      <x:c r="O495" s="26" t="n">
        <x:f>MAX(M495-N495,0)</x:f>
        <x:v>1</x:v>
      </x:c>
      <x:c r="P495" s="38" t="n">
        <x:f>IFERROR(N495/M495,0)</x:f>
        <x:v>0</x:v>
      </x:c>
      <x:c r="Q495" s="26"/>
      <x:c r="R495" s="26"/>
      <x:c r="S495" s="26" t="str">
        <x:v>Pending Mapping</x:v>
      </x:c>
      <x:c r="T495" s="26"/>
      <x:c r="U495" s="26"/>
      <x:c r="V495" s="26"/>
      <x:c r="W495" s="32"/>
      <x:c r="X495" s="27" t="b">
        <x:v>1</x:v>
      </x:c>
      <x:c r="Y495" s="34" t="n">
        <x:v>46219.71761574074</x:v>
      </x:c>
      <x:c r="Z495" s="26"/>
      <x:c r="AA495" s="26" t="str"/>
      <x:c r="AB495" s="26" t="str">
        <x:v>Activity name/category not included in contribution response</x:v>
      </x:c>
    </x:row>
    <x:row r="496">
      <x:c r="A496" s="26" t="n">
        <x:v>493</x:v>
      </x:c>
      <x:c r="B496" s="26" t="n">
        <x:v>189</x:v>
      </x:c>
      <x:c r="C496" s="26" t="str">
        <x:v>Kumuram Bheem Asifabad</x:v>
      </x:c>
      <x:c r="D496" s="26" t="n">
        <x:v>11243</x:v>
      </x:c>
      <x:c r="E496" s="26" t="str">
        <x:v>PRJ-2026-0011243</x:v>
      </x:c>
      <x:c r="F496" s="26" t="str">
        <x:v>Water filter, solar pyanal </x:v>
      </x:c>
      <x:c r="G496" s="26" t="n">
        <x:v>434</x:v>
      </x:c>
      <x:c r="H496" s="26" t="n">
        <x:v>43348</x:v>
      </x:c>
      <x:c r="I496" s="26"/>
      <x:c r="J496" s="26"/>
      <x:c r="K496" s="26"/>
      <x:c r="L496" s="26" t="n">
        <x:v>1</x:v>
      </x:c>
      <x:c r="M496" s="26" t="n">
        <x:v>1</x:v>
      </x:c>
      <x:c r="N496" s="26" t="n">
        <x:v>0</x:v>
      </x:c>
      <x:c r="O496" s="26" t="n">
        <x:f>MAX(M496-N496,0)</x:f>
        <x:v>1</x:v>
      </x:c>
      <x:c r="P496" s="38" t="n">
        <x:f>IFERROR(N496/M496,0)</x:f>
        <x:v>0</x:v>
      </x:c>
      <x:c r="Q496" s="26"/>
      <x:c r="R496" s="26"/>
      <x:c r="S496" s="26" t="str">
        <x:v>Pending Mapping</x:v>
      </x:c>
      <x:c r="T496" s="26"/>
      <x:c r="U496" s="26"/>
      <x:c r="V496" s="26"/>
      <x:c r="W496" s="32"/>
      <x:c r="X496" s="27" t="b">
        <x:v>1</x:v>
      </x:c>
      <x:c r="Y496" s="34" t="n">
        <x:v>46219.71761574074</x:v>
      </x:c>
      <x:c r="Z496" s="26"/>
      <x:c r="AA496" s="26" t="str"/>
      <x:c r="AB496" s="26" t="str">
        <x:v>Activity name/category not included in contribution response</x:v>
      </x:c>
    </x:row>
    <x:row r="497">
      <x:c r="A497" s="26" t="n">
        <x:v>494</x:v>
      </x:c>
      <x:c r="B497" s="26" t="n">
        <x:v>189</x:v>
      </x:c>
      <x:c r="C497" s="26" t="str">
        <x:v>Kumuram Bheem Asifabad</x:v>
      </x:c>
      <x:c r="D497" s="26" t="n">
        <x:v>11243</x:v>
      </x:c>
      <x:c r="E497" s="26" t="str">
        <x:v>PRJ-2026-0011243</x:v>
      </x:c>
      <x:c r="F497" s="26" t="str">
        <x:v>Water filter, solar pyanal </x:v>
      </x:c>
      <x:c r="G497" s="26" t="n">
        <x:v>435</x:v>
      </x:c>
      <x:c r="H497" s="26" t="n">
        <x:v>43349</x:v>
      </x:c>
      <x:c r="I497" s="26"/>
      <x:c r="J497" s="26"/>
      <x:c r="K497" s="26"/>
      <x:c r="L497" s="26" t="n">
        <x:v>1</x:v>
      </x:c>
      <x:c r="M497" s="26" t="n">
        <x:v>1</x:v>
      </x:c>
      <x:c r="N497" s="26" t="n">
        <x:v>0</x:v>
      </x:c>
      <x:c r="O497" s="26" t="n">
        <x:f>MAX(M497-N497,0)</x:f>
        <x:v>1</x:v>
      </x:c>
      <x:c r="P497" s="38" t="n">
        <x:f>IFERROR(N497/M497,0)</x:f>
        <x:v>0</x:v>
      </x:c>
      <x:c r="Q497" s="26"/>
      <x:c r="R497" s="26"/>
      <x:c r="S497" s="26" t="str">
        <x:v>Pending Mapping</x:v>
      </x:c>
      <x:c r="T497" s="26"/>
      <x:c r="U497" s="26"/>
      <x:c r="V497" s="26"/>
      <x:c r="W497" s="32"/>
      <x:c r="X497" s="27" t="b">
        <x:v>1</x:v>
      </x:c>
      <x:c r="Y497" s="34" t="n">
        <x:v>46219.71761574074</x:v>
      </x:c>
      <x:c r="Z497" s="26"/>
      <x:c r="AA497" s="26" t="str"/>
      <x:c r="AB497" s="26" t="str">
        <x:v>Activity name/category not included in contribution response</x:v>
      </x:c>
    </x:row>
    <x:row r="498">
      <x:c r="A498" s="26" t="n">
        <x:v>495</x:v>
      </x:c>
      <x:c r="B498" s="26" t="n">
        <x:v>189</x:v>
      </x:c>
      <x:c r="C498" s="26" t="str">
        <x:v>Kumuram Bheem Asifabad</x:v>
      </x:c>
      <x:c r="D498" s="26" t="n">
        <x:v>11243</x:v>
      </x:c>
      <x:c r="E498" s="26" t="str">
        <x:v>PRJ-2026-0011243</x:v>
      </x:c>
      <x:c r="F498" s="26" t="str">
        <x:v>Water filter, solar pyanal </x:v>
      </x:c>
      <x:c r="G498" s="26" t="n">
        <x:v>436</x:v>
      </x:c>
      <x:c r="H498" s="26" t="n">
        <x:v>43350</x:v>
      </x:c>
      <x:c r="I498" s="26"/>
      <x:c r="J498" s="26"/>
      <x:c r="K498" s="26"/>
      <x:c r="L498" s="26" t="n">
        <x:v>4</x:v>
      </x:c>
      <x:c r="M498" s="26" t="n">
        <x:v>4</x:v>
      </x:c>
      <x:c r="N498" s="26" t="n">
        <x:v>0</x:v>
      </x:c>
      <x:c r="O498" s="26" t="n">
        <x:f>MAX(M498-N498,0)</x:f>
        <x:v>4</x:v>
      </x:c>
      <x:c r="P498" s="38" t="n">
        <x:f>IFERROR(N498/M498,0)</x:f>
        <x:v>0</x:v>
      </x:c>
      <x:c r="Q498" s="26"/>
      <x:c r="R498" s="26"/>
      <x:c r="S498" s="26" t="str">
        <x:v>Pending Mapping</x:v>
      </x:c>
      <x:c r="T498" s="26"/>
      <x:c r="U498" s="26"/>
      <x:c r="V498" s="26"/>
      <x:c r="W498" s="32"/>
      <x:c r="X498" s="27" t="b">
        <x:v>1</x:v>
      </x:c>
      <x:c r="Y498" s="34" t="n">
        <x:v>46219.71761574074</x:v>
      </x:c>
      <x:c r="Z498" s="26"/>
      <x:c r="AA498" s="26" t="str"/>
      <x:c r="AB498" s="26" t="str">
        <x:v>Activity name/category not included in contribution response</x:v>
      </x:c>
    </x:row>
    <x:row r="499">
      <x:c r="A499" s="26" t="n">
        <x:v>496</x:v>
      </x:c>
      <x:c r="B499" s="26" t="n">
        <x:v>189</x:v>
      </x:c>
      <x:c r="C499" s="26" t="str">
        <x:v>Kumuram Bheem Asifabad</x:v>
      </x:c>
      <x:c r="D499" s="26" t="n">
        <x:v>11243</x:v>
      </x:c>
      <x:c r="E499" s="26" t="str">
        <x:v>PRJ-2026-0011243</x:v>
      </x:c>
      <x:c r="F499" s="26" t="str">
        <x:v>Water filter, solar pyanal </x:v>
      </x:c>
      <x:c r="G499" s="26" t="n">
        <x:v>437</x:v>
      </x:c>
      <x:c r="H499" s="26" t="n">
        <x:v>43351</x:v>
      </x:c>
      <x:c r="I499" s="26"/>
      <x:c r="J499" s="26"/>
      <x:c r="K499" s="26"/>
      <x:c r="L499" s="26" t="n">
        <x:v>1</x:v>
      </x:c>
      <x:c r="M499" s="26" t="n">
        <x:v>1</x:v>
      </x:c>
      <x:c r="N499" s="26" t="n">
        <x:v>0</x:v>
      </x:c>
      <x:c r="O499" s="26" t="n">
        <x:f>MAX(M499-N499,0)</x:f>
        <x:v>1</x:v>
      </x:c>
      <x:c r="P499" s="38" t="n">
        <x:f>IFERROR(N499/M499,0)</x:f>
        <x:v>0</x:v>
      </x:c>
      <x:c r="Q499" s="26"/>
      <x:c r="R499" s="26"/>
      <x:c r="S499" s="26" t="str">
        <x:v>Pending Mapping</x:v>
      </x:c>
      <x:c r="T499" s="26"/>
      <x:c r="U499" s="26"/>
      <x:c r="V499" s="26"/>
      <x:c r="W499" s="32"/>
      <x:c r="X499" s="27" t="b">
        <x:v>1</x:v>
      </x:c>
      <x:c r="Y499" s="34" t="n">
        <x:v>46219.71761574074</x:v>
      </x:c>
      <x:c r="Z499" s="26"/>
      <x:c r="AA499" s="26" t="str"/>
      <x:c r="AB499" s="26" t="str">
        <x:v>Activity name/category not included in contribution response</x:v>
      </x:c>
    </x:row>
    <x:row r="500">
      <x:c r="A500" s="26" t="n">
        <x:v>497</x:v>
      </x:c>
      <x:c r="B500" s="26" t="n">
        <x:v>173</x:v>
      </x:c>
      <x:c r="C500" s="26" t="str">
        <x:v>Kumuram Bheem Asifabad</x:v>
      </x:c>
      <x:c r="D500" s="26" t="n">
        <x:v>7329</x:v>
      </x:c>
      <x:c r="E500" s="26" t="str">
        <x:v>PRJ-2026-0007329</x:v>
      </x:c>
      <x:c r="F500" s="26" t="str">
        <x:v>Water filter</x:v>
      </x:c>
      <x:c r="G500" s="26" t="n">
        <x:v>373</x:v>
      </x:c>
      <x:c r="H500" s="26" t="n">
        <x:v>26627</x:v>
      </x:c>
      <x:c r="I500" s="26"/>
      <x:c r="J500" s="26"/>
      <x:c r="K500" s="26"/>
      <x:c r="L500" s="26" t="n">
        <x:v>1</x:v>
      </x:c>
      <x:c r="M500" s="26" t="n">
        <x:v>1</x:v>
      </x:c>
      <x:c r="N500" s="26" t="n">
        <x:v>0</x:v>
      </x:c>
      <x:c r="O500" s="26" t="n">
        <x:f>MAX(M500-N500,0)</x:f>
        <x:v>1</x:v>
      </x:c>
      <x:c r="P500" s="38" t="n">
        <x:f>IFERROR(N500/M500,0)</x:f>
        <x:v>0</x:v>
      </x:c>
      <x:c r="Q500" s="26"/>
      <x:c r="R500" s="26"/>
      <x:c r="S500" s="26" t="str">
        <x:v>Pending Mapping</x:v>
      </x:c>
      <x:c r="T500" s="26"/>
      <x:c r="U500" s="26"/>
      <x:c r="V500" s="26"/>
      <x:c r="W500" s="32"/>
      <x:c r="X500" s="27" t="b">
        <x:v>1</x:v>
      </x:c>
      <x:c r="Y500" s="34" t="n">
        <x:v>46219.438935185186</x:v>
      </x:c>
      <x:c r="Z500" s="26"/>
      <x:c r="AA500" s="26" t="str"/>
      <x:c r="AB500" s="26" t="str">
        <x:v>Activity name/category not included in contribution response</x:v>
      </x:c>
    </x:row>
    <x:row r="501">
      <x:c r="A501" s="26" t="n">
        <x:v>498</x:v>
      </x:c>
      <x:c r="B501" s="26" t="n">
        <x:v>184</x:v>
      </x:c>
      <x:c r="C501" s="26" t="str">
        <x:v>Kumuram Bheem Asifabad</x:v>
      </x:c>
      <x:c r="D501" s="26" t="n">
        <x:v>10044</x:v>
      </x:c>
      <x:c r="E501" s="26" t="str">
        <x:v>PRJ-2026-0010044</x:v>
      </x:c>
      <x:c r="F501" s="26" t="str">
        <x:v>Water filter </x:v>
      </x:c>
      <x:c r="G501" s="26" t="n">
        <x:v>421</x:v>
      </x:c>
      <x:c r="H501" s="26" t="n">
        <x:v>38232</x:v>
      </x:c>
      <x:c r="I501" s="26"/>
      <x:c r="J501" s="26"/>
      <x:c r="K501" s="26"/>
      <x:c r="L501" s="26" t="n">
        <x:v>1</x:v>
      </x:c>
      <x:c r="M501" s="26" t="n">
        <x:v>1</x:v>
      </x:c>
      <x:c r="N501" s="26" t="n">
        <x:v>0</x:v>
      </x:c>
      <x:c r="O501" s="26" t="n">
        <x:f>MAX(M501-N501,0)</x:f>
        <x:v>1</x:v>
      </x:c>
      <x:c r="P501" s="38" t="n">
        <x:f>IFERROR(N501/M501,0)</x:f>
        <x:v>0</x:v>
      </x:c>
      <x:c r="Q501" s="26"/>
      <x:c r="R501" s="26"/>
      <x:c r="S501" s="26" t="str">
        <x:v>Pending Mapping</x:v>
      </x:c>
      <x:c r="T501" s="26"/>
      <x:c r="U501" s="26"/>
      <x:c r="V501" s="26"/>
      <x:c r="W501" s="32"/>
      <x:c r="X501" s="27" t="b">
        <x:v>1</x:v>
      </x:c>
      <x:c r="Y501" s="34" t="n">
        <x:v>46219.438935185186</x:v>
      </x:c>
      <x:c r="Z501" s="26"/>
      <x:c r="AA501" s="26" t="str"/>
      <x:c r="AB501" s="26" t="str">
        <x:v>Activity name/category not included in contribution response</x:v>
      </x:c>
    </x:row>
    <x:row r="502">
      <x:c r="A502" s="26" t="n">
        <x:v>499</x:v>
      </x:c>
      <x:c r="B502" s="26" t="n">
        <x:v>185</x:v>
      </x:c>
      <x:c r="C502" s="26" t="str">
        <x:v>Kumuram Bheem Asifabad</x:v>
      </x:c>
      <x:c r="D502" s="26" t="n">
        <x:v>10183</x:v>
      </x:c>
      <x:c r="E502" s="26" t="str">
        <x:v>PRJ-2026-0010183</x:v>
      </x:c>
      <x:c r="F502" s="26" t="str">
        <x:v>Water filter </x:v>
      </x:c>
      <x:c r="G502" s="26" t="n">
        <x:v>422</x:v>
      </x:c>
      <x:c r="H502" s="26" t="n">
        <x:v>38805</x:v>
      </x:c>
      <x:c r="I502" s="26"/>
      <x:c r="J502" s="26"/>
      <x:c r="K502" s="26"/>
      <x:c r="L502" s="26" t="n">
        <x:v>1</x:v>
      </x:c>
      <x:c r="M502" s="26" t="n">
        <x:v>1</x:v>
      </x:c>
      <x:c r="N502" s="26" t="n">
        <x:v>0</x:v>
      </x:c>
      <x:c r="O502" s="26" t="n">
        <x:f>MAX(M502-N502,0)</x:f>
        <x:v>1</x:v>
      </x:c>
      <x:c r="P502" s="38" t="n">
        <x:f>IFERROR(N502/M502,0)</x:f>
        <x:v>0</x:v>
      </x:c>
      <x:c r="Q502" s="26"/>
      <x:c r="R502" s="26"/>
      <x:c r="S502" s="26" t="str">
        <x:v>Pending Mapping</x:v>
      </x:c>
      <x:c r="T502" s="26"/>
      <x:c r="U502" s="26"/>
      <x:c r="V502" s="26"/>
      <x:c r="W502" s="32"/>
      <x:c r="X502" s="27" t="b">
        <x:v>1</x:v>
      </x:c>
      <x:c r="Y502" s="34" t="n">
        <x:v>46219.43892361111</x:v>
      </x:c>
      <x:c r="Z502" s="26"/>
      <x:c r="AA502" s="26" t="str"/>
      <x:c r="AB502" s="26" t="str">
        <x:v>Activity name/category not included in contribution response</x:v>
      </x:c>
    </x:row>
    <x:row r="503">
      <x:c r="A503" s="26" t="n">
        <x:v>500</x:v>
      </x:c>
      <x:c r="B503" s="26" t="n">
        <x:v>186</x:v>
      </x:c>
      <x:c r="C503" s="26" t="str">
        <x:v>Kumuram Bheem Asifabad</x:v>
      </x:c>
      <x:c r="D503" s="26" t="n">
        <x:v>10282</x:v>
      </x:c>
      <x:c r="E503" s="26" t="str">
        <x:v>PRJ-2026-0010282</x:v>
      </x:c>
      <x:c r="F503" s="26" t="str">
        <x:v>Water filter, gas stove, ECCE metirial </x:v>
      </x:c>
      <x:c r="G503" s="26" t="n">
        <x:v>423</x:v>
      </x:c>
      <x:c r="H503" s="26" t="n">
        <x:v>39203</x:v>
      </x:c>
      <x:c r="I503" s="26"/>
      <x:c r="J503" s="26"/>
      <x:c r="K503" s="26"/>
      <x:c r="L503" s="26" t="n">
        <x:v>1</x:v>
      </x:c>
      <x:c r="M503" s="26" t="n">
        <x:v>1</x:v>
      </x:c>
      <x:c r="N503" s="26" t="n">
        <x:v>0</x:v>
      </x:c>
      <x:c r="O503" s="26" t="n">
        <x:f>MAX(M503-N503,0)</x:f>
        <x:v>1</x:v>
      </x:c>
      <x:c r="P503" s="38" t="n">
        <x:f>IFERROR(N503/M503,0)</x:f>
        <x:v>0</x:v>
      </x:c>
      <x:c r="Q503" s="26"/>
      <x:c r="R503" s="26"/>
      <x:c r="S503" s="26" t="str">
        <x:v>Pending Mapping</x:v>
      </x:c>
      <x:c r="T503" s="26"/>
      <x:c r="U503" s="26"/>
      <x:c r="V503" s="26"/>
      <x:c r="W503" s="32"/>
      <x:c r="X503" s="27" t="b">
        <x:v>1</x:v>
      </x:c>
      <x:c r="Y503" s="34" t="n">
        <x:v>46219.43891203704</x:v>
      </x:c>
      <x:c r="Z503" s="26"/>
      <x:c r="AA503" s="26" t="str"/>
      <x:c r="AB503" s="26" t="str">
        <x:v>Activity name/category not included in contribution response</x:v>
      </x:c>
    </x:row>
    <x:row r="504">
      <x:c r="A504" s="26" t="n">
        <x:v>501</x:v>
      </x:c>
      <x:c r="B504" s="26" t="n">
        <x:v>186</x:v>
      </x:c>
      <x:c r="C504" s="26" t="str">
        <x:v>Kumuram Bheem Asifabad</x:v>
      </x:c>
      <x:c r="D504" s="26" t="n">
        <x:v>10282</x:v>
      </x:c>
      <x:c r="E504" s="26" t="str">
        <x:v>PRJ-2026-0010282</x:v>
      </x:c>
      <x:c r="F504" s="26" t="str">
        <x:v>Water filter, gas stove, ECCE metirial </x:v>
      </x:c>
      <x:c r="G504" s="26" t="n">
        <x:v>424</x:v>
      </x:c>
      <x:c r="H504" s="26" t="n">
        <x:v>39204</x:v>
      </x:c>
      <x:c r="I504" s="26"/>
      <x:c r="J504" s="26"/>
      <x:c r="K504" s="26"/>
      <x:c r="L504" s="26" t="n">
        <x:v>1</x:v>
      </x:c>
      <x:c r="M504" s="26" t="n">
        <x:v>1</x:v>
      </x:c>
      <x:c r="N504" s="26" t="n">
        <x:v>0</x:v>
      </x:c>
      <x:c r="O504" s="26" t="n">
        <x:f>MAX(M504-N504,0)</x:f>
        <x:v>1</x:v>
      </x:c>
      <x:c r="P504" s="38" t="n">
        <x:f>IFERROR(N504/M504,0)</x:f>
        <x:v>0</x:v>
      </x:c>
      <x:c r="Q504" s="26"/>
      <x:c r="R504" s="26"/>
      <x:c r="S504" s="26" t="str">
        <x:v>Pending Mapping</x:v>
      </x:c>
      <x:c r="T504" s="26"/>
      <x:c r="U504" s="26"/>
      <x:c r="V504" s="26"/>
      <x:c r="W504" s="32"/>
      <x:c r="X504" s="27" t="b">
        <x:v>1</x:v>
      </x:c>
      <x:c r="Y504" s="34" t="n">
        <x:v>46219.43891203704</x:v>
      </x:c>
      <x:c r="Z504" s="26"/>
      <x:c r="AA504" s="26" t="str"/>
      <x:c r="AB504" s="26" t="str">
        <x:v>Activity name/category not included in contribution response</x:v>
      </x:c>
    </x:row>
    <x:row r="505">
      <x:c r="A505" s="26" t="n">
        <x:v>502</x:v>
      </x:c>
      <x:c r="B505" s="26" t="n">
        <x:v>131</x:v>
      </x:c>
      <x:c r="C505" s="26" t="str">
        <x:v>Kumuram Bheem Asifabad</x:v>
      </x:c>
      <x:c r="D505" s="26" t="n">
        <x:v>10279</x:v>
      </x:c>
      <x:c r="E505" s="26" t="str">
        <x:v>PRJ-2026-0010279</x:v>
      </x:c>
      <x:c r="F505" s="26" t="str">
        <x:v>Rain Water Harvesting System : Water Filter Kitchen Construction : Poshan Vatika  kitchen Shelves : Gas stove, regulator : Solar Panel : Civil Repair : Toilet</x:v>
      </x:c>
      <x:c r="G505" s="26" t="n">
        <x:v>256</x:v>
      </x:c>
      <x:c r="H505" s="26" t="n">
        <x:v>39198</x:v>
      </x:c>
      <x:c r="I505" s="26"/>
      <x:c r="J505" s="26"/>
      <x:c r="K505" s="26"/>
      <x:c r="L505" s="26" t="n">
        <x:v>1</x:v>
      </x:c>
      <x:c r="M505" s="26" t="n">
        <x:v>1</x:v>
      </x:c>
      <x:c r="N505" s="26" t="n">
        <x:v>0</x:v>
      </x:c>
      <x:c r="O505" s="26" t="n">
        <x:f>MAX(M505-N505,0)</x:f>
        <x:v>1</x:v>
      </x:c>
      <x:c r="P505" s="38" t="n">
        <x:f>IFERROR(N505/M505,0)</x:f>
        <x:v>0</x:v>
      </x:c>
      <x:c r="Q505" s="26"/>
      <x:c r="R505" s="26"/>
      <x:c r="S505" s="26" t="str">
        <x:v>Pending Mapping</x:v>
      </x:c>
      <x:c r="T505" s="26"/>
      <x:c r="U505" s="26"/>
      <x:c r="V505" s="26"/>
      <x:c r="W505" s="32"/>
      <x:c r="X505" s="27" t="b">
        <x:v>1</x:v>
      </x:c>
      <x:c r="Y505" s="34" t="n">
        <x:v>46219.42805555555</x:v>
      </x:c>
      <x:c r="Z505" s="26"/>
      <x:c r="AA505" s="26" t="str"/>
      <x:c r="AB505" s="26" t="str">
        <x:v>Activity name/category not included in contribution response</x:v>
      </x:c>
    </x:row>
    <x:row r="506">
      <x:c r="A506" s="26" t="n">
        <x:v>503</x:v>
      </x:c>
      <x:c r="B506" s="26" t="n">
        <x:v>133</x:v>
      </x:c>
      <x:c r="C506" s="26" t="str">
        <x:v>Kumuram Bheem Asifabad</x:v>
      </x:c>
      <x:c r="D506" s="26" t="n">
        <x:v>83</x:v>
      </x:c>
      <x:c r="E506" s="26" t="str">
        <x:v>PRJ-2026-0000083</x:v>
      </x:c>
      <x:c r="F506" s="26" t="str">
        <x:v>Requirement of Water Filter, ECCE, GMD</x:v>
      </x:c>
      <x:c r="G506" s="26" t="n">
        <x:v>259</x:v>
      </x:c>
      <x:c r="H506" s="26" t="n">
        <x:v>135</x:v>
      </x:c>
      <x:c r="I506" s="26"/>
      <x:c r="J506" s="26"/>
      <x:c r="K506" s="26"/>
      <x:c r="L506" s="26" t="n">
        <x:v>1</x:v>
      </x:c>
      <x:c r="M506" s="26" t="n">
        <x:v>1</x:v>
      </x:c>
      <x:c r="N506" s="26" t="n">
        <x:v>0</x:v>
      </x:c>
      <x:c r="O506" s="26" t="n">
        <x:f>MAX(M506-N506,0)</x:f>
        <x:v>1</x:v>
      </x:c>
      <x:c r="P506" s="38" t="n">
        <x:f>IFERROR(N506/M506,0)</x:f>
        <x:v>0</x:v>
      </x:c>
      <x:c r="Q506" s="26"/>
      <x:c r="R506" s="26"/>
      <x:c r="S506" s="26" t="str">
        <x:v>Pending Mapping</x:v>
      </x:c>
      <x:c r="T506" s="26"/>
      <x:c r="U506" s="26"/>
      <x:c r="V506" s="26"/>
      <x:c r="W506" s="32"/>
      <x:c r="X506" s="27" t="b">
        <x:v>1</x:v>
      </x:c>
      <x:c r="Y506" s="34" t="n">
        <x:v>46219.41050925926</x:v>
      </x:c>
      <x:c r="Z506" s="26"/>
      <x:c r="AA506" s="26" t="str"/>
      <x:c r="AB506" s="26" t="str">
        <x:v>Activity name/category not included in contribution response</x:v>
      </x:c>
    </x:row>
    <x:row r="507">
      <x:c r="A507" s="26" t="n">
        <x:v>504</x:v>
      </x:c>
      <x:c r="B507" s="26" t="n">
        <x:v>133</x:v>
      </x:c>
      <x:c r="C507" s="26" t="str">
        <x:v>Kumuram Bheem Asifabad</x:v>
      </x:c>
      <x:c r="D507" s="26" t="n">
        <x:v>83</x:v>
      </x:c>
      <x:c r="E507" s="26" t="str">
        <x:v>PRJ-2026-0000083</x:v>
      </x:c>
      <x:c r="F507" s="26" t="str">
        <x:v>Requirement of Water Filter, ECCE, GMD</x:v>
      </x:c>
      <x:c r="G507" s="26" t="n">
        <x:v>260</x:v>
      </x:c>
      <x:c r="H507" s="26" t="n">
        <x:v>136</x:v>
      </x:c>
      <x:c r="I507" s="26"/>
      <x:c r="J507" s="26"/>
      <x:c r="K507" s="26"/>
      <x:c r="L507" s="26" t="n">
        <x:v>2</x:v>
      </x:c>
      <x:c r="M507" s="26" t="n">
        <x:v>2</x:v>
      </x:c>
      <x:c r="N507" s="26" t="n">
        <x:v>0</x:v>
      </x:c>
      <x:c r="O507" s="26" t="n">
        <x:f>MAX(M507-N507,0)</x:f>
        <x:v>2</x:v>
      </x:c>
      <x:c r="P507" s="38" t="n">
        <x:f>IFERROR(N507/M507,0)</x:f>
        <x:v>0</x:v>
      </x:c>
      <x:c r="Q507" s="26"/>
      <x:c r="R507" s="26"/>
      <x:c r="S507" s="26" t="str">
        <x:v>Pending Mapping</x:v>
      </x:c>
      <x:c r="T507" s="26"/>
      <x:c r="U507" s="26"/>
      <x:c r="V507" s="26"/>
      <x:c r="W507" s="32"/>
      <x:c r="X507" s="27" t="b">
        <x:v>1</x:v>
      </x:c>
      <x:c r="Y507" s="34" t="n">
        <x:v>46219.41050925926</x:v>
      </x:c>
      <x:c r="Z507" s="26"/>
      <x:c r="AA507" s="26" t="str"/>
      <x:c r="AB507" s="26" t="str">
        <x:v>Activity name/category not included in contribution response</x:v>
      </x:c>
    </x:row>
    <x:row r="508">
      <x:c r="A508" s="26" t="n">
        <x:v>505</x:v>
      </x:c>
      <x:c r="B508" s="26" t="n">
        <x:v>140</x:v>
      </x:c>
      <x:c r="C508" s="26" t="str">
        <x:v>Kumuram Bheem Asifabad</x:v>
      </x:c>
      <x:c r="D508" s="26" t="n">
        <x:v>1228</x:v>
      </x:c>
      <x:c r="E508" s="26" t="str">
        <x:v>PRJ-2026-0001228</x:v>
      </x:c>
      <x:c r="F508" s="26" t="str">
        <x:v>Materials (Games, Toys, Balls)  </x:v>
      </x:c>
      <x:c r="G508" s="26" t="n">
        <x:v>279</x:v>
      </x:c>
      <x:c r="H508" s="26" t="n">
        <x:v>3779</x:v>
      </x:c>
      <x:c r="I508" s="26"/>
      <x:c r="J508" s="26"/>
      <x:c r="K508" s="26"/>
      <x:c r="L508" s="26" t="n">
        <x:v>5</x:v>
      </x:c>
      <x:c r="M508" s="26" t="n">
        <x:v>5</x:v>
      </x:c>
      <x:c r="N508" s="26" t="n">
        <x:v>0</x:v>
      </x:c>
      <x:c r="O508" s="26" t="n">
        <x:f>MAX(M508-N508,0)</x:f>
        <x:v>5</x:v>
      </x:c>
      <x:c r="P508" s="38" t="n">
        <x:f>IFERROR(N508/M508,0)</x:f>
        <x:v>0</x:v>
      </x:c>
      <x:c r="Q508" s="26"/>
      <x:c r="R508" s="26"/>
      <x:c r="S508" s="26" t="str">
        <x:v>Pending Mapping</x:v>
      </x:c>
      <x:c r="T508" s="26"/>
      <x:c r="U508" s="26"/>
      <x:c r="V508" s="26"/>
      <x:c r="W508" s="32"/>
      <x:c r="X508" s="27" t="b">
        <x:v>1</x:v>
      </x:c>
      <x:c r="Y508" s="34" t="n">
        <x:v>46219.41050925926</x:v>
      </x:c>
      <x:c r="Z508" s="26"/>
      <x:c r="AA508" s="26" t="str"/>
      <x:c r="AB508" s="26" t="str">
        <x:v>Activity name/category not included in contribution response</x:v>
      </x:c>
    </x:row>
    <x:row r="509">
      <x:c r="A509" s="26" t="n">
        <x:v>506</x:v>
      </x:c>
      <x:c r="B509" s="26" t="n">
        <x:v>140</x:v>
      </x:c>
      <x:c r="C509" s="26" t="str">
        <x:v>Kumuram Bheem Asifabad</x:v>
      </x:c>
      <x:c r="D509" s="26" t="n">
        <x:v>1228</x:v>
      </x:c>
      <x:c r="E509" s="26" t="str">
        <x:v>PRJ-2026-0001228</x:v>
      </x:c>
      <x:c r="F509" s="26" t="str">
        <x:v>Materials (Games, Toys, Balls)  </x:v>
      </x:c>
      <x:c r="G509" s="26" t="n">
        <x:v>280</x:v>
      </x:c>
      <x:c r="H509" s="26" t="n">
        <x:v>3780</x:v>
      </x:c>
      <x:c r="I509" s="26"/>
      <x:c r="J509" s="26"/>
      <x:c r="K509" s="26"/>
      <x:c r="L509" s="26" t="n">
        <x:v>10</x:v>
      </x:c>
      <x:c r="M509" s="26" t="n">
        <x:v>10</x:v>
      </x:c>
      <x:c r="N509" s="26" t="n">
        <x:v>0</x:v>
      </x:c>
      <x:c r="O509" s="26" t="n">
        <x:f>MAX(M509-N509,0)</x:f>
        <x:v>10</x:v>
      </x:c>
      <x:c r="P509" s="38" t="n">
        <x:f>IFERROR(N509/M509,0)</x:f>
        <x:v>0</x:v>
      </x:c>
      <x:c r="Q509" s="26"/>
      <x:c r="R509" s="26"/>
      <x:c r="S509" s="26" t="str">
        <x:v>Pending Mapping</x:v>
      </x:c>
      <x:c r="T509" s="26"/>
      <x:c r="U509" s="26"/>
      <x:c r="V509" s="26"/>
      <x:c r="W509" s="32"/>
      <x:c r="X509" s="27" t="b">
        <x:v>1</x:v>
      </x:c>
      <x:c r="Y509" s="34" t="n">
        <x:v>46219.41050925926</x:v>
      </x:c>
      <x:c r="Z509" s="26"/>
      <x:c r="AA509" s="26" t="str"/>
      <x:c r="AB509" s="26" t="str">
        <x:v>Activity name/category not included in contribution response</x:v>
      </x:c>
    </x:row>
    <x:row r="510">
      <x:c r="A510" s="26" t="n">
        <x:v>507</x:v>
      </x:c>
      <x:c r="B510" s="26" t="n">
        <x:v>140</x:v>
      </x:c>
      <x:c r="C510" s="26" t="str">
        <x:v>Kumuram Bheem Asifabad</x:v>
      </x:c>
      <x:c r="D510" s="26" t="n">
        <x:v>1228</x:v>
      </x:c>
      <x:c r="E510" s="26" t="str">
        <x:v>PRJ-2026-0001228</x:v>
      </x:c>
      <x:c r="F510" s="26" t="str">
        <x:v>Materials (Games, Toys, Balls)  </x:v>
      </x:c>
      <x:c r="G510" s="26" t="n">
        <x:v>281</x:v>
      </x:c>
      <x:c r="H510" s="26" t="n">
        <x:v>3781</x:v>
      </x:c>
      <x:c r="I510" s="26"/>
      <x:c r="J510" s="26"/>
      <x:c r="K510" s="26"/>
      <x:c r="L510" s="26" t="n">
        <x:v>10</x:v>
      </x:c>
      <x:c r="M510" s="26" t="n">
        <x:v>10</x:v>
      </x:c>
      <x:c r="N510" s="26" t="n">
        <x:v>0</x:v>
      </x:c>
      <x:c r="O510" s="26" t="n">
        <x:f>MAX(M510-N510,0)</x:f>
        <x:v>10</x:v>
      </x:c>
      <x:c r="P510" s="38" t="n">
        <x:f>IFERROR(N510/M510,0)</x:f>
        <x:v>0</x:v>
      </x:c>
      <x:c r="Q510" s="26"/>
      <x:c r="R510" s="26"/>
      <x:c r="S510" s="26" t="str">
        <x:v>Pending Mapping</x:v>
      </x:c>
      <x:c r="T510" s="26"/>
      <x:c r="U510" s="26"/>
      <x:c r="V510" s="26"/>
      <x:c r="W510" s="32"/>
      <x:c r="X510" s="27" t="b">
        <x:v>1</x:v>
      </x:c>
      <x:c r="Y510" s="34" t="n">
        <x:v>46219.41050925926</x:v>
      </x:c>
      <x:c r="Z510" s="26"/>
      <x:c r="AA510" s="26" t="str"/>
      <x:c r="AB510" s="26" t="str">
        <x:v>Activity name/category not included in contribution response</x:v>
      </x:c>
    </x:row>
    <x:row r="511">
      <x:c r="A511" s="26" t="n">
        <x:v>508</x:v>
      </x:c>
      <x:c r="B511" s="26" t="n">
        <x:v>141</x:v>
      </x:c>
      <x:c r="C511" s="26" t="str">
        <x:v>Kumuram Bheem Asifabad</x:v>
      </x:c>
      <x:c r="D511" s="26" t="n">
        <x:v>1273</x:v>
      </x:c>
      <x:c r="E511" s="26" t="str">
        <x:v>PRJ-2026-0001273</x:v>
      </x:c>
      <x:c r="F511" s="26" t="str">
        <x:v>Materials (Games, Toys, Balls)  </x:v>
      </x:c>
      <x:c r="G511" s="26" t="n">
        <x:v>282</x:v>
      </x:c>
      <x:c r="H511" s="26" t="n">
        <x:v>3946</x:v>
      </x:c>
      <x:c r="I511" s="26"/>
      <x:c r="J511" s="26"/>
      <x:c r="K511" s="26"/>
      <x:c r="L511" s="26" t="n">
        <x:v>15</x:v>
      </x:c>
      <x:c r="M511" s="26" t="n">
        <x:v>15</x:v>
      </x:c>
      <x:c r="N511" s="26" t="n">
        <x:v>0</x:v>
      </x:c>
      <x:c r="O511" s="26" t="n">
        <x:f>MAX(M511-N511,0)</x:f>
        <x:v>15</x:v>
      </x:c>
      <x:c r="P511" s="38" t="n">
        <x:f>IFERROR(N511/M511,0)</x:f>
        <x:v>0</x:v>
      </x:c>
      <x:c r="Q511" s="26"/>
      <x:c r="R511" s="26"/>
      <x:c r="S511" s="26" t="str">
        <x:v>Pending Mapping</x:v>
      </x:c>
      <x:c r="T511" s="26"/>
      <x:c r="U511" s="26"/>
      <x:c r="V511" s="26"/>
      <x:c r="W511" s="32"/>
      <x:c r="X511" s="27" t="b">
        <x:v>1</x:v>
      </x:c>
      <x:c r="Y511" s="34" t="n">
        <x:v>46219.41049768519</x:v>
      </x:c>
      <x:c r="Z511" s="26"/>
      <x:c r="AA511" s="26" t="str"/>
      <x:c r="AB511" s="26" t="str">
        <x:v>Activity name/category not included in contribution response</x:v>
      </x:c>
    </x:row>
    <x:row r="512">
      <x:c r="A512" s="26" t="n">
        <x:v>509</x:v>
      </x:c>
      <x:c r="B512" s="26" t="n">
        <x:v>141</x:v>
      </x:c>
      <x:c r="C512" s="26" t="str">
        <x:v>Kumuram Bheem Asifabad</x:v>
      </x:c>
      <x:c r="D512" s="26" t="n">
        <x:v>1273</x:v>
      </x:c>
      <x:c r="E512" s="26" t="str">
        <x:v>PRJ-2026-0001273</x:v>
      </x:c>
      <x:c r="F512" s="26" t="str">
        <x:v>Materials (Games, Toys, Balls)  </x:v>
      </x:c>
      <x:c r="G512" s="26" t="n">
        <x:v>283</x:v>
      </x:c>
      <x:c r="H512" s="26" t="n">
        <x:v>3947</x:v>
      </x:c>
      <x:c r="I512" s="26"/>
      <x:c r="J512" s="26"/>
      <x:c r="K512" s="26"/>
      <x:c r="L512" s="26" t="n">
        <x:v>15</x:v>
      </x:c>
      <x:c r="M512" s="26" t="n">
        <x:v>15</x:v>
      </x:c>
      <x:c r="N512" s="26" t="n">
        <x:v>0</x:v>
      </x:c>
      <x:c r="O512" s="26" t="n">
        <x:f>MAX(M512-N512,0)</x:f>
        <x:v>15</x:v>
      </x:c>
      <x:c r="P512" s="38" t="n">
        <x:f>IFERROR(N512/M512,0)</x:f>
        <x:v>0</x:v>
      </x:c>
      <x:c r="Q512" s="26"/>
      <x:c r="R512" s="26"/>
      <x:c r="S512" s="26" t="str">
        <x:v>Pending Mapping</x:v>
      </x:c>
      <x:c r="T512" s="26"/>
      <x:c r="U512" s="26"/>
      <x:c r="V512" s="26"/>
      <x:c r="W512" s="32"/>
      <x:c r="X512" s="27" t="b">
        <x:v>1</x:v>
      </x:c>
      <x:c r="Y512" s="34" t="n">
        <x:v>46219.41049768519</x:v>
      </x:c>
      <x:c r="Z512" s="26"/>
      <x:c r="AA512" s="26" t="str"/>
      <x:c r="AB512" s="26" t="str">
        <x:v>Activity name/category not included in contribution response</x:v>
      </x:c>
    </x:row>
    <x:row r="513">
      <x:c r="A513" s="26" t="n">
        <x:v>510</x:v>
      </x:c>
      <x:c r="B513" s="26" t="n">
        <x:v>141</x:v>
      </x:c>
      <x:c r="C513" s="26" t="str">
        <x:v>Kumuram Bheem Asifabad</x:v>
      </x:c>
      <x:c r="D513" s="26" t="n">
        <x:v>1273</x:v>
      </x:c>
      <x:c r="E513" s="26" t="str">
        <x:v>PRJ-2026-0001273</x:v>
      </x:c>
      <x:c r="F513" s="26" t="str">
        <x:v>Materials (Games, Toys, Balls)  </x:v>
      </x:c>
      <x:c r="G513" s="26" t="n">
        <x:v>284</x:v>
      </x:c>
      <x:c r="H513" s="26" t="n">
        <x:v>3948</x:v>
      </x:c>
      <x:c r="I513" s="26"/>
      <x:c r="J513" s="26"/>
      <x:c r="K513" s="26"/>
      <x:c r="L513" s="26" t="n">
        <x:v>15</x:v>
      </x:c>
      <x:c r="M513" s="26" t="n">
        <x:v>15</x:v>
      </x:c>
      <x:c r="N513" s="26" t="n">
        <x:v>0</x:v>
      </x:c>
      <x:c r="O513" s="26" t="n">
        <x:f>MAX(M513-N513,0)</x:f>
        <x:v>15</x:v>
      </x:c>
      <x:c r="P513" s="38" t="n">
        <x:f>IFERROR(N513/M513,0)</x:f>
        <x:v>0</x:v>
      </x:c>
      <x:c r="Q513" s="26"/>
      <x:c r="R513" s="26"/>
      <x:c r="S513" s="26" t="str">
        <x:v>Pending Mapping</x:v>
      </x:c>
      <x:c r="T513" s="26"/>
      <x:c r="U513" s="26"/>
      <x:c r="V513" s="26"/>
      <x:c r="W513" s="32"/>
      <x:c r="X513" s="27" t="b">
        <x:v>1</x:v>
      </x:c>
      <x:c r="Y513" s="34" t="n">
        <x:v>46219.41049768519</x:v>
      </x:c>
      <x:c r="Z513" s="26"/>
      <x:c r="AA513" s="26" t="str"/>
      <x:c r="AB513" s="26" t="str">
        <x:v>Activity name/category not included in contribution response</x:v>
      </x:c>
    </x:row>
    <x:row r="514">
      <x:c r="A514" s="26" t="n">
        <x:v>511</x:v>
      </x:c>
      <x:c r="B514" s="26" t="n">
        <x:v>142</x:v>
      </x:c>
      <x:c r="C514" s="26" t="str">
        <x:v>Kumuram Bheem Asifabad</x:v>
      </x:c>
      <x:c r="D514" s="26" t="n">
        <x:v>1962</x:v>
      </x:c>
      <x:c r="E514" s="26" t="str">
        <x:v>PRJ-2026-0001962</x:v>
      </x:c>
      <x:c r="F514" s="26" t="str">
        <x:v>requirement of anganwadi fecilitices</x:v>
      </x:c>
      <x:c r="G514" s="26" t="n">
        <x:v>285</x:v>
      </x:c>
      <x:c r="H514" s="26" t="n">
        <x:v>6056</x:v>
      </x:c>
      <x:c r="I514" s="26"/>
      <x:c r="J514" s="26"/>
      <x:c r="K514" s="26"/>
      <x:c r="L514" s="26" t="n">
        <x:v>1</x:v>
      </x:c>
      <x:c r="M514" s="26" t="n">
        <x:v>1</x:v>
      </x:c>
      <x:c r="N514" s="26" t="n">
        <x:v>0</x:v>
      </x:c>
      <x:c r="O514" s="26" t="n">
        <x:f>MAX(M514-N514,0)</x:f>
        <x:v>1</x:v>
      </x:c>
      <x:c r="P514" s="38" t="n">
        <x:f>IFERROR(N514/M514,0)</x:f>
        <x:v>0</x:v>
      </x:c>
      <x:c r="Q514" s="26"/>
      <x:c r="R514" s="26"/>
      <x:c r="S514" s="26" t="str">
        <x:v>Pending Mapping</x:v>
      </x:c>
      <x:c r="T514" s="26"/>
      <x:c r="U514" s="26"/>
      <x:c r="V514" s="26"/>
      <x:c r="W514" s="32"/>
      <x:c r="X514" s="27" t="b">
        <x:v>1</x:v>
      </x:c>
      <x:c r="Y514" s="34" t="n">
        <x:v>46219.41048611111</x:v>
      </x:c>
      <x:c r="Z514" s="26"/>
      <x:c r="AA514" s="26" t="str"/>
      <x:c r="AB514" s="26" t="str">
        <x:v>Activity name/category not included in contribution response</x:v>
      </x:c>
    </x:row>
    <x:row r="515">
      <x:c r="A515" s="26" t="n">
        <x:v>512</x:v>
      </x:c>
      <x:c r="B515" s="26" t="n">
        <x:v>143</x:v>
      </x:c>
      <x:c r="C515" s="26" t="str">
        <x:v>Kumuram Bheem Asifabad</x:v>
      </x:c>
      <x:c r="D515" s="26" t="n">
        <x:v>2002</x:v>
      </x:c>
      <x:c r="E515" s="26" t="str">
        <x:v>PRJ-2026-0002002</x:v>
      </x:c>
      <x:c r="F515" s="26" t="str">
        <x:v>requirement of anganwadi facilities</x:v>
      </x:c>
      <x:c r="G515" s="26" t="n">
        <x:v>286</x:v>
      </x:c>
      <x:c r="H515" s="26" t="n">
        <x:v>6185</x:v>
      </x:c>
      <x:c r="I515" s="26"/>
      <x:c r="J515" s="26"/>
      <x:c r="K515" s="26"/>
      <x:c r="L515" s="26" t="n">
        <x:v>1</x:v>
      </x:c>
      <x:c r="M515" s="26" t="n">
        <x:v>1</x:v>
      </x:c>
      <x:c r="N515" s="26" t="n">
        <x:v>0</x:v>
      </x:c>
      <x:c r="O515" s="26" t="n">
        <x:f>MAX(M515-N515,0)</x:f>
        <x:v>1</x:v>
      </x:c>
      <x:c r="P515" s="38" t="n">
        <x:f>IFERROR(N515/M515,0)</x:f>
        <x:v>0</x:v>
      </x:c>
      <x:c r="Q515" s="26"/>
      <x:c r="R515" s="26"/>
      <x:c r="S515" s="26" t="str">
        <x:v>Pending Mapping</x:v>
      </x:c>
      <x:c r="T515" s="26"/>
      <x:c r="U515" s="26"/>
      <x:c r="V515" s="26"/>
      <x:c r="W515" s="32"/>
      <x:c r="X515" s="27" t="b">
        <x:v>1</x:v>
      </x:c>
      <x:c r="Y515" s="34" t="n">
        <x:v>46219.410474537035</x:v>
      </x:c>
      <x:c r="Z515" s="26"/>
      <x:c r="AA515" s="26" t="str"/>
      <x:c r="AB515" s="26" t="str">
        <x:v>Activity name/category not included in contribution response</x:v>
      </x:c>
    </x:row>
    <x:row r="516">
      <x:c r="A516" s="26" t="n">
        <x:v>513</x:v>
      </x:c>
      <x:c r="B516" s="26" t="n">
        <x:v>145</x:v>
      </x:c>
      <x:c r="C516" s="26" t="str">
        <x:v>Kumuram Bheem Asifabad</x:v>
      </x:c>
      <x:c r="D516" s="26" t="n">
        <x:v>2310</x:v>
      </x:c>
      <x:c r="E516" s="26" t="str">
        <x:v>PRJ-2026-0002310</x:v>
      </x:c>
      <x:c r="F516" s="26" t="str">
        <x:v>Materials (Gardening Equipment, Seeds, Other resources)  </x:v>
      </x:c>
      <x:c r="G516" s="26" t="n">
        <x:v>291</x:v>
      </x:c>
      <x:c r="H516" s="26" t="n">
        <x:v>7221</x:v>
      </x:c>
      <x:c r="I516" s="26"/>
      <x:c r="J516" s="26"/>
      <x:c r="K516" s="26"/>
      <x:c r="L516" s="26" t="n">
        <x:v>1</x:v>
      </x:c>
      <x:c r="M516" s="26" t="n">
        <x:v>1</x:v>
      </x:c>
      <x:c r="N516" s="26" t="n">
        <x:v>0</x:v>
      </x:c>
      <x:c r="O516" s="26" t="n">
        <x:f>MAX(M516-N516,0)</x:f>
        <x:v>1</x:v>
      </x:c>
      <x:c r="P516" s="38" t="n">
        <x:f>IFERROR(N516/M516,0)</x:f>
        <x:v>0</x:v>
      </x:c>
      <x:c r="Q516" s="26"/>
      <x:c r="R516" s="26"/>
      <x:c r="S516" s="26" t="str">
        <x:v>Pending Mapping</x:v>
      </x:c>
      <x:c r="T516" s="26"/>
      <x:c r="U516" s="26"/>
      <x:c r="V516" s="26"/>
      <x:c r="W516" s="32"/>
      <x:c r="X516" s="27" t="b">
        <x:v>1</x:v>
      </x:c>
      <x:c r="Y516" s="34" t="n">
        <x:v>46219.410474537035</x:v>
      </x:c>
      <x:c r="Z516" s="26"/>
      <x:c r="AA516" s="26" t="str"/>
      <x:c r="AB516" s="26" t="str">
        <x:v>Activity name/category not included in contribution response</x:v>
      </x:c>
    </x:row>
    <x:row r="517">
      <x:c r="A517" s="26" t="n">
        <x:v>514</x:v>
      </x:c>
      <x:c r="B517" s="26" t="n">
        <x:v>145</x:v>
      </x:c>
      <x:c r="C517" s="26" t="str">
        <x:v>Kumuram Bheem Asifabad</x:v>
      </x:c>
      <x:c r="D517" s="26" t="n">
        <x:v>2310</x:v>
      </x:c>
      <x:c r="E517" s="26" t="str">
        <x:v>PRJ-2026-0002310</x:v>
      </x:c>
      <x:c r="F517" s="26" t="str">
        <x:v>Materials (Gardening Equipment, Seeds, Other resources)  </x:v>
      </x:c>
      <x:c r="G517" s="26" t="n">
        <x:v>292</x:v>
      </x:c>
      <x:c r="H517" s="26" t="n">
        <x:v>7222</x:v>
      </x:c>
      <x:c r="I517" s="26"/>
      <x:c r="J517" s="26"/>
      <x:c r="K517" s="26"/>
      <x:c r="L517" s="26" t="n">
        <x:v>10</x:v>
      </x:c>
      <x:c r="M517" s="26" t="n">
        <x:v>10</x:v>
      </x:c>
      <x:c r="N517" s="26" t="n">
        <x:v>0</x:v>
      </x:c>
      <x:c r="O517" s="26" t="n">
        <x:f>MAX(M517-N517,0)</x:f>
        <x:v>10</x:v>
      </x:c>
      <x:c r="P517" s="38" t="n">
        <x:f>IFERROR(N517/M517,0)</x:f>
        <x:v>0</x:v>
      </x:c>
      <x:c r="Q517" s="26"/>
      <x:c r="R517" s="26"/>
      <x:c r="S517" s="26" t="str">
        <x:v>Pending Mapping</x:v>
      </x:c>
      <x:c r="T517" s="26"/>
      <x:c r="U517" s="26"/>
      <x:c r="V517" s="26"/>
      <x:c r="W517" s="32"/>
      <x:c r="X517" s="27" t="b">
        <x:v>1</x:v>
      </x:c>
      <x:c r="Y517" s="34" t="n">
        <x:v>46219.410474537035</x:v>
      </x:c>
      <x:c r="Z517" s="26"/>
      <x:c r="AA517" s="26" t="str"/>
      <x:c r="AB517" s="26" t="str">
        <x:v>Activity name/category not included in contribution response</x:v>
      </x:c>
    </x:row>
    <x:row r="518">
      <x:c r="A518" s="26" t="n">
        <x:v>515</x:v>
      </x:c>
      <x:c r="B518" s="26" t="n">
        <x:v>145</x:v>
      </x:c>
      <x:c r="C518" s="26" t="str">
        <x:v>Kumuram Bheem Asifabad</x:v>
      </x:c>
      <x:c r="D518" s="26" t="n">
        <x:v>2310</x:v>
      </x:c>
      <x:c r="E518" s="26" t="str">
        <x:v>PRJ-2026-0002310</x:v>
      </x:c>
      <x:c r="F518" s="26" t="str">
        <x:v>Materials (Gardening Equipment, Seeds, Other resources)  </x:v>
      </x:c>
      <x:c r="G518" s="26" t="n">
        <x:v>293</x:v>
      </x:c>
      <x:c r="H518" s="26" t="n">
        <x:v>7223</x:v>
      </x:c>
      <x:c r="I518" s="26"/>
      <x:c r="J518" s="26"/>
      <x:c r="K518" s="26"/>
      <x:c r="L518" s="26" t="n">
        <x:v>10</x:v>
      </x:c>
      <x:c r="M518" s="26" t="n">
        <x:v>10</x:v>
      </x:c>
      <x:c r="N518" s="26" t="n">
        <x:v>0</x:v>
      </x:c>
      <x:c r="O518" s="26" t="n">
        <x:f>MAX(M518-N518,0)</x:f>
        <x:v>10</x:v>
      </x:c>
      <x:c r="P518" s="38" t="n">
        <x:f>IFERROR(N518/M518,0)</x:f>
        <x:v>0</x:v>
      </x:c>
      <x:c r="Q518" s="26"/>
      <x:c r="R518" s="26"/>
      <x:c r="S518" s="26" t="str">
        <x:v>Pending Mapping</x:v>
      </x:c>
      <x:c r="T518" s="26"/>
      <x:c r="U518" s="26"/>
      <x:c r="V518" s="26"/>
      <x:c r="W518" s="32"/>
      <x:c r="X518" s="27" t="b">
        <x:v>1</x:v>
      </x:c>
      <x:c r="Y518" s="34" t="n">
        <x:v>46219.410474537035</x:v>
      </x:c>
      <x:c r="Z518" s="26"/>
      <x:c r="AA518" s="26" t="str"/>
      <x:c r="AB518" s="26" t="str">
        <x:v>Activity name/category not included in contribution response</x:v>
      </x:c>
    </x:row>
    <x:row r="519">
      <x:c r="A519" s="26" t="n">
        <x:v>516</x:v>
      </x:c>
      <x:c r="B519" s="26" t="n">
        <x:v>146</x:v>
      </x:c>
      <x:c r="C519" s="26" t="str">
        <x:v>Kumuram Bheem Asifabad</x:v>
      </x:c>
      <x:c r="D519" s="26" t="n">
        <x:v>2380</x:v>
      </x:c>
      <x:c r="E519" s="26" t="str">
        <x:v>PRJ-2026-0002380</x:v>
      </x:c>
      <x:c r="F519" s="26" t="str">
        <x:v>requirement of anganwadi facilities</x:v>
      </x:c>
      <x:c r="G519" s="26" t="n">
        <x:v>294</x:v>
      </x:c>
      <x:c r="H519" s="26" t="n">
        <x:v>7476</x:v>
      </x:c>
      <x:c r="I519" s="26"/>
      <x:c r="J519" s="26"/>
      <x:c r="K519" s="26"/>
      <x:c r="L519" s="26" t="n">
        <x:v>1</x:v>
      </x:c>
      <x:c r="M519" s="26" t="n">
        <x:v>1</x:v>
      </x:c>
      <x:c r="N519" s="26" t="n">
        <x:v>0</x:v>
      </x:c>
      <x:c r="O519" s="26" t="n">
        <x:f>MAX(M519-N519,0)</x:f>
        <x:v>1</x:v>
      </x:c>
      <x:c r="P519" s="38" t="n">
        <x:f>IFERROR(N519/M519,0)</x:f>
        <x:v>0</x:v>
      </x:c>
      <x:c r="Q519" s="26"/>
      <x:c r="R519" s="26"/>
      <x:c r="S519" s="26" t="str">
        <x:v>Pending Mapping</x:v>
      </x:c>
      <x:c r="T519" s="26"/>
      <x:c r="U519" s="26"/>
      <x:c r="V519" s="26"/>
      <x:c r="W519" s="32"/>
      <x:c r="X519" s="27" t="b">
        <x:v>1</x:v>
      </x:c>
      <x:c r="Y519" s="34" t="n">
        <x:v>46219.410462962966</x:v>
      </x:c>
      <x:c r="Z519" s="26"/>
      <x:c r="AA519" s="26" t="str"/>
      <x:c r="AB519" s="26" t="str">
        <x:v>Activity name/category not included in contribution response</x:v>
      </x:c>
    </x:row>
    <x:row r="520">
      <x:c r="A520" s="26" t="n">
        <x:v>517</x:v>
      </x:c>
      <x:c r="B520" s="26" t="n">
        <x:v>146</x:v>
      </x:c>
      <x:c r="C520" s="26" t="str">
        <x:v>Kumuram Bheem Asifabad</x:v>
      </x:c>
      <x:c r="D520" s="26" t="n">
        <x:v>2380</x:v>
      </x:c>
      <x:c r="E520" s="26" t="str">
        <x:v>PRJ-2026-0002380</x:v>
      </x:c>
      <x:c r="F520" s="26" t="str">
        <x:v>requirement of anganwadi facilities</x:v>
      </x:c>
      <x:c r="G520" s="26" t="n">
        <x:v>295</x:v>
      </x:c>
      <x:c r="H520" s="26" t="n">
        <x:v>7477</x:v>
      </x:c>
      <x:c r="I520" s="26"/>
      <x:c r="J520" s="26"/>
      <x:c r="K520" s="26"/>
      <x:c r="L520" s="26" t="n">
        <x:v>19</x:v>
      </x:c>
      <x:c r="M520" s="26" t="n">
        <x:v>19</x:v>
      </x:c>
      <x:c r="N520" s="26" t="n">
        <x:v>0</x:v>
      </x:c>
      <x:c r="O520" s="26" t="n">
        <x:f>MAX(M520-N520,0)</x:f>
        <x:v>19</x:v>
      </x:c>
      <x:c r="P520" s="38" t="n">
        <x:f>IFERROR(N520/M520,0)</x:f>
        <x:v>0</x:v>
      </x:c>
      <x:c r="Q520" s="26"/>
      <x:c r="R520" s="26"/>
      <x:c r="S520" s="26" t="str">
        <x:v>Pending Mapping</x:v>
      </x:c>
      <x:c r="T520" s="26"/>
      <x:c r="U520" s="26"/>
      <x:c r="V520" s="26"/>
      <x:c r="W520" s="32"/>
      <x:c r="X520" s="27" t="b">
        <x:v>1</x:v>
      </x:c>
      <x:c r="Y520" s="34" t="n">
        <x:v>46219.410462962966</x:v>
      </x:c>
      <x:c r="Z520" s="26"/>
      <x:c r="AA520" s="26" t="str"/>
      <x:c r="AB520" s="26" t="str">
        <x:v>Activity name/category not included in contribution response</x:v>
      </x:c>
    </x:row>
    <x:row r="521">
      <x:c r="A521" s="26" t="n">
        <x:v>518</x:v>
      </x:c>
      <x:c r="B521" s="26" t="n">
        <x:v>147</x:v>
      </x:c>
      <x:c r="C521" s="26" t="str">
        <x:v>Kumuram Bheem Asifabad</x:v>
      </x:c>
      <x:c r="D521" s="26" t="n">
        <x:v>2431</x:v>
      </x:c>
      <x:c r="E521" s="26" t="str">
        <x:v>PRJ-2026-0002431</x:v>
      </x:c>
      <x:c r="F521" s="26" t="str">
        <x:v>requirement of anganwadi  facilties</x:v>
      </x:c>
      <x:c r="G521" s="26" t="n">
        <x:v>296</x:v>
      </x:c>
      <x:c r="H521" s="26" t="n">
        <x:v>7640</x:v>
      </x:c>
      <x:c r="I521" s="26"/>
      <x:c r="J521" s="26"/>
      <x:c r="K521" s="26"/>
      <x:c r="L521" s="26" t="n">
        <x:v>1</x:v>
      </x:c>
      <x:c r="M521" s="26" t="n">
        <x:v>1</x:v>
      </x:c>
      <x:c r="N521" s="26" t="n">
        <x:v>0</x:v>
      </x:c>
      <x:c r="O521" s="26" t="n">
        <x:f>MAX(M521-N521,0)</x:f>
        <x:v>1</x:v>
      </x:c>
      <x:c r="P521" s="38" t="n">
        <x:f>IFERROR(N521/M521,0)</x:f>
        <x:v>0</x:v>
      </x:c>
      <x:c r="Q521" s="26"/>
      <x:c r="R521" s="26"/>
      <x:c r="S521" s="26" t="str">
        <x:v>Pending Mapping</x:v>
      </x:c>
      <x:c r="T521" s="26"/>
      <x:c r="U521" s="26"/>
      <x:c r="V521" s="26"/>
      <x:c r="W521" s="32"/>
      <x:c r="X521" s="27" t="b">
        <x:v>1</x:v>
      </x:c>
      <x:c r="Y521" s="34" t="n">
        <x:v>46219.41045138889</x:v>
      </x:c>
      <x:c r="Z521" s="26"/>
      <x:c r="AA521" s="26" t="str"/>
      <x:c r="AB521" s="26" t="str">
        <x:v>Activity name/category not included in contribution response</x:v>
      </x:c>
    </x:row>
    <x:row r="522">
      <x:c r="A522" s="26" t="n">
        <x:v>519</x:v>
      </x:c>
      <x:c r="B522" s="26" t="n">
        <x:v>152</x:v>
      </x:c>
      <x:c r="C522" s="26" t="str">
        <x:v>Kumuram Bheem Asifabad</x:v>
      </x:c>
      <x:c r="D522" s="26" t="n">
        <x:v>3208</x:v>
      </x:c>
      <x:c r="E522" s="26" t="str">
        <x:v>PRJ-2026-0003208</x:v>
      </x:c>
      <x:c r="F522" s="26" t="str">
        <x:v>water filter</x:v>
      </x:c>
      <x:c r="G522" s="26" t="n">
        <x:v>312</x:v>
      </x:c>
      <x:c r="H522" s="26" t="n">
        <x:v>10460</x:v>
      </x:c>
      <x:c r="I522" s="26"/>
      <x:c r="J522" s="26"/>
      <x:c r="K522" s="26"/>
      <x:c r="L522" s="26" t="n">
        <x:v>1</x:v>
      </x:c>
      <x:c r="M522" s="26" t="n">
        <x:v>1</x:v>
      </x:c>
      <x:c r="N522" s="26" t="n">
        <x:v>0</x:v>
      </x:c>
      <x:c r="O522" s="26" t="n">
        <x:f>MAX(M522-N522,0)</x:f>
        <x:v>1</x:v>
      </x:c>
      <x:c r="P522" s="38" t="n">
        <x:f>IFERROR(N522/M522,0)</x:f>
        <x:v>0</x:v>
      </x:c>
      <x:c r="Q522" s="26"/>
      <x:c r="R522" s="26"/>
      <x:c r="S522" s="26" t="str">
        <x:v>Pending Mapping</x:v>
      </x:c>
      <x:c r="T522" s="26"/>
      <x:c r="U522" s="26"/>
      <x:c r="V522" s="26"/>
      <x:c r="W522" s="32"/>
      <x:c r="X522" s="27" t="b">
        <x:v>1</x:v>
      </x:c>
      <x:c r="Y522" s="34" t="n">
        <x:v>46219.41045138889</x:v>
      </x:c>
      <x:c r="Z522" s="26"/>
      <x:c r="AA522" s="26" t="str"/>
      <x:c r="AB522" s="26" t="str">
        <x:v>Activity name/category not included in contribution response</x:v>
      </x:c>
    </x:row>
    <x:row r="523">
      <x:c r="A523" s="26" t="n">
        <x:v>520</x:v>
      </x:c>
      <x:c r="B523" s="26" t="n">
        <x:v>153</x:v>
      </x:c>
      <x:c r="C523" s="26" t="str">
        <x:v>Kumuram Bheem Asifabad</x:v>
      </x:c>
      <x:c r="D523" s="26" t="n">
        <x:v>3245</x:v>
      </x:c>
      <x:c r="E523" s="26" t="str">
        <x:v>PRJ-2026-0003245</x:v>
      </x:c>
      <x:c r="F523" s="26" t="str">
        <x:v>water filter</x:v>
      </x:c>
      <x:c r="G523" s="26" t="n">
        <x:v>313</x:v>
      </x:c>
      <x:c r="H523" s="26" t="n">
        <x:v>10613</x:v>
      </x:c>
      <x:c r="I523" s="26"/>
      <x:c r="J523" s="26"/>
      <x:c r="K523" s="26"/>
      <x:c r="L523" s="26" t="n">
        <x:v>1</x:v>
      </x:c>
      <x:c r="M523" s="26" t="n">
        <x:v>1</x:v>
      </x:c>
      <x:c r="N523" s="26" t="n">
        <x:v>0</x:v>
      </x:c>
      <x:c r="O523" s="26" t="n">
        <x:f>MAX(M523-N523,0)</x:f>
        <x:v>1</x:v>
      </x:c>
      <x:c r="P523" s="38" t="n">
        <x:f>IFERROR(N523/M523,0)</x:f>
        <x:v>0</x:v>
      </x:c>
      <x:c r="Q523" s="26"/>
      <x:c r="R523" s="26"/>
      <x:c r="S523" s="26" t="str">
        <x:v>Pending Mapping</x:v>
      </x:c>
      <x:c r="T523" s="26"/>
      <x:c r="U523" s="26"/>
      <x:c r="V523" s="26"/>
      <x:c r="W523" s="32"/>
      <x:c r="X523" s="27" t="b">
        <x:v>1</x:v>
      </x:c>
      <x:c r="Y523" s="34" t="n">
        <x:v>46219.41043981481</x:v>
      </x:c>
      <x:c r="Z523" s="26"/>
      <x:c r="AA523" s="26" t="str"/>
      <x:c r="AB523" s="26" t="str">
        <x:v>Activity name/category not included in contribution response</x:v>
      </x:c>
    </x:row>
    <x:row r="524">
      <x:c r="A524" s="26" t="n">
        <x:v>521</x:v>
      </x:c>
      <x:c r="B524" s="26" t="n">
        <x:v>156</x:v>
      </x:c>
      <x:c r="C524" s="26" t="str">
        <x:v>Kumuram Bheem Asifabad</x:v>
      </x:c>
      <x:c r="D524" s="26" t="n">
        <x:v>3859</x:v>
      </x:c>
      <x:c r="E524" s="26" t="str">
        <x:v>PRJ-2026-0003859</x:v>
      </x:c>
      <x:c r="F524" s="26" t="str">
        <x:v>requirement of anganwadi facilities</x:v>
      </x:c>
      <x:c r="G524" s="26" t="n">
        <x:v>322</x:v>
      </x:c>
      <x:c r="H524" s="26" t="n">
        <x:v>12809</x:v>
      </x:c>
      <x:c r="I524" s="26"/>
      <x:c r="J524" s="26"/>
      <x:c r="K524" s="26"/>
      <x:c r="L524" s="26" t="n">
        <x:v>1</x:v>
      </x:c>
      <x:c r="M524" s="26" t="n">
        <x:v>1</x:v>
      </x:c>
      <x:c r="N524" s="26" t="n">
        <x:v>0</x:v>
      </x:c>
      <x:c r="O524" s="26" t="n">
        <x:f>MAX(M524-N524,0)</x:f>
        <x:v>1</x:v>
      </x:c>
      <x:c r="P524" s="38" t="n">
        <x:f>IFERROR(N524/M524,0)</x:f>
        <x:v>0</x:v>
      </x:c>
      <x:c r="Q524" s="26"/>
      <x:c r="R524" s="26"/>
      <x:c r="S524" s="26" t="str">
        <x:v>Pending Mapping</x:v>
      </x:c>
      <x:c r="T524" s="26"/>
      <x:c r="U524" s="26"/>
      <x:c r="V524" s="26"/>
      <x:c r="W524" s="32"/>
      <x:c r="X524" s="27" t="b">
        <x:v>1</x:v>
      </x:c>
      <x:c r="Y524" s="34" t="n">
        <x:v>46219.41042824074</x:v>
      </x:c>
      <x:c r="Z524" s="26"/>
      <x:c r="AA524" s="26" t="str"/>
      <x:c r="AB524" s="26" t="str">
        <x:v>Activity name/category not included in contribution response</x:v>
      </x:c>
    </x:row>
    <x:row r="525">
      <x:c r="A525" s="26" t="n">
        <x:v>522</x:v>
      </x:c>
      <x:c r="B525" s="26" t="n">
        <x:v>158</x:v>
      </x:c>
      <x:c r="C525" s="26" t="str">
        <x:v>Kumuram Bheem Asifabad</x:v>
      </x:c>
      <x:c r="D525" s="26" t="n">
        <x:v>4105</x:v>
      </x:c>
      <x:c r="E525" s="26" t="str">
        <x:v>PRJ-2026-0004105</x:v>
      </x:c>
      <x:c r="F525" s="26" t="str">
        <x:v>water filter</x:v>
      </x:c>
      <x:c r="G525" s="26" t="n">
        <x:v>329</x:v>
      </x:c>
      <x:c r="H525" s="26" t="n">
        <x:v>13610</x:v>
      </x:c>
      <x:c r="I525" s="26"/>
      <x:c r="J525" s="26"/>
      <x:c r="K525" s="26"/>
      <x:c r="L525" s="26" t="n">
        <x:v>1</x:v>
      </x:c>
      <x:c r="M525" s="26" t="n">
        <x:v>1</x:v>
      </x:c>
      <x:c r="N525" s="26" t="n">
        <x:v>0</x:v>
      </x:c>
      <x:c r="O525" s="26" t="n">
        <x:f>MAX(M525-N525,0)</x:f>
        <x:v>1</x:v>
      </x:c>
      <x:c r="P525" s="38" t="n">
        <x:f>IFERROR(N525/M525,0)</x:f>
        <x:v>0</x:v>
      </x:c>
      <x:c r="Q525" s="26"/>
      <x:c r="R525" s="26"/>
      <x:c r="S525" s="26" t="str">
        <x:v>Pending Mapping</x:v>
      </x:c>
      <x:c r="T525" s="26"/>
      <x:c r="U525" s="26"/>
      <x:c r="V525" s="26"/>
      <x:c r="W525" s="32"/>
      <x:c r="X525" s="27" t="b">
        <x:v>1</x:v>
      </x:c>
      <x:c r="Y525" s="34" t="n">
        <x:v>46219.41042824074</x:v>
      </x:c>
      <x:c r="Z525" s="26"/>
      <x:c r="AA525" s="26" t="str"/>
      <x:c r="AB525" s="26" t="str">
        <x:v>Activity name/category not included in contribution response</x:v>
      </x:c>
    </x:row>
    <x:row r="526">
      <x:c r="A526" s="26" t="n">
        <x:v>523</x:v>
      </x:c>
      <x:c r="B526" s="26" t="n">
        <x:v>159</x:v>
      </x:c>
      <x:c r="C526" s="26" t="str">
        <x:v>Kumuram Bheem Asifabad</x:v>
      </x:c>
      <x:c r="D526" s="26" t="n">
        <x:v>4137</x:v>
      </x:c>
      <x:c r="E526" s="26" t="str">
        <x:v>PRJ-2026-0004137</x:v>
      </x:c>
      <x:c r="F526" s="26" t="str">
        <x:v>water filter</x:v>
      </x:c>
      <x:c r="G526" s="26" t="n">
        <x:v>330</x:v>
      </x:c>
      <x:c r="H526" s="26" t="n">
        <x:v>13734</x:v>
      </x:c>
      <x:c r="I526" s="26"/>
      <x:c r="J526" s="26"/>
      <x:c r="K526" s="26"/>
      <x:c r="L526" s="26" t="n">
        <x:v>1</x:v>
      </x:c>
      <x:c r="M526" s="26" t="n">
        <x:v>1</x:v>
      </x:c>
      <x:c r="N526" s="26" t="n">
        <x:v>0</x:v>
      </x:c>
      <x:c r="O526" s="26" t="n">
        <x:f>MAX(M526-N526,0)</x:f>
        <x:v>1</x:v>
      </x:c>
      <x:c r="P526" s="38" t="n">
        <x:f>IFERROR(N526/M526,0)</x:f>
        <x:v>0</x:v>
      </x:c>
      <x:c r="Q526" s="26"/>
      <x:c r="R526" s="26"/>
      <x:c r="S526" s="26" t="str">
        <x:v>Pending Mapping</x:v>
      </x:c>
      <x:c r="T526" s="26"/>
      <x:c r="U526" s="26"/>
      <x:c r="V526" s="26"/>
      <x:c r="W526" s="32"/>
      <x:c r="X526" s="27" t="b">
        <x:v>1</x:v>
      </x:c>
      <x:c r="Y526" s="34" t="n">
        <x:v>46219.410416666666</x:v>
      </x:c>
      <x:c r="Z526" s="26"/>
      <x:c r="AA526" s="26" t="str"/>
      <x:c r="AB526" s="26" t="str">
        <x:v>Activity name/category not included in contribution response</x:v>
      </x:c>
    </x:row>
    <x:row r="527">
      <x:c r="A527" s="26" t="n">
        <x:v>524</x:v>
      </x:c>
      <x:c r="B527" s="26" t="n">
        <x:v>161</x:v>
      </x:c>
      <x:c r="C527" s="26" t="str">
        <x:v>Kumuram Bheem Asifabad</x:v>
      </x:c>
      <x:c r="D527" s="26" t="n">
        <x:v>4303</x:v>
      </x:c>
      <x:c r="E527" s="26" t="str">
        <x:v>PRJ-2026-0004303</x:v>
      </x:c>
      <x:c r="F527" s="26" t="str">
        <x:v>Provision of water suppliers</x:v>
      </x:c>
      <x:c r="G527" s="26" t="n">
        <x:v>336</x:v>
      </x:c>
      <x:c r="H527" s="26" t="n">
        <x:v>14380</x:v>
      </x:c>
      <x:c r="I527" s="26"/>
      <x:c r="J527" s="26"/>
      <x:c r="K527" s="26"/>
      <x:c r="L527" s="26" t="n">
        <x:v>1</x:v>
      </x:c>
      <x:c r="M527" s="26" t="n">
        <x:v>1</x:v>
      </x:c>
      <x:c r="N527" s="26" t="n">
        <x:v>0</x:v>
      </x:c>
      <x:c r="O527" s="26" t="n">
        <x:f>MAX(M527-N527,0)</x:f>
        <x:v>1</x:v>
      </x:c>
      <x:c r="P527" s="38" t="n">
        <x:f>IFERROR(N527/M527,0)</x:f>
        <x:v>0</x:v>
      </x:c>
      <x:c r="Q527" s="26"/>
      <x:c r="R527" s="26"/>
      <x:c r="S527" s="26" t="str">
        <x:v>Pending Mapping</x:v>
      </x:c>
      <x:c r="T527" s="26"/>
      <x:c r="U527" s="26"/>
      <x:c r="V527" s="26"/>
      <x:c r="W527" s="32"/>
      <x:c r="X527" s="27" t="b">
        <x:v>1</x:v>
      </x:c>
      <x:c r="Y527" s="34" t="n">
        <x:v>46219.410405092596</x:v>
      </x:c>
      <x:c r="Z527" s="26"/>
      <x:c r="AA527" s="26" t="str"/>
      <x:c r="AB527" s="26" t="str">
        <x:v>Activity name/category not included in contribution response</x:v>
      </x:c>
    </x:row>
    <x:row r="528">
      <x:c r="A528" s="26" t="n">
        <x:v>525</x:v>
      </x:c>
      <x:c r="B528" s="26" t="n">
        <x:v>162</x:v>
      </x:c>
      <x:c r="C528" s="26" t="str">
        <x:v>Kumuram Bheem Asifabad</x:v>
      </x:c>
      <x:c r="D528" s="26" t="n">
        <x:v>4379</x:v>
      </x:c>
      <x:c r="E528" s="26" t="str">
        <x:v>PRJ-2026-0004379</x:v>
      </x:c>
      <x:c r="F528" s="26" t="str">
        <x:v>provision of water suppliers</x:v>
      </x:c>
      <x:c r="G528" s="26" t="n">
        <x:v>337</x:v>
      </x:c>
      <x:c r="H528" s="26" t="n">
        <x:v>14677</x:v>
      </x:c>
      <x:c r="I528" s="26"/>
      <x:c r="J528" s="26"/>
      <x:c r="K528" s="26"/>
      <x:c r="L528" s="26" t="n">
        <x:v>1</x:v>
      </x:c>
      <x:c r="M528" s="26" t="n">
        <x:v>1</x:v>
      </x:c>
      <x:c r="N528" s="26" t="n">
        <x:v>0</x:v>
      </x:c>
      <x:c r="O528" s="26" t="n">
        <x:f>MAX(M528-N528,0)</x:f>
        <x:v>1</x:v>
      </x:c>
      <x:c r="P528" s="38" t="n">
        <x:f>IFERROR(N528/M528,0)</x:f>
        <x:v>0</x:v>
      </x:c>
      <x:c r="Q528" s="26"/>
      <x:c r="R528" s="26"/>
      <x:c r="S528" s="26" t="str">
        <x:v>Pending Mapping</x:v>
      </x:c>
      <x:c r="T528" s="26"/>
      <x:c r="U528" s="26"/>
      <x:c r="V528" s="26"/>
      <x:c r="W528" s="32"/>
      <x:c r="X528" s="27" t="b">
        <x:v>1</x:v>
      </x:c>
      <x:c r="Y528" s="34" t="n">
        <x:v>46219.410405092596</x:v>
      </x:c>
      <x:c r="Z528" s="26"/>
      <x:c r="AA528" s="26" t="str"/>
      <x:c r="AB528" s="26" t="str">
        <x:v>Activity name/category not included in contribution response</x:v>
      </x:c>
    </x:row>
    <x:row r="529">
      <x:c r="A529" s="26" t="n">
        <x:v>526</x:v>
      </x:c>
      <x:c r="B529" s="26" t="n">
        <x:v>163</x:v>
      </x:c>
      <x:c r="C529" s="26" t="str">
        <x:v>Kumuram Bheem Asifabad</x:v>
      </x:c>
      <x:c r="D529" s="26" t="n">
        <x:v>4454</x:v>
      </x:c>
      <x:c r="E529" s="26" t="str">
        <x:v>PRJ-2026-0004454</x:v>
      </x:c>
      <x:c r="F529" s="26" t="str">
        <x:v>provision of water supplier</x:v>
      </x:c>
      <x:c r="G529" s="26" t="n">
        <x:v>338</x:v>
      </x:c>
      <x:c r="H529" s="26" t="n">
        <x:v>14976</x:v>
      </x:c>
      <x:c r="I529" s="26"/>
      <x:c r="J529" s="26"/>
      <x:c r="K529" s="26"/>
      <x:c r="L529" s="26" t="n">
        <x:v>1</x:v>
      </x:c>
      <x:c r="M529" s="26" t="n">
        <x:v>1</x:v>
      </x:c>
      <x:c r="N529" s="26" t="n">
        <x:v>0</x:v>
      </x:c>
      <x:c r="O529" s="26" t="n">
        <x:f>MAX(M529-N529,0)</x:f>
        <x:v>1</x:v>
      </x:c>
      <x:c r="P529" s="38" t="n">
        <x:f>IFERROR(N529/M529,0)</x:f>
        <x:v>0</x:v>
      </x:c>
      <x:c r="Q529" s="26"/>
      <x:c r="R529" s="26"/>
      <x:c r="S529" s="26" t="str">
        <x:v>Pending Mapping</x:v>
      </x:c>
      <x:c r="T529" s="26"/>
      <x:c r="U529" s="26"/>
      <x:c r="V529" s="26"/>
      <x:c r="W529" s="32"/>
      <x:c r="X529" s="27" t="b">
        <x:v>1</x:v>
      </x:c>
      <x:c r="Y529" s="34" t="n">
        <x:v>46219.41039351852</x:v>
      </x:c>
      <x:c r="Z529" s="26"/>
      <x:c r="AA529" s="26" t="str"/>
      <x:c r="AB529" s="26" t="str">
        <x:v>Activity name/category not included in contribution response</x:v>
      </x:c>
    </x:row>
    <x:row r="530">
      <x:c r="A530" s="26" t="n">
        <x:v>527</x:v>
      </x:c>
      <x:c r="B530" s="26" t="n">
        <x:v>164</x:v>
      </x:c>
      <x:c r="C530" s="26" t="str">
        <x:v>Kumuram Bheem Asifabad</x:v>
      </x:c>
      <x:c r="D530" s="26" t="n">
        <x:v>4522</x:v>
      </x:c>
      <x:c r="E530" s="26" t="str">
        <x:v>PRJ-2026-0004522</x:v>
      </x:c>
      <x:c r="F530" s="26" t="str">
        <x:v>provision of water supplier</x:v>
      </x:c>
      <x:c r="G530" s="26" t="n">
        <x:v>339</x:v>
      </x:c>
      <x:c r="H530" s="26" t="n">
        <x:v>15272</x:v>
      </x:c>
      <x:c r="I530" s="26"/>
      <x:c r="J530" s="26"/>
      <x:c r="K530" s="26"/>
      <x:c r="L530" s="26" t="n">
        <x:v>1</x:v>
      </x:c>
      <x:c r="M530" s="26" t="n">
        <x:v>1</x:v>
      </x:c>
      <x:c r="N530" s="26" t="n">
        <x:v>0</x:v>
      </x:c>
      <x:c r="O530" s="26" t="n">
        <x:f>MAX(M530-N530,0)</x:f>
        <x:v>1</x:v>
      </x:c>
      <x:c r="P530" s="38" t="n">
        <x:f>IFERROR(N530/M530,0)</x:f>
        <x:v>0</x:v>
      </x:c>
      <x:c r="Q530" s="26"/>
      <x:c r="R530" s="26"/>
      <x:c r="S530" s="26" t="str">
        <x:v>Pending Mapping</x:v>
      </x:c>
      <x:c r="T530" s="26"/>
      <x:c r="U530" s="26"/>
      <x:c r="V530" s="26"/>
      <x:c r="W530" s="32"/>
      <x:c r="X530" s="27" t="b">
        <x:v>1</x:v>
      </x:c>
      <x:c r="Y530" s="34" t="n">
        <x:v>46219.41038194444</x:v>
      </x:c>
      <x:c r="Z530" s="26"/>
      <x:c r="AA530" s="26" t="str"/>
      <x:c r="AB530" s="26" t="str">
        <x:v>Activity name/category not included in contribution response</x:v>
      </x:c>
    </x:row>
    <x:row r="531">
      <x:c r="A531" s="26" t="n">
        <x:v>528</x:v>
      </x:c>
      <x:c r="B531" s="26" t="n">
        <x:v>166</x:v>
      </x:c>
      <x:c r="C531" s="26" t="str">
        <x:v>Kumuram Bheem Asifabad</x:v>
      </x:c>
      <x:c r="D531" s="26" t="n">
        <x:v>5279</x:v>
      </x:c>
      <x:c r="E531" s="26" t="str">
        <x:v>PRJ-2026-0005279</x:v>
      </x:c>
      <x:c r="F531" s="26" t="str">
        <x:v>Upgradation of Anganwadi </x:v>
      </x:c>
      <x:c r="G531" s="26" t="n">
        <x:v>346</x:v>
      </x:c>
      <x:c r="H531" s="26" t="n">
        <x:v>18218</x:v>
      </x:c>
      <x:c r="I531" s="26"/>
      <x:c r="J531" s="26"/>
      <x:c r="K531" s="26"/>
      <x:c r="L531" s="26" t="n">
        <x:v>2</x:v>
      </x:c>
      <x:c r="M531" s="26" t="n">
        <x:v>2</x:v>
      </x:c>
      <x:c r="N531" s="26" t="n">
        <x:v>0</x:v>
      </x:c>
      <x:c r="O531" s="26" t="n">
        <x:f>MAX(M531-N531,0)</x:f>
        <x:v>2</x:v>
      </x:c>
      <x:c r="P531" s="38" t="n">
        <x:f>IFERROR(N531/M531,0)</x:f>
        <x:v>0</x:v>
      </x:c>
      <x:c r="Q531" s="26"/>
      <x:c r="R531" s="26"/>
      <x:c r="S531" s="26" t="str">
        <x:v>Pending Mapping</x:v>
      </x:c>
      <x:c r="T531" s="26"/>
      <x:c r="U531" s="26"/>
      <x:c r="V531" s="26"/>
      <x:c r="W531" s="32"/>
      <x:c r="X531" s="27" t="b">
        <x:v>1</x:v>
      </x:c>
      <x:c r="Y531" s="34" t="n">
        <x:v>46219.41038194444</x:v>
      </x:c>
      <x:c r="Z531" s="26"/>
      <x:c r="AA531" s="26" t="str"/>
      <x:c r="AB531" s="26" t="str">
        <x:v>Activity name/category not included in contribution response</x:v>
      </x:c>
    </x:row>
    <x:row r="532">
      <x:c r="A532" s="26" t="n">
        <x:v>529</x:v>
      </x:c>
      <x:c r="B532" s="26" t="n">
        <x:v>167</x:v>
      </x:c>
      <x:c r="C532" s="26" t="str">
        <x:v>Kumuram Bheem Asifabad</x:v>
      </x:c>
      <x:c r="D532" s="26" t="n">
        <x:v>5725</x:v>
      </x:c>
      <x:c r="E532" s="26" t="str">
        <x:v>PRJ-2026-0005725</x:v>
      </x:c>
      <x:c r="F532" s="26" t="str">
        <x:v>Upgradation of Anganwadies</x:v>
      </x:c>
      <x:c r="G532" s="26" t="n">
        <x:v>347</x:v>
      </x:c>
      <x:c r="H532" s="26" t="n">
        <x:v>19906</x:v>
      </x:c>
      <x:c r="I532" s="26"/>
      <x:c r="J532" s="26"/>
      <x:c r="K532" s="26"/>
      <x:c r="L532" s="26" t="n">
        <x:v>10</x:v>
      </x:c>
      <x:c r="M532" s="26" t="n">
        <x:v>10</x:v>
      </x:c>
      <x:c r="N532" s="26" t="n">
        <x:v>0</x:v>
      </x:c>
      <x:c r="O532" s="26" t="n">
        <x:f>MAX(M532-N532,0)</x:f>
        <x:v>10</x:v>
      </x:c>
      <x:c r="P532" s="38" t="n">
        <x:f>IFERROR(N532/M532,0)</x:f>
        <x:v>0</x:v>
      </x:c>
      <x:c r="Q532" s="26"/>
      <x:c r="R532" s="26"/>
      <x:c r="S532" s="26" t="str">
        <x:v>Pending Mapping</x:v>
      </x:c>
      <x:c r="T532" s="26"/>
      <x:c r="U532" s="26"/>
      <x:c r="V532" s="26"/>
      <x:c r="W532" s="32"/>
      <x:c r="X532" s="27" t="b">
        <x:v>1</x:v>
      </x:c>
      <x:c r="Y532" s="34" t="n">
        <x:v>46219.41037037037</x:v>
      </x:c>
      <x:c r="Z532" s="26"/>
      <x:c r="AA532" s="26" t="str"/>
      <x:c r="AB532" s="26" t="str">
        <x:v>Activity name/category not included in contribution response</x:v>
      </x:c>
    </x:row>
    <x:row r="533">
      <x:c r="A533" s="26" t="n">
        <x:v>530</x:v>
      </x:c>
      <x:c r="B533" s="26" t="n">
        <x:v>167</x:v>
      </x:c>
      <x:c r="C533" s="26" t="str">
        <x:v>Kumuram Bheem Asifabad</x:v>
      </x:c>
      <x:c r="D533" s="26" t="n">
        <x:v>5725</x:v>
      </x:c>
      <x:c r="E533" s="26" t="str">
        <x:v>PRJ-2026-0005725</x:v>
      </x:c>
      <x:c r="F533" s="26" t="str">
        <x:v>Upgradation of Anganwadies</x:v>
      </x:c>
      <x:c r="G533" s="26" t="n">
        <x:v>348</x:v>
      </x:c>
      <x:c r="H533" s="26" t="n">
        <x:v>19907</x:v>
      </x:c>
      <x:c r="I533" s="26"/>
      <x:c r="J533" s="26"/>
      <x:c r="K533" s="26"/>
      <x:c r="L533" s="26" t="n">
        <x:v>2</x:v>
      </x:c>
      <x:c r="M533" s="26" t="n">
        <x:v>2</x:v>
      </x:c>
      <x:c r="N533" s="26" t="n">
        <x:v>0</x:v>
      </x:c>
      <x:c r="O533" s="26" t="n">
        <x:f>MAX(M533-N533,0)</x:f>
        <x:v>2</x:v>
      </x:c>
      <x:c r="P533" s="38" t="n">
        <x:f>IFERROR(N533/M533,0)</x:f>
        <x:v>0</x:v>
      </x:c>
      <x:c r="Q533" s="26"/>
      <x:c r="R533" s="26"/>
      <x:c r="S533" s="26" t="str">
        <x:v>Pending Mapping</x:v>
      </x:c>
      <x:c r="T533" s="26"/>
      <x:c r="U533" s="26"/>
      <x:c r="V533" s="26"/>
      <x:c r="W533" s="32"/>
      <x:c r="X533" s="27" t="b">
        <x:v>1</x:v>
      </x:c>
      <x:c r="Y533" s="34" t="n">
        <x:v>46219.41037037037</x:v>
      </x:c>
      <x:c r="Z533" s="26"/>
      <x:c r="AA533" s="26" t="str"/>
      <x:c r="AB533" s="26" t="str">
        <x:v>Activity name/category not included in contribution response</x:v>
      </x:c>
    </x:row>
    <x:row r="534">
      <x:c r="A534" s="26" t="n">
        <x:v>531</x:v>
      </x:c>
      <x:c r="B534" s="26" t="n">
        <x:v>180</x:v>
      </x:c>
      <x:c r="C534" s="26" t="str">
        <x:v>Kumuram Bheem Asifabad</x:v>
      </x:c>
      <x:c r="D534" s="26" t="n">
        <x:v>9159</x:v>
      </x:c>
      <x:c r="E534" s="26" t="str">
        <x:v>PRJ-2026-0009159</x:v>
      </x:c>
      <x:c r="F534" s="26" t="str">
        <x:v>Proposal for upgradation of Anganwadi centre</x:v>
      </x:c>
      <x:c r="G534" s="26" t="n">
        <x:v>403</x:v>
      </x:c>
      <x:c r="H534" s="26" t="n">
        <x:v>34376</x:v>
      </x:c>
      <x:c r="I534" s="26"/>
      <x:c r="J534" s="26"/>
      <x:c r="K534" s="26"/>
      <x:c r="L534" s="26" t="n">
        <x:v>1</x:v>
      </x:c>
      <x:c r="M534" s="26" t="n">
        <x:v>1</x:v>
      </x:c>
      <x:c r="N534" s="26" t="n">
        <x:v>0</x:v>
      </x:c>
      <x:c r="O534" s="26" t="n">
        <x:f>MAX(M534-N534,0)</x:f>
        <x:v>1</x:v>
      </x:c>
      <x:c r="P534" s="38" t="n">
        <x:f>IFERROR(N534/M534,0)</x:f>
        <x:v>0</x:v>
      </x:c>
      <x:c r="Q534" s="26"/>
      <x:c r="R534" s="26"/>
      <x:c r="S534" s="26" t="str">
        <x:v>Pending Mapping</x:v>
      </x:c>
      <x:c r="T534" s="26"/>
      <x:c r="U534" s="26"/>
      <x:c r="V534" s="26"/>
      <x:c r="W534" s="32"/>
      <x:c r="X534" s="27" t="b">
        <x:v>1</x:v>
      </x:c>
      <x:c r="Y534" s="34" t="n">
        <x:v>46219.40943287037</x:v>
      </x:c>
      <x:c r="Z534" s="26"/>
      <x:c r="AA534" s="26" t="str"/>
      <x:c r="AB534" s="26" t="str">
        <x:v>Activity name/category not included in contribution response</x:v>
      </x:c>
    </x:row>
    <x:row r="535">
      <x:c r="A535" s="26" t="n">
        <x:v>532</x:v>
      </x:c>
      <x:c r="B535" s="26" t="n">
        <x:v>180</x:v>
      </x:c>
      <x:c r="C535" s="26" t="str">
        <x:v>Kumuram Bheem Asifabad</x:v>
      </x:c>
      <x:c r="D535" s="26" t="n">
        <x:v>9159</x:v>
      </x:c>
      <x:c r="E535" s="26" t="str">
        <x:v>PRJ-2026-0009159</x:v>
      </x:c>
      <x:c r="F535" s="26" t="str">
        <x:v>Proposal for upgradation of Anganwadi centre</x:v>
      </x:c>
      <x:c r="G535" s="26" t="n">
        <x:v>404</x:v>
      </x:c>
      <x:c r="H535" s="26" t="n">
        <x:v>34377</x:v>
      </x:c>
      <x:c r="I535" s="26"/>
      <x:c r="J535" s="26"/>
      <x:c r="K535" s="26"/>
      <x:c r="L535" s="26" t="n">
        <x:v>1</x:v>
      </x:c>
      <x:c r="M535" s="26" t="n">
        <x:v>1</x:v>
      </x:c>
      <x:c r="N535" s="26" t="n">
        <x:v>0</x:v>
      </x:c>
      <x:c r="O535" s="26" t="n">
        <x:f>MAX(M535-N535,0)</x:f>
        <x:v>1</x:v>
      </x:c>
      <x:c r="P535" s="38" t="n">
        <x:f>IFERROR(N535/M535,0)</x:f>
        <x:v>0</x:v>
      </x:c>
      <x:c r="Q535" s="26"/>
      <x:c r="R535" s="26"/>
      <x:c r="S535" s="26" t="str">
        <x:v>Pending Mapping</x:v>
      </x:c>
      <x:c r="T535" s="26"/>
      <x:c r="U535" s="26"/>
      <x:c r="V535" s="26"/>
      <x:c r="W535" s="32"/>
      <x:c r="X535" s="27" t="b">
        <x:v>1</x:v>
      </x:c>
      <x:c r="Y535" s="34" t="n">
        <x:v>46219.40943287037</x:v>
      </x:c>
      <x:c r="Z535" s="26"/>
      <x:c r="AA535" s="26" t="str"/>
      <x:c r="AB535" s="26" t="str">
        <x:v>Activity name/category not included in contribution response</x:v>
      </x:c>
    </x:row>
    <x:row r="536">
      <x:c r="A536" s="26" t="n">
        <x:v>533</x:v>
      </x:c>
      <x:c r="B536" s="26" t="n">
        <x:v>180</x:v>
      </x:c>
      <x:c r="C536" s="26" t="str">
        <x:v>Kumuram Bheem Asifabad</x:v>
      </x:c>
      <x:c r="D536" s="26" t="n">
        <x:v>9159</x:v>
      </x:c>
      <x:c r="E536" s="26" t="str">
        <x:v>PRJ-2026-0009159</x:v>
      </x:c>
      <x:c r="F536" s="26" t="str">
        <x:v>Proposal for upgradation of Anganwadi centre</x:v>
      </x:c>
      <x:c r="G536" s="26" t="n">
        <x:v>405</x:v>
      </x:c>
      <x:c r="H536" s="26" t="n">
        <x:v>34378</x:v>
      </x:c>
      <x:c r="I536" s="26"/>
      <x:c r="J536" s="26"/>
      <x:c r="K536" s="26"/>
      <x:c r="L536" s="26" t="n">
        <x:v>5</x:v>
      </x:c>
      <x:c r="M536" s="26" t="n">
        <x:v>5</x:v>
      </x:c>
      <x:c r="N536" s="26" t="n">
        <x:v>0</x:v>
      </x:c>
      <x:c r="O536" s="26" t="n">
        <x:f>MAX(M536-N536,0)</x:f>
        <x:v>5</x:v>
      </x:c>
      <x:c r="P536" s="38" t="n">
        <x:f>IFERROR(N536/M536,0)</x:f>
        <x:v>0</x:v>
      </x:c>
      <x:c r="Q536" s="26"/>
      <x:c r="R536" s="26"/>
      <x:c r="S536" s="26" t="str">
        <x:v>Pending Mapping</x:v>
      </x:c>
      <x:c r="T536" s="26"/>
      <x:c r="U536" s="26"/>
      <x:c r="V536" s="26"/>
      <x:c r="W536" s="32"/>
      <x:c r="X536" s="27" t="b">
        <x:v>1</x:v>
      </x:c>
      <x:c r="Y536" s="34" t="n">
        <x:v>46219.40943287037</x:v>
      </x:c>
      <x:c r="Z536" s="26"/>
      <x:c r="AA536" s="26" t="str"/>
      <x:c r="AB536" s="26" t="str">
        <x:v>Activity name/category not included in contribution response</x:v>
      </x:c>
    </x:row>
    <x:row r="537">
      <x:c r="A537" s="26" t="n">
        <x:v>534</x:v>
      </x:c>
      <x:c r="B537" s="26" t="n">
        <x:v>180</x:v>
      </x:c>
      <x:c r="C537" s="26" t="str">
        <x:v>Kumuram Bheem Asifabad</x:v>
      </x:c>
      <x:c r="D537" s="26" t="n">
        <x:v>9159</x:v>
      </x:c>
      <x:c r="E537" s="26" t="str">
        <x:v>PRJ-2026-0009159</x:v>
      </x:c>
      <x:c r="F537" s="26" t="str">
        <x:v>Proposal for upgradation of Anganwadi centre</x:v>
      </x:c>
      <x:c r="G537" s="26" t="n">
        <x:v>406</x:v>
      </x:c>
      <x:c r="H537" s="26" t="n">
        <x:v>34379</x:v>
      </x:c>
      <x:c r="I537" s="26"/>
      <x:c r="J537" s="26"/>
      <x:c r="K537" s="26"/>
      <x:c r="L537" s="26" t="n">
        <x:v>1</x:v>
      </x:c>
      <x:c r="M537" s="26" t="n">
        <x:v>1</x:v>
      </x:c>
      <x:c r="N537" s="26" t="n">
        <x:v>0</x:v>
      </x:c>
      <x:c r="O537" s="26" t="n">
        <x:f>MAX(M537-N537,0)</x:f>
        <x:v>1</x:v>
      </x:c>
      <x:c r="P537" s="38" t="n">
        <x:f>IFERROR(N537/M537,0)</x:f>
        <x:v>0</x:v>
      </x:c>
      <x:c r="Q537" s="26"/>
      <x:c r="R537" s="26"/>
      <x:c r="S537" s="26" t="str">
        <x:v>Pending Mapping</x:v>
      </x:c>
      <x:c r="T537" s="26"/>
      <x:c r="U537" s="26"/>
      <x:c r="V537" s="26"/>
      <x:c r="W537" s="32"/>
      <x:c r="X537" s="27" t="b">
        <x:v>1</x:v>
      </x:c>
      <x:c r="Y537" s="34" t="n">
        <x:v>46219.40943287037</x:v>
      </x:c>
      <x:c r="Z537" s="26"/>
      <x:c r="AA537" s="26" t="str"/>
      <x:c r="AB537" s="26" t="str">
        <x:v>Activity name/category not included in contribution response</x:v>
      </x:c>
    </x:row>
    <x:row r="538">
      <x:c r="A538" s="26" t="n">
        <x:v>535</x:v>
      </x:c>
      <x:c r="B538" s="26" t="n">
        <x:v>181</x:v>
      </x:c>
      <x:c r="C538" s="26" t="str">
        <x:v>Kumuram Bheem Asifabad</x:v>
      </x:c>
      <x:c r="D538" s="26" t="n">
        <x:v>9651</x:v>
      </x:c>
      <x:c r="E538" s="26" t="str">
        <x:v>PRJ-2026-0009651</x:v>
      </x:c>
      <x:c r="F538" s="26" t="str">
        <x:v>Proposal for upgradation of Anganwadi centre</x:v>
      </x:c>
      <x:c r="G538" s="26" t="n">
        <x:v>407</x:v>
      </x:c>
      <x:c r="H538" s="26" t="n">
        <x:v>36666</x:v>
      </x:c>
      <x:c r="I538" s="26"/>
      <x:c r="J538" s="26"/>
      <x:c r="K538" s="26"/>
      <x:c r="L538" s="26" t="n">
        <x:v>15</x:v>
      </x:c>
      <x:c r="M538" s="26" t="n">
        <x:v>15</x:v>
      </x:c>
      <x:c r="N538" s="26" t="n">
        <x:v>0</x:v>
      </x:c>
      <x:c r="O538" s="26" t="n">
        <x:f>MAX(M538-N538,0)</x:f>
        <x:v>15</x:v>
      </x:c>
      <x:c r="P538" s="38" t="n">
        <x:f>IFERROR(N538/M538,0)</x:f>
        <x:v>0</x:v>
      </x:c>
      <x:c r="Q538" s="26"/>
      <x:c r="R538" s="26"/>
      <x:c r="S538" s="26" t="str">
        <x:v>Pending Mapping</x:v>
      </x:c>
      <x:c r="T538" s="26"/>
      <x:c r="U538" s="26"/>
      <x:c r="V538" s="26"/>
      <x:c r="W538" s="32"/>
      <x:c r="X538" s="27" t="b">
        <x:v>1</x:v>
      </x:c>
      <x:c r="Y538" s="34" t="n">
        <x:v>46219.40943287037</x:v>
      </x:c>
      <x:c r="Z538" s="26"/>
      <x:c r="AA538" s="26" t="str"/>
      <x:c r="AB538" s="26" t="str">
        <x:v>Activity name/category not included in contribution response</x:v>
      </x:c>
    </x:row>
    <x:row r="539">
      <x:c r="A539" s="26" t="n">
        <x:v>536</x:v>
      </x:c>
      <x:c r="B539" s="26" t="n">
        <x:v>181</x:v>
      </x:c>
      <x:c r="C539" s="26" t="str">
        <x:v>Kumuram Bheem Asifabad</x:v>
      </x:c>
      <x:c r="D539" s="26" t="n">
        <x:v>9651</x:v>
      </x:c>
      <x:c r="E539" s="26" t="str">
        <x:v>PRJ-2026-0009651</x:v>
      </x:c>
      <x:c r="F539" s="26" t="str">
        <x:v>Proposal for upgradation of Anganwadi centre</x:v>
      </x:c>
      <x:c r="G539" s="26" t="n">
        <x:v>408</x:v>
      </x:c>
      <x:c r="H539" s="26" t="n">
        <x:v>36667</x:v>
      </x:c>
      <x:c r="I539" s="26"/>
      <x:c r="J539" s="26"/>
      <x:c r="K539" s="26"/>
      <x:c r="L539" s="26" t="n">
        <x:v>1</x:v>
      </x:c>
      <x:c r="M539" s="26" t="n">
        <x:v>1</x:v>
      </x:c>
      <x:c r="N539" s="26" t="n">
        <x:v>0</x:v>
      </x:c>
      <x:c r="O539" s="26" t="n">
        <x:f>MAX(M539-N539,0)</x:f>
        <x:v>1</x:v>
      </x:c>
      <x:c r="P539" s="38" t="n">
        <x:f>IFERROR(N539/M539,0)</x:f>
        <x:v>0</x:v>
      </x:c>
      <x:c r="Q539" s="26"/>
      <x:c r="R539" s="26"/>
      <x:c r="S539" s="26" t="str">
        <x:v>Pending Mapping</x:v>
      </x:c>
      <x:c r="T539" s="26"/>
      <x:c r="U539" s="26"/>
      <x:c r="V539" s="26"/>
      <x:c r="W539" s="32"/>
      <x:c r="X539" s="27" t="b">
        <x:v>1</x:v>
      </x:c>
      <x:c r="Y539" s="34" t="n">
        <x:v>46219.40943287037</x:v>
      </x:c>
      <x:c r="Z539" s="26"/>
      <x:c r="AA539" s="26" t="str"/>
      <x:c r="AB539" s="26" t="str">
        <x:v>Activity name/category not included in contribution response</x:v>
      </x:c>
    </x:row>
    <x:row r="540">
      <x:c r="A540" s="26" t="n">
        <x:v>537</x:v>
      </x:c>
      <x:c r="B540" s="26" t="n">
        <x:v>181</x:v>
      </x:c>
      <x:c r="C540" s="26" t="str">
        <x:v>Kumuram Bheem Asifabad</x:v>
      </x:c>
      <x:c r="D540" s="26" t="n">
        <x:v>9651</x:v>
      </x:c>
      <x:c r="E540" s="26" t="str">
        <x:v>PRJ-2026-0009651</x:v>
      </x:c>
      <x:c r="F540" s="26" t="str">
        <x:v>Proposal for upgradation of Anganwadi centre</x:v>
      </x:c>
      <x:c r="G540" s="26" t="n">
        <x:v>409</x:v>
      </x:c>
      <x:c r="H540" s="26" t="n">
        <x:v>36668</x:v>
      </x:c>
      <x:c r="I540" s="26"/>
      <x:c r="J540" s="26"/>
      <x:c r="K540" s="26"/>
      <x:c r="L540" s="26" t="n">
        <x:v>1</x:v>
      </x:c>
      <x:c r="M540" s="26" t="n">
        <x:v>1</x:v>
      </x:c>
      <x:c r="N540" s="26" t="n">
        <x:v>0</x:v>
      </x:c>
      <x:c r="O540" s="26" t="n">
        <x:f>MAX(M540-N540,0)</x:f>
        <x:v>1</x:v>
      </x:c>
      <x:c r="P540" s="38" t="n">
        <x:f>IFERROR(N540/M540,0)</x:f>
        <x:v>0</x:v>
      </x:c>
      <x:c r="Q540" s="26"/>
      <x:c r="R540" s="26"/>
      <x:c r="S540" s="26" t="str">
        <x:v>Pending Mapping</x:v>
      </x:c>
      <x:c r="T540" s="26"/>
      <x:c r="U540" s="26"/>
      <x:c r="V540" s="26"/>
      <x:c r="W540" s="32"/>
      <x:c r="X540" s="27" t="b">
        <x:v>1</x:v>
      </x:c>
      <x:c r="Y540" s="34" t="n">
        <x:v>46219.40943287037</x:v>
      </x:c>
      <x:c r="Z540" s="26"/>
      <x:c r="AA540" s="26" t="str"/>
      <x:c r="AB540" s="26" t="str">
        <x:v>Activity name/category not included in contribution response</x:v>
      </x:c>
    </x:row>
    <x:row r="541">
      <x:c r="A541" s="26" t="n">
        <x:v>538</x:v>
      </x:c>
      <x:c r="B541" s="26" t="n">
        <x:v>181</x:v>
      </x:c>
      <x:c r="C541" s="26" t="str">
        <x:v>Kumuram Bheem Asifabad</x:v>
      </x:c>
      <x:c r="D541" s="26" t="n">
        <x:v>9651</x:v>
      </x:c>
      <x:c r="E541" s="26" t="str">
        <x:v>PRJ-2026-0009651</x:v>
      </x:c>
      <x:c r="F541" s="26" t="str">
        <x:v>Proposal for upgradation of Anganwadi centre</x:v>
      </x:c>
      <x:c r="G541" s="26" t="n">
        <x:v>410</x:v>
      </x:c>
      <x:c r="H541" s="26" t="n">
        <x:v>36669</x:v>
      </x:c>
      <x:c r="I541" s="26"/>
      <x:c r="J541" s="26"/>
      <x:c r="K541" s="26"/>
      <x:c r="L541" s="26" t="n">
        <x:v>1</x:v>
      </x:c>
      <x:c r="M541" s="26" t="n">
        <x:v>1</x:v>
      </x:c>
      <x:c r="N541" s="26" t="n">
        <x:v>0</x:v>
      </x:c>
      <x:c r="O541" s="26" t="n">
        <x:f>MAX(M541-N541,0)</x:f>
        <x:v>1</x:v>
      </x:c>
      <x:c r="P541" s="38" t="n">
        <x:f>IFERROR(N541/M541,0)</x:f>
        <x:v>0</x:v>
      </x:c>
      <x:c r="Q541" s="26"/>
      <x:c r="R541" s="26"/>
      <x:c r="S541" s="26" t="str">
        <x:v>Pending Mapping</x:v>
      </x:c>
      <x:c r="T541" s="26"/>
      <x:c r="U541" s="26"/>
      <x:c r="V541" s="26"/>
      <x:c r="W541" s="32"/>
      <x:c r="X541" s="27" t="b">
        <x:v>1</x:v>
      </x:c>
      <x:c r="Y541" s="34" t="n">
        <x:v>46219.40943287037</x:v>
      </x:c>
      <x:c r="Z541" s="26"/>
      <x:c r="AA541" s="26" t="str"/>
      <x:c r="AB541" s="26" t="str">
        <x:v>Activity name/category not included in contribution response</x:v>
      </x:c>
    </x:row>
    <x:row r="542">
      <x:c r="A542" s="26" t="n">
        <x:v>539</x:v>
      </x:c>
      <x:c r="B542" s="26" t="n">
        <x:v>181</x:v>
      </x:c>
      <x:c r="C542" s="26" t="str">
        <x:v>Kumuram Bheem Asifabad</x:v>
      </x:c>
      <x:c r="D542" s="26" t="n">
        <x:v>9651</x:v>
      </x:c>
      <x:c r="E542" s="26" t="str">
        <x:v>PRJ-2026-0009651</x:v>
      </x:c>
      <x:c r="F542" s="26" t="str">
        <x:v>Proposal for upgradation of Anganwadi centre</x:v>
      </x:c>
      <x:c r="G542" s="26" t="n">
        <x:v>411</x:v>
      </x:c>
      <x:c r="H542" s="26" t="n">
        <x:v>36670</x:v>
      </x:c>
      <x:c r="I542" s="26"/>
      <x:c r="J542" s="26"/>
      <x:c r="K542" s="26"/>
      <x:c r="L542" s="26" t="n">
        <x:v>5</x:v>
      </x:c>
      <x:c r="M542" s="26" t="n">
        <x:v>5</x:v>
      </x:c>
      <x:c r="N542" s="26" t="n">
        <x:v>0</x:v>
      </x:c>
      <x:c r="O542" s="26" t="n">
        <x:f>MAX(M542-N542,0)</x:f>
        <x:v>5</x:v>
      </x:c>
      <x:c r="P542" s="38" t="n">
        <x:f>IFERROR(N542/M542,0)</x:f>
        <x:v>0</x:v>
      </x:c>
      <x:c r="Q542" s="26"/>
      <x:c r="R542" s="26"/>
      <x:c r="S542" s="26" t="str">
        <x:v>Pending Mapping</x:v>
      </x:c>
      <x:c r="T542" s="26"/>
      <x:c r="U542" s="26"/>
      <x:c r="V542" s="26"/>
      <x:c r="W542" s="32"/>
      <x:c r="X542" s="27" t="b">
        <x:v>1</x:v>
      </x:c>
      <x:c r="Y542" s="34" t="n">
        <x:v>46219.40943287037</x:v>
      </x:c>
      <x:c r="Z542" s="26"/>
      <x:c r="AA542" s="26" t="str"/>
      <x:c r="AB542" s="26" t="str">
        <x:v>Activity name/category not included in contribution response</x:v>
      </x:c>
    </x:row>
    <x:row r="543">
      <x:c r="A543" s="26" t="n">
        <x:v>540</x:v>
      </x:c>
      <x:c r="B543" s="26" t="n">
        <x:v>182</x:v>
      </x:c>
      <x:c r="C543" s="26" t="str">
        <x:v>Kumuram Bheem Asifabad</x:v>
      </x:c>
      <x:c r="D543" s="26" t="n">
        <x:v>9717</x:v>
      </x:c>
      <x:c r="E543" s="26" t="str">
        <x:v>PRJ-2026-0009717</x:v>
      </x:c>
      <x:c r="F543" s="26" t="str">
        <x:v>Proposal for Upgradation of Anganwadi centre</x:v>
      </x:c>
      <x:c r="G543" s="26" t="n">
        <x:v>412</x:v>
      </x:c>
      <x:c r="H543" s="26" t="n">
        <x:v>36945</x:v>
      </x:c>
      <x:c r="I543" s="26"/>
      <x:c r="J543" s="26"/>
      <x:c r="K543" s="26"/>
      <x:c r="L543" s="26" t="n">
        <x:v>1</x:v>
      </x:c>
      <x:c r="M543" s="26" t="n">
        <x:v>1</x:v>
      </x:c>
      <x:c r="N543" s="26" t="n">
        <x:v>0</x:v>
      </x:c>
      <x:c r="O543" s="26" t="n">
        <x:f>MAX(M543-N543,0)</x:f>
        <x:v>1</x:v>
      </x:c>
      <x:c r="P543" s="38" t="n">
        <x:f>IFERROR(N543/M543,0)</x:f>
        <x:v>0</x:v>
      </x:c>
      <x:c r="Q543" s="26"/>
      <x:c r="R543" s="26"/>
      <x:c r="S543" s="26" t="str">
        <x:v>Pending Mapping</x:v>
      </x:c>
      <x:c r="T543" s="26"/>
      <x:c r="U543" s="26"/>
      <x:c r="V543" s="26"/>
      <x:c r="W543" s="32"/>
      <x:c r="X543" s="27" t="b">
        <x:v>1</x:v>
      </x:c>
      <x:c r="Y543" s="34" t="n">
        <x:v>46219.409421296295</x:v>
      </x:c>
      <x:c r="Z543" s="26"/>
      <x:c r="AA543" s="26" t="str"/>
      <x:c r="AB543" s="26" t="str">
        <x:v>Activity name/category not included in contribution response</x:v>
      </x:c>
    </x:row>
    <x:row r="544">
      <x:c r="A544" s="26" t="n">
        <x:v>541</x:v>
      </x:c>
      <x:c r="B544" s="26" t="n">
        <x:v>182</x:v>
      </x:c>
      <x:c r="C544" s="26" t="str">
        <x:v>Kumuram Bheem Asifabad</x:v>
      </x:c>
      <x:c r="D544" s="26" t="n">
        <x:v>9717</x:v>
      </x:c>
      <x:c r="E544" s="26" t="str">
        <x:v>PRJ-2026-0009717</x:v>
      </x:c>
      <x:c r="F544" s="26" t="str">
        <x:v>Proposal for Upgradation of Anganwadi centre</x:v>
      </x:c>
      <x:c r="G544" s="26" t="n">
        <x:v>413</x:v>
      </x:c>
      <x:c r="H544" s="26" t="n">
        <x:v>36946</x:v>
      </x:c>
      <x:c r="I544" s="26"/>
      <x:c r="J544" s="26"/>
      <x:c r="K544" s="26"/>
      <x:c r="L544" s="26" t="n">
        <x:v>1</x:v>
      </x:c>
      <x:c r="M544" s="26" t="n">
        <x:v>1</x:v>
      </x:c>
      <x:c r="N544" s="26" t="n">
        <x:v>0</x:v>
      </x:c>
      <x:c r="O544" s="26" t="n">
        <x:f>MAX(M544-N544,0)</x:f>
        <x:v>1</x:v>
      </x:c>
      <x:c r="P544" s="38" t="n">
        <x:f>IFERROR(N544/M544,0)</x:f>
        <x:v>0</x:v>
      </x:c>
      <x:c r="Q544" s="26"/>
      <x:c r="R544" s="26"/>
      <x:c r="S544" s="26" t="str">
        <x:v>Pending Mapping</x:v>
      </x:c>
      <x:c r="T544" s="26"/>
      <x:c r="U544" s="26"/>
      <x:c r="V544" s="26"/>
      <x:c r="W544" s="32"/>
      <x:c r="X544" s="27" t="b">
        <x:v>1</x:v>
      </x:c>
      <x:c r="Y544" s="34" t="n">
        <x:v>46219.409421296295</x:v>
      </x:c>
      <x:c r="Z544" s="26"/>
      <x:c r="AA544" s="26" t="str"/>
      <x:c r="AB544" s="26" t="str">
        <x:v>Activity name/category not included in contribution response</x:v>
      </x:c>
    </x:row>
    <x:row r="545">
      <x:c r="A545" s="26" t="n">
        <x:v>542</x:v>
      </x:c>
      <x:c r="B545" s="26" t="n">
        <x:v>182</x:v>
      </x:c>
      <x:c r="C545" s="26" t="str">
        <x:v>Kumuram Bheem Asifabad</x:v>
      </x:c>
      <x:c r="D545" s="26" t="n">
        <x:v>9717</x:v>
      </x:c>
      <x:c r="E545" s="26" t="str">
        <x:v>PRJ-2026-0009717</x:v>
      </x:c>
      <x:c r="F545" s="26" t="str">
        <x:v>Proposal for Upgradation of Anganwadi centre</x:v>
      </x:c>
      <x:c r="G545" s="26" t="n">
        <x:v>414</x:v>
      </x:c>
      <x:c r="H545" s="26" t="n">
        <x:v>36947</x:v>
      </x:c>
      <x:c r="I545" s="26"/>
      <x:c r="J545" s="26"/>
      <x:c r="K545" s="26"/>
      <x:c r="L545" s="26" t="n">
        <x:v>1</x:v>
      </x:c>
      <x:c r="M545" s="26" t="n">
        <x:v>1</x:v>
      </x:c>
      <x:c r="N545" s="26" t="n">
        <x:v>0</x:v>
      </x:c>
      <x:c r="O545" s="26" t="n">
        <x:f>MAX(M545-N545,0)</x:f>
        <x:v>1</x:v>
      </x:c>
      <x:c r="P545" s="38" t="n">
        <x:f>IFERROR(N545/M545,0)</x:f>
        <x:v>0</x:v>
      </x:c>
      <x:c r="Q545" s="26"/>
      <x:c r="R545" s="26"/>
      <x:c r="S545" s="26" t="str">
        <x:v>Pending Mapping</x:v>
      </x:c>
      <x:c r="T545" s="26"/>
      <x:c r="U545" s="26"/>
      <x:c r="V545" s="26"/>
      <x:c r="W545" s="32"/>
      <x:c r="X545" s="27" t="b">
        <x:v>1</x:v>
      </x:c>
      <x:c r="Y545" s="34" t="n">
        <x:v>46219.409421296295</x:v>
      </x:c>
      <x:c r="Z545" s="26"/>
      <x:c r="AA545" s="26" t="str"/>
      <x:c r="AB545" s="26" t="str">
        <x:v>Activity name/category not included in contribution response</x:v>
      </x:c>
    </x:row>
    <x:row r="546">
      <x:c r="A546" s="26" t="n">
        <x:v>543</x:v>
      </x:c>
      <x:c r="B546" s="26" t="n">
        <x:v>182</x:v>
      </x:c>
      <x:c r="C546" s="26" t="str">
        <x:v>Kumuram Bheem Asifabad</x:v>
      </x:c>
      <x:c r="D546" s="26" t="n">
        <x:v>9717</x:v>
      </x:c>
      <x:c r="E546" s="26" t="str">
        <x:v>PRJ-2026-0009717</x:v>
      </x:c>
      <x:c r="F546" s="26" t="str">
        <x:v>Proposal for Upgradation of Anganwadi centre</x:v>
      </x:c>
      <x:c r="G546" s="26" t="n">
        <x:v>415</x:v>
      </x:c>
      <x:c r="H546" s="26" t="n">
        <x:v>36948</x:v>
      </x:c>
      <x:c r="I546" s="26"/>
      <x:c r="J546" s="26"/>
      <x:c r="K546" s="26"/>
      <x:c r="L546" s="26" t="n">
        <x:v>5</x:v>
      </x:c>
      <x:c r="M546" s="26" t="n">
        <x:v>5</x:v>
      </x:c>
      <x:c r="N546" s="26" t="n">
        <x:v>0</x:v>
      </x:c>
      <x:c r="O546" s="26" t="n">
        <x:f>MAX(M546-N546,0)</x:f>
        <x:v>5</x:v>
      </x:c>
      <x:c r="P546" s="38" t="n">
        <x:f>IFERROR(N546/M546,0)</x:f>
        <x:v>0</x:v>
      </x:c>
      <x:c r="Q546" s="26"/>
      <x:c r="R546" s="26"/>
      <x:c r="S546" s="26" t="str">
        <x:v>Pending Mapping</x:v>
      </x:c>
      <x:c r="T546" s="26"/>
      <x:c r="U546" s="26"/>
      <x:c r="V546" s="26"/>
      <x:c r="W546" s="32"/>
      <x:c r="X546" s="27" t="b">
        <x:v>1</x:v>
      </x:c>
      <x:c r="Y546" s="34" t="n">
        <x:v>46219.409421296295</x:v>
      </x:c>
      <x:c r="Z546" s="26"/>
      <x:c r="AA546" s="26" t="str"/>
      <x:c r="AB546" s="26" t="str">
        <x:v>Activity name/category not included in contribution response</x:v>
      </x:c>
    </x:row>
    <x:row r="547">
      <x:c r="A547" s="26" t="n">
        <x:v>544</x:v>
      </x:c>
      <x:c r="B547" s="26" t="n">
        <x:v>183</x:v>
      </x:c>
      <x:c r="C547" s="26" t="str">
        <x:v>Kumuram Bheem Asifabad</x:v>
      </x:c>
      <x:c r="D547" s="26" t="n">
        <x:v>9810</x:v>
      </x:c>
      <x:c r="E547" s="26" t="str">
        <x:v>PRJ-2026-0009810</x:v>
      </x:c>
      <x:c r="F547" s="26" t="str">
        <x:v>Proposal for upgradation of Anganwadi centre</x:v>
      </x:c>
      <x:c r="G547" s="26" t="n">
        <x:v>416</x:v>
      </x:c>
      <x:c r="H547" s="26" t="n">
        <x:v>37337</x:v>
      </x:c>
      <x:c r="I547" s="26"/>
      <x:c r="J547" s="26"/>
      <x:c r="K547" s="26"/>
      <x:c r="L547" s="26" t="n">
        <x:v>15</x:v>
      </x:c>
      <x:c r="M547" s="26" t="n">
        <x:v>15</x:v>
      </x:c>
      <x:c r="N547" s="26" t="n">
        <x:v>0</x:v>
      </x:c>
      <x:c r="O547" s="26" t="n">
        <x:f>MAX(M547-N547,0)</x:f>
        <x:v>15</x:v>
      </x:c>
      <x:c r="P547" s="38" t="n">
        <x:f>IFERROR(N547/M547,0)</x:f>
        <x:v>0</x:v>
      </x:c>
      <x:c r="Q547" s="26"/>
      <x:c r="R547" s="26"/>
      <x:c r="S547" s="26" t="str">
        <x:v>Pending Mapping</x:v>
      </x:c>
      <x:c r="T547" s="26"/>
      <x:c r="U547" s="26"/>
      <x:c r="V547" s="26"/>
      <x:c r="W547" s="32"/>
      <x:c r="X547" s="27" t="b">
        <x:v>1</x:v>
      </x:c>
      <x:c r="Y547" s="34" t="n">
        <x:v>46219.40940972222</x:v>
      </x:c>
      <x:c r="Z547" s="26"/>
      <x:c r="AA547" s="26" t="str"/>
      <x:c r="AB547" s="26" t="str">
        <x:v>Activity name/category not included in contribution response</x:v>
      </x:c>
    </x:row>
    <x:row r="548">
      <x:c r="A548" s="26" t="n">
        <x:v>545</x:v>
      </x:c>
      <x:c r="B548" s="26" t="n">
        <x:v>183</x:v>
      </x:c>
      <x:c r="C548" s="26" t="str">
        <x:v>Kumuram Bheem Asifabad</x:v>
      </x:c>
      <x:c r="D548" s="26" t="n">
        <x:v>9810</x:v>
      </x:c>
      <x:c r="E548" s="26" t="str">
        <x:v>PRJ-2026-0009810</x:v>
      </x:c>
      <x:c r="F548" s="26" t="str">
        <x:v>Proposal for upgradation of Anganwadi centre</x:v>
      </x:c>
      <x:c r="G548" s="26" t="n">
        <x:v>417</x:v>
      </x:c>
      <x:c r="H548" s="26" t="n">
        <x:v>37338</x:v>
      </x:c>
      <x:c r="I548" s="26"/>
      <x:c r="J548" s="26"/>
      <x:c r="K548" s="26"/>
      <x:c r="L548" s="26" t="n">
        <x:v>1</x:v>
      </x:c>
      <x:c r="M548" s="26" t="n">
        <x:v>1</x:v>
      </x:c>
      <x:c r="N548" s="26" t="n">
        <x:v>0</x:v>
      </x:c>
      <x:c r="O548" s="26" t="n">
        <x:f>MAX(M548-N548,0)</x:f>
        <x:v>1</x:v>
      </x:c>
      <x:c r="P548" s="38" t="n">
        <x:f>IFERROR(N548/M548,0)</x:f>
        <x:v>0</x:v>
      </x:c>
      <x:c r="Q548" s="26"/>
      <x:c r="R548" s="26"/>
      <x:c r="S548" s="26" t="str">
        <x:v>Pending Mapping</x:v>
      </x:c>
      <x:c r="T548" s="26"/>
      <x:c r="U548" s="26"/>
      <x:c r="V548" s="26"/>
      <x:c r="W548" s="32"/>
      <x:c r="X548" s="27" t="b">
        <x:v>1</x:v>
      </x:c>
      <x:c r="Y548" s="34" t="n">
        <x:v>46219.40940972222</x:v>
      </x:c>
      <x:c r="Z548" s="26"/>
      <x:c r="AA548" s="26" t="str"/>
      <x:c r="AB548" s="26" t="str">
        <x:v>Activity name/category not included in contribution response</x:v>
      </x:c>
    </x:row>
    <x:row r="549">
      <x:c r="A549" s="26" t="n">
        <x:v>546</x:v>
      </x:c>
      <x:c r="B549" s="26" t="n">
        <x:v>183</x:v>
      </x:c>
      <x:c r="C549" s="26" t="str">
        <x:v>Kumuram Bheem Asifabad</x:v>
      </x:c>
      <x:c r="D549" s="26" t="n">
        <x:v>9810</x:v>
      </x:c>
      <x:c r="E549" s="26" t="str">
        <x:v>PRJ-2026-0009810</x:v>
      </x:c>
      <x:c r="F549" s="26" t="str">
        <x:v>Proposal for upgradation of Anganwadi centre</x:v>
      </x:c>
      <x:c r="G549" s="26" t="n">
        <x:v>418</x:v>
      </x:c>
      <x:c r="H549" s="26" t="n">
        <x:v>37339</x:v>
      </x:c>
      <x:c r="I549" s="26"/>
      <x:c r="J549" s="26"/>
      <x:c r="K549" s="26"/>
      <x:c r="L549" s="26" t="n">
        <x:v>1</x:v>
      </x:c>
      <x:c r="M549" s="26" t="n">
        <x:v>1</x:v>
      </x:c>
      <x:c r="N549" s="26" t="n">
        <x:v>0</x:v>
      </x:c>
      <x:c r="O549" s="26" t="n">
        <x:f>MAX(M549-N549,0)</x:f>
        <x:v>1</x:v>
      </x:c>
      <x:c r="P549" s="38" t="n">
        <x:f>IFERROR(N549/M549,0)</x:f>
        <x:v>0</x:v>
      </x:c>
      <x:c r="Q549" s="26"/>
      <x:c r="R549" s="26"/>
      <x:c r="S549" s="26" t="str">
        <x:v>Pending Mapping</x:v>
      </x:c>
      <x:c r="T549" s="26"/>
      <x:c r="U549" s="26"/>
      <x:c r="V549" s="26"/>
      <x:c r="W549" s="32"/>
      <x:c r="X549" s="27" t="b">
        <x:v>1</x:v>
      </x:c>
      <x:c r="Y549" s="34" t="n">
        <x:v>46219.40940972222</x:v>
      </x:c>
      <x:c r="Z549" s="26"/>
      <x:c r="AA549" s="26" t="str"/>
      <x:c r="AB549" s="26" t="str">
        <x:v>Activity name/category not included in contribution response</x:v>
      </x:c>
    </x:row>
    <x:row r="550">
      <x:c r="A550" s="26" t="n">
        <x:v>547</x:v>
      </x:c>
      <x:c r="B550" s="26" t="n">
        <x:v>183</x:v>
      </x:c>
      <x:c r="C550" s="26" t="str">
        <x:v>Kumuram Bheem Asifabad</x:v>
      </x:c>
      <x:c r="D550" s="26" t="n">
        <x:v>9810</x:v>
      </x:c>
      <x:c r="E550" s="26" t="str">
        <x:v>PRJ-2026-0009810</x:v>
      </x:c>
      <x:c r="F550" s="26" t="str">
        <x:v>Proposal for upgradation of Anganwadi centre</x:v>
      </x:c>
      <x:c r="G550" s="26" t="n">
        <x:v>419</x:v>
      </x:c>
      <x:c r="H550" s="26" t="n">
        <x:v>37340</x:v>
      </x:c>
      <x:c r="I550" s="26"/>
      <x:c r="J550" s="26"/>
      <x:c r="K550" s="26"/>
      <x:c r="L550" s="26" t="n">
        <x:v>1</x:v>
      </x:c>
      <x:c r="M550" s="26" t="n">
        <x:v>1</x:v>
      </x:c>
      <x:c r="N550" s="26" t="n">
        <x:v>0</x:v>
      </x:c>
      <x:c r="O550" s="26" t="n">
        <x:f>MAX(M550-N550,0)</x:f>
        <x:v>1</x:v>
      </x:c>
      <x:c r="P550" s="38" t="n">
        <x:f>IFERROR(N550/M550,0)</x:f>
        <x:v>0</x:v>
      </x:c>
      <x:c r="Q550" s="26"/>
      <x:c r="R550" s="26"/>
      <x:c r="S550" s="26" t="str">
        <x:v>Pending Mapping</x:v>
      </x:c>
      <x:c r="T550" s="26"/>
      <x:c r="U550" s="26"/>
      <x:c r="V550" s="26"/>
      <x:c r="W550" s="32"/>
      <x:c r="X550" s="27" t="b">
        <x:v>1</x:v>
      </x:c>
      <x:c r="Y550" s="34" t="n">
        <x:v>46219.40940972222</x:v>
      </x:c>
      <x:c r="Z550" s="26"/>
      <x:c r="AA550" s="26" t="str"/>
      <x:c r="AB550" s="26" t="str">
        <x:v>Activity name/category not included in contribution response</x:v>
      </x:c>
    </x:row>
    <x:row r="551">
      <x:c r="A551" s="26" t="n">
        <x:v>548</x:v>
      </x:c>
      <x:c r="B551" s="26" t="n">
        <x:v>183</x:v>
      </x:c>
      <x:c r="C551" s="26" t="str">
        <x:v>Kumuram Bheem Asifabad</x:v>
      </x:c>
      <x:c r="D551" s="26" t="n">
        <x:v>9810</x:v>
      </x:c>
      <x:c r="E551" s="26" t="str">
        <x:v>PRJ-2026-0009810</x:v>
      </x:c>
      <x:c r="F551" s="26" t="str">
        <x:v>Proposal for upgradation of Anganwadi centre</x:v>
      </x:c>
      <x:c r="G551" s="26" t="n">
        <x:v>420</x:v>
      </x:c>
      <x:c r="H551" s="26" t="n">
        <x:v>37341</x:v>
      </x:c>
      <x:c r="I551" s="26"/>
      <x:c r="J551" s="26"/>
      <x:c r="K551" s="26"/>
      <x:c r="L551" s="26" t="n">
        <x:v>5</x:v>
      </x:c>
      <x:c r="M551" s="26" t="n">
        <x:v>5</x:v>
      </x:c>
      <x:c r="N551" s="26" t="n">
        <x:v>0</x:v>
      </x:c>
      <x:c r="O551" s="26" t="n">
        <x:f>MAX(M551-N551,0)</x:f>
        <x:v>5</x:v>
      </x:c>
      <x:c r="P551" s="38" t="n">
        <x:f>IFERROR(N551/M551,0)</x:f>
        <x:v>0</x:v>
      </x:c>
      <x:c r="Q551" s="26"/>
      <x:c r="R551" s="26"/>
      <x:c r="S551" s="26" t="str">
        <x:v>Pending Mapping</x:v>
      </x:c>
      <x:c r="T551" s="26"/>
      <x:c r="U551" s="26"/>
      <x:c r="V551" s="26"/>
      <x:c r="W551" s="32"/>
      <x:c r="X551" s="27" t="b">
        <x:v>1</x:v>
      </x:c>
      <x:c r="Y551" s="34" t="n">
        <x:v>46219.40940972222</x:v>
      </x:c>
      <x:c r="Z551" s="26"/>
      <x:c r="AA551" s="26" t="str"/>
      <x:c r="AB551" s="26" t="str">
        <x:v>Activity name/category not included in contribution response</x:v>
      </x:c>
    </x:row>
    <x:row r="552">
      <x:c r="A552" s="26" t="n">
        <x:v>549</x:v>
      </x:c>
      <x:c r="B552" s="26" t="n">
        <x:v>187</x:v>
      </x:c>
      <x:c r="C552" s="26" t="str">
        <x:v>Kumuram Bheem Asifabad</x:v>
      </x:c>
      <x:c r="D552" s="26" t="n">
        <x:v>10421</x:v>
      </x:c>
      <x:c r="E552" s="26" t="str">
        <x:v>PRJ-2026-0010421</x:v>
      </x:c>
      <x:c r="F552" s="26" t="str">
        <x:v>Water filter, gas stove, ECCE metirial </x:v>
      </x:c>
      <x:c r="G552" s="26" t="n">
        <x:v>425</x:v>
      </x:c>
      <x:c r="H552" s="26" t="n">
        <x:v>39795</x:v>
      </x:c>
      <x:c r="I552" s="26"/>
      <x:c r="J552" s="26"/>
      <x:c r="K552" s="26"/>
      <x:c r="L552" s="26" t="n">
        <x:v>1</x:v>
      </x:c>
      <x:c r="M552" s="26" t="n">
        <x:v>1</x:v>
      </x:c>
      <x:c r="N552" s="26" t="n">
        <x:v>0</x:v>
      </x:c>
      <x:c r="O552" s="26" t="n">
        <x:f>MAX(M552-N552,0)</x:f>
        <x:v>1</x:v>
      </x:c>
      <x:c r="P552" s="38" t="n">
        <x:f>IFERROR(N552/M552,0)</x:f>
        <x:v>0</x:v>
      </x:c>
      <x:c r="Q552" s="26"/>
      <x:c r="R552" s="26"/>
      <x:c r="S552" s="26" t="str">
        <x:v>Pending Mapping</x:v>
      </x:c>
      <x:c r="T552" s="26"/>
      <x:c r="U552" s="26"/>
      <x:c r="V552" s="26"/>
      <x:c r="W552" s="32"/>
      <x:c r="X552" s="27" t="b">
        <x:v>1</x:v>
      </x:c>
      <x:c r="Y552" s="34" t="n">
        <x:v>46219.40938657407</x:v>
      </x:c>
      <x:c r="Z552" s="26"/>
      <x:c r="AA552" s="26" t="str"/>
      <x:c r="AB552" s="26" t="str">
        <x:v>Activity name/category not included in contribution response</x:v>
      </x:c>
    </x:row>
    <x:row r="553">
      <x:c r="A553" s="26" t="n">
        <x:v>550</x:v>
      </x:c>
      <x:c r="B553" s="26" t="n">
        <x:v>187</x:v>
      </x:c>
      <x:c r="C553" s="26" t="str">
        <x:v>Kumuram Bheem Asifabad</x:v>
      </x:c>
      <x:c r="D553" s="26" t="n">
        <x:v>10421</x:v>
      </x:c>
      <x:c r="E553" s="26" t="str">
        <x:v>PRJ-2026-0010421</x:v>
      </x:c>
      <x:c r="F553" s="26" t="str">
        <x:v>Water filter, gas stove, ECCE metirial </x:v>
      </x:c>
      <x:c r="G553" s="26" t="n">
        <x:v>426</x:v>
      </x:c>
      <x:c r="H553" s="26" t="n">
        <x:v>39796</x:v>
      </x:c>
      <x:c r="I553" s="26"/>
      <x:c r="J553" s="26"/>
      <x:c r="K553" s="26"/>
      <x:c r="L553" s="26" t="n">
        <x:v>1</x:v>
      </x:c>
      <x:c r="M553" s="26" t="n">
        <x:v>1</x:v>
      </x:c>
      <x:c r="N553" s="26" t="n">
        <x:v>0</x:v>
      </x:c>
      <x:c r="O553" s="26" t="n">
        <x:f>MAX(M553-N553,0)</x:f>
        <x:v>1</x:v>
      </x:c>
      <x:c r="P553" s="38" t="n">
        <x:f>IFERROR(N553/M553,0)</x:f>
        <x:v>0</x:v>
      </x:c>
      <x:c r="Q553" s="26"/>
      <x:c r="R553" s="26"/>
      <x:c r="S553" s="26" t="str">
        <x:v>Pending Mapping</x:v>
      </x:c>
      <x:c r="T553" s="26"/>
      <x:c r="U553" s="26"/>
      <x:c r="V553" s="26"/>
      <x:c r="W553" s="32"/>
      <x:c r="X553" s="27" t="b">
        <x:v>1</x:v>
      </x:c>
      <x:c r="Y553" s="34" t="n">
        <x:v>46219.40938657407</x:v>
      </x:c>
      <x:c r="Z553" s="26"/>
      <x:c r="AA553" s="26" t="str"/>
      <x:c r="AB553" s="26" t="str">
        <x:v>Activity name/category not included in contribution response</x:v>
      </x:c>
    </x:row>
    <x:row r="554">
      <x:c r="A554" s="26" t="n">
        <x:v>551</x:v>
      </x:c>
      <x:c r="B554" s="26" t="n">
        <x:v>188</x:v>
      </x:c>
      <x:c r="C554" s="26" t="str">
        <x:v>Kumuram Bheem Asifabad</x:v>
      </x:c>
      <x:c r="D554" s="26" t="n">
        <x:v>10521</x:v>
      </x:c>
      <x:c r="E554" s="26" t="str">
        <x:v>PRJ-2026-0010521</x:v>
      </x:c>
      <x:c r="F554" s="26" t="str">
        <x:v>Water filter, ECCE metirial </x:v>
      </x:c>
      <x:c r="G554" s="26" t="n">
        <x:v>427</x:v>
      </x:c>
      <x:c r="H554" s="26" t="n">
        <x:v>40194</x:v>
      </x:c>
      <x:c r="I554" s="26"/>
      <x:c r="J554" s="26"/>
      <x:c r="K554" s="26"/>
      <x:c r="L554" s="26" t="n">
        <x:v>1</x:v>
      </x:c>
      <x:c r="M554" s="26" t="n">
        <x:v>1</x:v>
      </x:c>
      <x:c r="N554" s="26" t="n">
        <x:v>0</x:v>
      </x:c>
      <x:c r="O554" s="26" t="n">
        <x:f>MAX(M554-N554,0)</x:f>
        <x:v>1</x:v>
      </x:c>
      <x:c r="P554" s="38" t="n">
        <x:f>IFERROR(N554/M554,0)</x:f>
        <x:v>0</x:v>
      </x:c>
      <x:c r="Q554" s="26"/>
      <x:c r="R554" s="26"/>
      <x:c r="S554" s="26" t="str">
        <x:v>Pending Mapping</x:v>
      </x:c>
      <x:c r="T554" s="26"/>
      <x:c r="U554" s="26"/>
      <x:c r="V554" s="26"/>
      <x:c r="W554" s="32"/>
      <x:c r="X554" s="27" t="b">
        <x:v>1</x:v>
      </x:c>
      <x:c r="Y554" s="34" t="n">
        <x:v>46219.409375</x:v>
      </x:c>
      <x:c r="Z554" s="26"/>
      <x:c r="AA554" s="26" t="str"/>
      <x:c r="AB554" s="26" t="str">
        <x:v>Activity name/category not included in contribution response</x:v>
      </x:c>
    </x:row>
    <x:row r="555">
      <x:c r="A555" s="26" t="n">
        <x:v>552</x:v>
      </x:c>
      <x:c r="B555" s="26" t="n">
        <x:v>188</x:v>
      </x:c>
      <x:c r="C555" s="26" t="str">
        <x:v>Kumuram Bheem Asifabad</x:v>
      </x:c>
      <x:c r="D555" s="26" t="n">
        <x:v>10521</x:v>
      </x:c>
      <x:c r="E555" s="26" t="str">
        <x:v>PRJ-2026-0010521</x:v>
      </x:c>
      <x:c r="F555" s="26" t="str">
        <x:v>Water filter, ECCE metirial </x:v>
      </x:c>
      <x:c r="G555" s="26" t="n">
        <x:v>428</x:v>
      </x:c>
      <x:c r="H555" s="26" t="n">
        <x:v>40195</x:v>
      </x:c>
      <x:c r="I555" s="26"/>
      <x:c r="J555" s="26"/>
      <x:c r="K555" s="26"/>
      <x:c r="L555" s="26" t="n">
        <x:v>1</x:v>
      </x:c>
      <x:c r="M555" s="26" t="n">
        <x:v>1</x:v>
      </x:c>
      <x:c r="N555" s="26" t="n">
        <x:v>0</x:v>
      </x:c>
      <x:c r="O555" s="26" t="n">
        <x:f>MAX(M555-N555,0)</x:f>
        <x:v>1</x:v>
      </x:c>
      <x:c r="P555" s="38" t="n">
        <x:f>IFERROR(N555/M555,0)</x:f>
        <x:v>0</x:v>
      </x:c>
      <x:c r="Q555" s="26"/>
      <x:c r="R555" s="26"/>
      <x:c r="S555" s="26" t="str">
        <x:v>Pending Mapping</x:v>
      </x:c>
      <x:c r="T555" s="26"/>
      <x:c r="U555" s="26"/>
      <x:c r="V555" s="26"/>
      <x:c r="W555" s="32"/>
      <x:c r="X555" s="27" t="b">
        <x:v>1</x:v>
      </x:c>
      <x:c r="Y555" s="34" t="n">
        <x:v>46219.409375</x:v>
      </x:c>
      <x:c r="Z555" s="26"/>
      <x:c r="AA555" s="26" t="str"/>
      <x:c r="AB555" s="26" t="str">
        <x:v>Activity name/category not included in contribution response</x:v>
      </x:c>
    </x:row>
    <x:row r="556">
      <x:c r="A556" s="26" t="n">
        <x:v>553</x:v>
      </x:c>
      <x:c r="B556" s="26" t="n">
        <x:v>188</x:v>
      </x:c>
      <x:c r="C556" s="26" t="str">
        <x:v>Kumuram Bheem Asifabad</x:v>
      </x:c>
      <x:c r="D556" s="26" t="n">
        <x:v>10521</x:v>
      </x:c>
      <x:c r="E556" s="26" t="str">
        <x:v>PRJ-2026-0010521</x:v>
      </x:c>
      <x:c r="F556" s="26" t="str">
        <x:v>Water filter, ECCE metirial </x:v>
      </x:c>
      <x:c r="G556" s="26" t="n">
        <x:v>429</x:v>
      </x:c>
      <x:c r="H556" s="26" t="n">
        <x:v>40196</x:v>
      </x:c>
      <x:c r="I556" s="26"/>
      <x:c r="J556" s="26"/>
      <x:c r="K556" s="26"/>
      <x:c r="L556" s="26" t="n">
        <x:v>1</x:v>
      </x:c>
      <x:c r="M556" s="26" t="n">
        <x:v>1</x:v>
      </x:c>
      <x:c r="N556" s="26" t="n">
        <x:v>0</x:v>
      </x:c>
      <x:c r="O556" s="26" t="n">
        <x:f>MAX(M556-N556,0)</x:f>
        <x:v>1</x:v>
      </x:c>
      <x:c r="P556" s="38" t="n">
        <x:f>IFERROR(N556/M556,0)</x:f>
        <x:v>0</x:v>
      </x:c>
      <x:c r="Q556" s="26"/>
      <x:c r="R556" s="26"/>
      <x:c r="S556" s="26" t="str">
        <x:v>Pending Mapping</x:v>
      </x:c>
      <x:c r="T556" s="26"/>
      <x:c r="U556" s="26"/>
      <x:c r="V556" s="26"/>
      <x:c r="W556" s="32"/>
      <x:c r="X556" s="27" t="b">
        <x:v>1</x:v>
      </x:c>
      <x:c r="Y556" s="34" t="n">
        <x:v>46219.409375</x:v>
      </x:c>
      <x:c r="Z556" s="26"/>
      <x:c r="AA556" s="26" t="str"/>
      <x:c r="AB556" s="26" t="str">
        <x:v>Activity name/category not included in contribution response</x:v>
      </x:c>
    </x:row>
    <x:row r="557">
      <x:c r="A557" s="26" t="n">
        <x:v>554</x:v>
      </x:c>
      <x:c r="B557" s="26" t="n">
        <x:v>188</x:v>
      </x:c>
      <x:c r="C557" s="26" t="str">
        <x:v>Kumuram Bheem Asifabad</x:v>
      </x:c>
      <x:c r="D557" s="26" t="n">
        <x:v>10521</x:v>
      </x:c>
      <x:c r="E557" s="26" t="str">
        <x:v>PRJ-2026-0010521</x:v>
      </x:c>
      <x:c r="F557" s="26" t="str">
        <x:v>Water filter, ECCE metirial </x:v>
      </x:c>
      <x:c r="G557" s="26" t="n">
        <x:v>430</x:v>
      </x:c>
      <x:c r="H557" s="26" t="n">
        <x:v>40197</x:v>
      </x:c>
      <x:c r="I557" s="26"/>
      <x:c r="J557" s="26"/>
      <x:c r="K557" s="26"/>
      <x:c r="L557" s="26" t="n">
        <x:v>1</x:v>
      </x:c>
      <x:c r="M557" s="26" t="n">
        <x:v>1</x:v>
      </x:c>
      <x:c r="N557" s="26" t="n">
        <x:v>0</x:v>
      </x:c>
      <x:c r="O557" s="26" t="n">
        <x:f>MAX(M557-N557,0)</x:f>
        <x:v>1</x:v>
      </x:c>
      <x:c r="P557" s="38" t="n">
        <x:f>IFERROR(N557/M557,0)</x:f>
        <x:v>0</x:v>
      </x:c>
      <x:c r="Q557" s="26"/>
      <x:c r="R557" s="26"/>
      <x:c r="S557" s="26" t="str">
        <x:v>Pending Mapping</x:v>
      </x:c>
      <x:c r="T557" s="26"/>
      <x:c r="U557" s="26"/>
      <x:c r="V557" s="26"/>
      <x:c r="W557" s="32"/>
      <x:c r="X557" s="27" t="b">
        <x:v>1</x:v>
      </x:c>
      <x:c r="Y557" s="34" t="n">
        <x:v>46219.409375</x:v>
      </x:c>
      <x:c r="Z557" s="26"/>
      <x:c r="AA557" s="26" t="str"/>
      <x:c r="AB557" s="26" t="str">
        <x:v>Activity name/category not included in contribution response</x:v>
      </x:c>
    </x:row>
    <x:row r="558">
      <x:c r="A558" s="26" t="n">
        <x:v>555</x:v>
      </x:c>
      <x:c r="B558" s="26" t="n">
        <x:v>188</x:v>
      </x:c>
      <x:c r="C558" s="26" t="str">
        <x:v>Kumuram Bheem Asifabad</x:v>
      </x:c>
      <x:c r="D558" s="26" t="n">
        <x:v>10521</x:v>
      </x:c>
      <x:c r="E558" s="26" t="str">
        <x:v>PRJ-2026-0010521</x:v>
      </x:c>
      <x:c r="F558" s="26" t="str">
        <x:v>Water filter, ECCE metirial </x:v>
      </x:c>
      <x:c r="G558" s="26" t="n">
        <x:v>431</x:v>
      </x:c>
      <x:c r="H558" s="26" t="n">
        <x:v>40198</x:v>
      </x:c>
      <x:c r="I558" s="26"/>
      <x:c r="J558" s="26"/>
      <x:c r="K558" s="26"/>
      <x:c r="L558" s="26" t="n">
        <x:v>4</x:v>
      </x:c>
      <x:c r="M558" s="26" t="n">
        <x:v>4</x:v>
      </x:c>
      <x:c r="N558" s="26" t="n">
        <x:v>0</x:v>
      </x:c>
      <x:c r="O558" s="26" t="n">
        <x:f>MAX(M558-N558,0)</x:f>
        <x:v>4</x:v>
      </x:c>
      <x:c r="P558" s="38" t="n">
        <x:f>IFERROR(N558/M558,0)</x:f>
        <x:v>0</x:v>
      </x:c>
      <x:c r="Q558" s="26"/>
      <x:c r="R558" s="26"/>
      <x:c r="S558" s="26" t="str">
        <x:v>Pending Mapping</x:v>
      </x:c>
      <x:c r="T558" s="26"/>
      <x:c r="U558" s="26"/>
      <x:c r="V558" s="26"/>
      <x:c r="W558" s="32"/>
      <x:c r="X558" s="27" t="b">
        <x:v>1</x:v>
      </x:c>
      <x:c r="Y558" s="34" t="n">
        <x:v>46219.409375</x:v>
      </x:c>
      <x:c r="Z558" s="26"/>
      <x:c r="AA558" s="26" t="str"/>
      <x:c r="AB558" s="26" t="str">
        <x:v>Activity name/category not included in contribution response</x:v>
      </x:c>
    </x:row>
    <x:row r="559">
      <x:c r="A559" s="26" t="n">
        <x:v>556</x:v>
      </x:c>
      <x:c r="B559" s="26" t="n">
        <x:v>130</x:v>
      </x:c>
      <x:c r="C559" s="26" t="str">
        <x:v>Siddipet</x:v>
      </x:c>
      <x:c r="D559" s="26" t="n">
        <x:v>3649</x:v>
      </x:c>
      <x:c r="E559" s="26" t="str">
        <x:v>PRJ-2026-0003649</x:v>
      </x:c>
      <x:c r="F559" s="26" t="str">
        <x:v>doulthabad 1 requirement</x:v>
      </x:c>
      <x:c r="G559" s="26" t="n">
        <x:v>253</x:v>
      </x:c>
      <x:c r="H559" s="26" t="n">
        <x:v>12071</x:v>
      </x:c>
      <x:c r="I559" s="26"/>
      <x:c r="J559" s="26"/>
      <x:c r="K559" s="26"/>
      <x:c r="L559" s="26" t="n">
        <x:v>1</x:v>
      </x:c>
      <x:c r="M559" s="26" t="n">
        <x:v>1</x:v>
      </x:c>
      <x:c r="N559" s="26" t="n">
        <x:v>0</x:v>
      </x:c>
      <x:c r="O559" s="26" t="n">
        <x:f>MAX(M559-N559,0)</x:f>
        <x:v>1</x:v>
      </x:c>
      <x:c r="P559" s="38" t="n">
        <x:f>IFERROR(N559/M559,0)</x:f>
        <x:v>0</x:v>
      </x:c>
      <x:c r="Q559" s="26"/>
      <x:c r="R559" s="26"/>
      <x:c r="S559" s="26" t="str">
        <x:v>Pending Mapping</x:v>
      </x:c>
      <x:c r="T559" s="26"/>
      <x:c r="U559" s="26"/>
      <x:c r="V559" s="26"/>
      <x:c r="W559" s="32"/>
      <x:c r="X559" s="27" t="b">
        <x:v>1</x:v>
      </x:c>
      <x:c r="Y559" s="34" t="n">
        <x:v>46219.40523148148</x:v>
      </x:c>
      <x:c r="Z559" s="26"/>
      <x:c r="AA559" s="26" t="str"/>
      <x:c r="AB559" s="26" t="str">
        <x:v>Activity name/category not included in contribution response</x:v>
      </x:c>
    </x:row>
    <x:row r="560">
      <x:c r="A560" s="26" t="n">
        <x:v>557</x:v>
      </x:c>
      <x:c r="B560" s="26" t="n">
        <x:v>130</x:v>
      </x:c>
      <x:c r="C560" s="26" t="str">
        <x:v>Siddipet</x:v>
      </x:c>
      <x:c r="D560" s="26" t="n">
        <x:v>3649</x:v>
      </x:c>
      <x:c r="E560" s="26" t="str">
        <x:v>PRJ-2026-0003649</x:v>
      </x:c>
      <x:c r="F560" s="26" t="str">
        <x:v>doulthabad 1 requirement</x:v>
      </x:c>
      <x:c r="G560" s="26" t="n">
        <x:v>254</x:v>
      </x:c>
      <x:c r="H560" s="26" t="n">
        <x:v>12072</x:v>
      </x:c>
      <x:c r="I560" s="26"/>
      <x:c r="J560" s="26"/>
      <x:c r="K560" s="26"/>
      <x:c r="L560" s="26" t="n">
        <x:v>1</x:v>
      </x:c>
      <x:c r="M560" s="26" t="n">
        <x:v>1</x:v>
      </x:c>
      <x:c r="N560" s="26" t="n">
        <x:v>0</x:v>
      </x:c>
      <x:c r="O560" s="26" t="n">
        <x:f>MAX(M560-N560,0)</x:f>
        <x:v>1</x:v>
      </x:c>
      <x:c r="P560" s="38" t="n">
        <x:f>IFERROR(N560/M560,0)</x:f>
        <x:v>0</x:v>
      </x:c>
      <x:c r="Q560" s="26"/>
      <x:c r="R560" s="26"/>
      <x:c r="S560" s="26" t="str">
        <x:v>Pending Mapping</x:v>
      </x:c>
      <x:c r="T560" s="26"/>
      <x:c r="U560" s="26"/>
      <x:c r="V560" s="26"/>
      <x:c r="W560" s="32"/>
      <x:c r="X560" s="27" t="b">
        <x:v>1</x:v>
      </x:c>
      <x:c r="Y560" s="34" t="n">
        <x:v>46219.40523148148</x:v>
      </x:c>
      <x:c r="Z560" s="26"/>
      <x:c r="AA560" s="26" t="str"/>
      <x:c r="AB560" s="26" t="str">
        <x:v>Activity name/category not included in contribution response</x:v>
      </x:c>
    </x:row>
    <x:row r="561">
      <x:c r="A561" s="26" t="n">
        <x:v>558</x:v>
      </x:c>
      <x:c r="B561" s="26" t="n">
        <x:v>130</x:v>
      </x:c>
      <x:c r="C561" s="26" t="str">
        <x:v>Siddipet</x:v>
      </x:c>
      <x:c r="D561" s="26" t="n">
        <x:v>3649</x:v>
      </x:c>
      <x:c r="E561" s="26" t="str">
        <x:v>PRJ-2026-0003649</x:v>
      </x:c>
      <x:c r="F561" s="26" t="str">
        <x:v>doulthabad 1 requirement</x:v>
      </x:c>
      <x:c r="G561" s="26" t="n">
        <x:v>255</x:v>
      </x:c>
      <x:c r="H561" s="26" t="n">
        <x:v>12074</x:v>
      </x:c>
      <x:c r="I561" s="26"/>
      <x:c r="J561" s="26"/>
      <x:c r="K561" s="26"/>
      <x:c r="L561" s="26" t="n">
        <x:v>1</x:v>
      </x:c>
      <x:c r="M561" s="26" t="n">
        <x:v>1</x:v>
      </x:c>
      <x:c r="N561" s="26" t="n">
        <x:v>0</x:v>
      </x:c>
      <x:c r="O561" s="26" t="n">
        <x:f>MAX(M561-N561,0)</x:f>
        <x:v>1</x:v>
      </x:c>
      <x:c r="P561" s="38" t="n">
        <x:f>IFERROR(N561/M561,0)</x:f>
        <x:v>0</x:v>
      </x:c>
      <x:c r="Q561" s="26"/>
      <x:c r="R561" s="26"/>
      <x:c r="S561" s="26" t="str">
        <x:v>Pending Mapping</x:v>
      </x:c>
      <x:c r="T561" s="26"/>
      <x:c r="U561" s="26"/>
      <x:c r="V561" s="26"/>
      <x:c r="W561" s="32"/>
      <x:c r="X561" s="27" t="b">
        <x:v>1</x:v>
      </x:c>
      <x:c r="Y561" s="34" t="n">
        <x:v>46219.40523148148</x:v>
      </x:c>
      <x:c r="Z561" s="26"/>
      <x:c r="AA561" s="26" t="str"/>
      <x:c r="AB561" s="26" t="str">
        <x:v>Activity name/category not included in contribution response</x:v>
      </x:c>
    </x:row>
    <x:row r="562">
      <x:c r="A562" s="26" t="n">
        <x:v>559</x:v>
      </x:c>
      <x:c r="B562" s="26" t="n">
        <x:v>129</x:v>
      </x:c>
      <x:c r="C562" s="26" t="str">
        <x:v>Kumuram Bheem Asifabad</x:v>
      </x:c>
      <x:c r="D562" s="26" t="n">
        <x:v>4191</x:v>
      </x:c>
      <x:c r="E562" s="26" t="str">
        <x:v>PRJ-2026-0004191</x:v>
      </x:c>
      <x:c r="F562" s="26" t="str">
        <x:v>water filter</x:v>
      </x:c>
      <x:c r="G562" s="26" t="n">
        <x:v>252</x:v>
      </x:c>
      <x:c r="H562" s="26" t="n">
        <x:v>13934</x:v>
      </x:c>
      <x:c r="I562" s="26"/>
      <x:c r="J562" s="26"/>
      <x:c r="K562" s="26"/>
      <x:c r="L562" s="26" t="n">
        <x:v>1</x:v>
      </x:c>
      <x:c r="M562" s="26" t="n">
        <x:v>1</x:v>
      </x:c>
      <x:c r="N562" s="26" t="n">
        <x:v>0</x:v>
      </x:c>
      <x:c r="O562" s="26" t="n">
        <x:f>MAX(M562-N562,0)</x:f>
        <x:v>1</x:v>
      </x:c>
      <x:c r="P562" s="38" t="n">
        <x:f>IFERROR(N562/M562,0)</x:f>
        <x:v>0</x:v>
      </x:c>
      <x:c r="Q562" s="26"/>
      <x:c r="R562" s="26"/>
      <x:c r="S562" s="26" t="str">
        <x:v>Pending Mapping</x:v>
      </x:c>
      <x:c r="T562" s="26"/>
      <x:c r="U562" s="26"/>
      <x:c r="V562" s="26"/>
      <x:c r="W562" s="32"/>
      <x:c r="X562" s="27" t="b">
        <x:v>1</x:v>
      </x:c>
      <x:c r="Y562" s="34" t="n">
        <x:v>46219.38929398148</x:v>
      </x:c>
      <x:c r="Z562" s="26"/>
      <x:c r="AA562" s="26" t="str"/>
      <x:c r="AB562" s="26" t="str">
        <x:v>Activity name/category not included in contribution response</x:v>
      </x:c>
    </x:row>
    <x:row r="563">
      <x:c r="A563" s="26" t="n">
        <x:v>560</x:v>
      </x:c>
      <x:c r="B563" s="26" t="n">
        <x:v>128</x:v>
      </x:c>
      <x:c r="C563" s="26" t="str">
        <x:v>Kumuram Bheem Asifabad</x:v>
      </x:c>
      <x:c r="D563" s="26" t="n">
        <x:v>144</x:v>
      </x:c>
      <x:c r="E563" s="26" t="str">
        <x:v>PRJ-2026-0000144</x:v>
      </x:c>
      <x:c r="F563" s="26" t="str">
        <x:v>Upgradation of Anganwadi center</x:v>
      </x:c>
      <x:c r="G563" s="26" t="n">
        <x:v>249</x:v>
      </x:c>
      <x:c r="H563" s="26" t="n">
        <x:v>423</x:v>
      </x:c>
      <x:c r="I563" s="26"/>
      <x:c r="J563" s="26"/>
      <x:c r="K563" s="26"/>
      <x:c r="L563" s="26" t="n">
        <x:v>1</x:v>
      </x:c>
      <x:c r="M563" s="26" t="n">
        <x:v>1</x:v>
      </x:c>
      <x:c r="N563" s="26" t="n">
        <x:v>0</x:v>
      </x:c>
      <x:c r="O563" s="26" t="n">
        <x:f>MAX(M563-N563,0)</x:f>
        <x:v>1</x:v>
      </x:c>
      <x:c r="P563" s="38" t="n">
        <x:f>IFERROR(N563/M563,0)</x:f>
        <x:v>0</x:v>
      </x:c>
      <x:c r="Q563" s="26"/>
      <x:c r="R563" s="26"/>
      <x:c r="S563" s="26" t="str">
        <x:v>Pending Mapping</x:v>
      </x:c>
      <x:c r="T563" s="26"/>
      <x:c r="U563" s="26"/>
      <x:c r="V563" s="26"/>
      <x:c r="W563" s="32"/>
      <x:c r="X563" s="27" t="b">
        <x:v>1</x:v>
      </x:c>
      <x:c r="Y563" s="34" t="n">
        <x:v>46219.37427083333</x:v>
      </x:c>
      <x:c r="Z563" s="26"/>
      <x:c r="AA563" s="26" t="str"/>
      <x:c r="AB563" s="26" t="str">
        <x:v>Activity name/category not included in contribution response</x:v>
      </x:c>
    </x:row>
    <x:row r="564">
      <x:c r="A564" s="26" t="n">
        <x:v>561</x:v>
      </x:c>
      <x:c r="B564" s="26" t="n">
        <x:v>128</x:v>
      </x:c>
      <x:c r="C564" s="26" t="str">
        <x:v>Kumuram Bheem Asifabad</x:v>
      </x:c>
      <x:c r="D564" s="26" t="n">
        <x:v>144</x:v>
      </x:c>
      <x:c r="E564" s="26" t="str">
        <x:v>PRJ-2026-0000144</x:v>
      </x:c>
      <x:c r="F564" s="26" t="str">
        <x:v>Upgradation of Anganwadi center</x:v>
      </x:c>
      <x:c r="G564" s="26" t="n">
        <x:v>250</x:v>
      </x:c>
      <x:c r="H564" s="26" t="n">
        <x:v>424</x:v>
      </x:c>
      <x:c r="I564" s="26"/>
      <x:c r="J564" s="26"/>
      <x:c r="K564" s="26"/>
      <x:c r="L564" s="26" t="n">
        <x:v>4</x:v>
      </x:c>
      <x:c r="M564" s="26" t="n">
        <x:v>4</x:v>
      </x:c>
      <x:c r="N564" s="26" t="n">
        <x:v>0</x:v>
      </x:c>
      <x:c r="O564" s="26" t="n">
        <x:f>MAX(M564-N564,0)</x:f>
        <x:v>4</x:v>
      </x:c>
      <x:c r="P564" s="38" t="n">
        <x:f>IFERROR(N564/M564,0)</x:f>
        <x:v>0</x:v>
      </x:c>
      <x:c r="Q564" s="26"/>
      <x:c r="R564" s="26"/>
      <x:c r="S564" s="26" t="str">
        <x:v>Pending Mapping</x:v>
      </x:c>
      <x:c r="T564" s="26"/>
      <x:c r="U564" s="26"/>
      <x:c r="V564" s="26"/>
      <x:c r="W564" s="32"/>
      <x:c r="X564" s="27" t="b">
        <x:v>1</x:v>
      </x:c>
      <x:c r="Y564" s="34" t="n">
        <x:v>46219.37427083333</x:v>
      </x:c>
      <x:c r="Z564" s="26"/>
      <x:c r="AA564" s="26" t="str"/>
      <x:c r="AB564" s="26" t="str">
        <x:v>Activity name/category not included in contribution response</x:v>
      </x:c>
    </x:row>
    <x:row r="565">
      <x:c r="A565" s="26" t="n">
        <x:v>562</x:v>
      </x:c>
      <x:c r="B565" s="26" t="n">
        <x:v>128</x:v>
      </x:c>
      <x:c r="C565" s="26" t="str">
        <x:v>Kumuram Bheem Asifabad</x:v>
      </x:c>
      <x:c r="D565" s="26" t="n">
        <x:v>144</x:v>
      </x:c>
      <x:c r="E565" s="26" t="str">
        <x:v>PRJ-2026-0000144</x:v>
      </x:c>
      <x:c r="F565" s="26" t="str">
        <x:v>Upgradation of Anganwadi center</x:v>
      </x:c>
      <x:c r="G565" s="26" t="n">
        <x:v>251</x:v>
      </x:c>
      <x:c r="H565" s="26" t="n">
        <x:v>425</x:v>
      </x:c>
      <x:c r="I565" s="26"/>
      <x:c r="J565" s="26"/>
      <x:c r="K565" s="26"/>
      <x:c r="L565" s="26" t="n">
        <x:v>4</x:v>
      </x:c>
      <x:c r="M565" s="26" t="n">
        <x:v>4</x:v>
      </x:c>
      <x:c r="N565" s="26" t="n">
        <x:v>0</x:v>
      </x:c>
      <x:c r="O565" s="26" t="n">
        <x:f>MAX(M565-N565,0)</x:f>
        <x:v>4</x:v>
      </x:c>
      <x:c r="P565" s="38" t="n">
        <x:f>IFERROR(N565/M565,0)</x:f>
        <x:v>0</x:v>
      </x:c>
      <x:c r="Q565" s="26"/>
      <x:c r="R565" s="26"/>
      <x:c r="S565" s="26" t="str">
        <x:v>Pending Mapping</x:v>
      </x:c>
      <x:c r="T565" s="26"/>
      <x:c r="U565" s="26"/>
      <x:c r="V565" s="26"/>
      <x:c r="W565" s="32"/>
      <x:c r="X565" s="27" t="b">
        <x:v>1</x:v>
      </x:c>
      <x:c r="Y565" s="34" t="n">
        <x:v>46219.37427083333</x:v>
      </x:c>
      <x:c r="Z565" s="26"/>
      <x:c r="AA565" s="26" t="str"/>
      <x:c r="AB565" s="26" t="str">
        <x:v>Activity name/category not included in contribution response</x:v>
      </x:c>
    </x:row>
    <x:row r="566">
      <x:c r="A566" s="26" t="n">
        <x:v>563</x:v>
      </x:c>
      <x:c r="B566" s="26" t="n">
        <x:v>132</x:v>
      </x:c>
      <x:c r="C566" s="26" t="str">
        <x:v>Kumuram Bheem Asifabad</x:v>
      </x:c>
      <x:c r="D566" s="26" t="n">
        <x:v>82</x:v>
      </x:c>
      <x:c r="E566" s="26" t="str">
        <x:v>PRJ-2026-0000082</x:v>
      </x:c>
      <x:c r="F566" s="26" t="str">
        <x:v>Requirement of Water Filter, Door,Ramps</x:v>
      </x:c>
      <x:c r="G566" s="26" t="n">
        <x:v>257</x:v>
      </x:c>
      <x:c r="H566" s="26" t="n">
        <x:v>133</x:v>
      </x:c>
      <x:c r="I566" s="26"/>
      <x:c r="J566" s="26"/>
      <x:c r="K566" s="26"/>
      <x:c r="L566" s="26" t="n">
        <x:v>1</x:v>
      </x:c>
      <x:c r="M566" s="26" t="n">
        <x:v>1</x:v>
      </x:c>
      <x:c r="N566" s="26" t="n">
        <x:v>0</x:v>
      </x:c>
      <x:c r="O566" s="26" t="n">
        <x:f>MAX(M566-N566,0)</x:f>
        <x:v>1</x:v>
      </x:c>
      <x:c r="P566" s="38" t="n">
        <x:f>IFERROR(N566/M566,0)</x:f>
        <x:v>0</x:v>
      </x:c>
      <x:c r="Q566" s="26"/>
      <x:c r="R566" s="26"/>
      <x:c r="S566" s="26" t="str">
        <x:v>Pending Mapping</x:v>
      </x:c>
      <x:c r="T566" s="26"/>
      <x:c r="U566" s="26"/>
      <x:c r="V566" s="26"/>
      <x:c r="W566" s="32"/>
      <x:c r="X566" s="27" t="b">
        <x:v>1</x:v>
      </x:c>
      <x:c r="Y566" s="34" t="n">
        <x:v>46218.51111111111</x:v>
      </x:c>
      <x:c r="Z566" s="26"/>
      <x:c r="AA566" s="26" t="str"/>
      <x:c r="AB566" s="26" t="str">
        <x:v>Activity name/category not included in contribution response</x:v>
      </x:c>
    </x:row>
    <x:row r="567">
      <x:c r="A567" s="26" t="n">
        <x:v>564</x:v>
      </x:c>
      <x:c r="B567" s="26" t="n">
        <x:v>132</x:v>
      </x:c>
      <x:c r="C567" s="26" t="str">
        <x:v>Kumuram Bheem Asifabad</x:v>
      </x:c>
      <x:c r="D567" s="26" t="n">
        <x:v>82</x:v>
      </x:c>
      <x:c r="E567" s="26" t="str">
        <x:v>PRJ-2026-0000082</x:v>
      </x:c>
      <x:c r="F567" s="26" t="str">
        <x:v>Requirement of Water Filter, Door,Ramps</x:v>
      </x:c>
      <x:c r="G567" s="26" t="n">
        <x:v>258</x:v>
      </x:c>
      <x:c r="H567" s="26" t="n">
        <x:v>134</x:v>
      </x:c>
      <x:c r="I567" s="26"/>
      <x:c r="J567" s="26"/>
      <x:c r="K567" s="26"/>
      <x:c r="L567" s="26" t="n">
        <x:v>1</x:v>
      </x:c>
      <x:c r="M567" s="26" t="n">
        <x:v>1</x:v>
      </x:c>
      <x:c r="N567" s="26" t="n">
        <x:v>0</x:v>
      </x:c>
      <x:c r="O567" s="26" t="n">
        <x:f>MAX(M567-N567,0)</x:f>
        <x:v>1</x:v>
      </x:c>
      <x:c r="P567" s="38" t="n">
        <x:f>IFERROR(N567/M567,0)</x:f>
        <x:v>0</x:v>
      </x:c>
      <x:c r="Q567" s="26"/>
      <x:c r="R567" s="26"/>
      <x:c r="S567" s="26" t="str">
        <x:v>Pending Mapping</x:v>
      </x:c>
      <x:c r="T567" s="26"/>
      <x:c r="U567" s="26"/>
      <x:c r="V567" s="26"/>
      <x:c r="W567" s="32"/>
      <x:c r="X567" s="27" t="b">
        <x:v>1</x:v>
      </x:c>
      <x:c r="Y567" s="34" t="n">
        <x:v>46218.51111111111</x:v>
      </x:c>
      <x:c r="Z567" s="26"/>
      <x:c r="AA567" s="26" t="str"/>
      <x:c r="AB567" s="26" t="str">
        <x:v>Activity name/category not included in contribution response</x:v>
      </x:c>
    </x:row>
    <x:row r="568">
      <x:c r="A568" s="26" t="n">
        <x:v>565</x:v>
      </x:c>
      <x:c r="B568" s="26" t="n">
        <x:v>134</x:v>
      </x:c>
      <x:c r="C568" s="26" t="str">
        <x:v>Kumuram Bheem Asifabad</x:v>
      </x:c>
      <x:c r="D568" s="26" t="n">
        <x:v>223</x:v>
      </x:c>
      <x:c r="E568" s="26" t="str">
        <x:v>PRJ-2026-0000223</x:v>
      </x:c>
      <x:c r="F568" s="26" t="str">
        <x:v>Requirement of Toilet, Water filter, Poshan Vatika, Solar panel</x:v>
      </x:c>
      <x:c r="G568" s="26" t="n">
        <x:v>261</x:v>
      </x:c>
      <x:c r="H568" s="26" t="n">
        <x:v>724</x:v>
      </x:c>
      <x:c r="I568" s="26"/>
      <x:c r="J568" s="26"/>
      <x:c r="K568" s="26"/>
      <x:c r="L568" s="26" t="n">
        <x:v>1</x:v>
      </x:c>
      <x:c r="M568" s="26" t="n">
        <x:v>1</x:v>
      </x:c>
      <x:c r="N568" s="26" t="n">
        <x:v>0</x:v>
      </x:c>
      <x:c r="O568" s="26" t="n">
        <x:f>MAX(M568-N568,0)</x:f>
        <x:v>1</x:v>
      </x:c>
      <x:c r="P568" s="38" t="n">
        <x:f>IFERROR(N568/M568,0)</x:f>
        <x:v>0</x:v>
      </x:c>
      <x:c r="Q568" s="26"/>
      <x:c r="R568" s="26"/>
      <x:c r="S568" s="26" t="str">
        <x:v>Pending Mapping</x:v>
      </x:c>
      <x:c r="T568" s="26"/>
      <x:c r="U568" s="26"/>
      <x:c r="V568" s="26"/>
      <x:c r="W568" s="32"/>
      <x:c r="X568" s="27" t="b">
        <x:v>1</x:v>
      </x:c>
      <x:c r="Y568" s="34" t="n">
        <x:v>46218.511087962965</x:v>
      </x:c>
      <x:c r="Z568" s="26"/>
      <x:c r="AA568" s="26" t="str"/>
      <x:c r="AB568" s="26" t="str">
        <x:v>Activity name/category not included in contribution response</x:v>
      </x:c>
    </x:row>
    <x:row r="569">
      <x:c r="A569" s="26" t="n">
        <x:v>566</x:v>
      </x:c>
      <x:c r="B569" s="26" t="n">
        <x:v>134</x:v>
      </x:c>
      <x:c r="C569" s="26" t="str">
        <x:v>Kumuram Bheem Asifabad</x:v>
      </x:c>
      <x:c r="D569" s="26" t="n">
        <x:v>223</x:v>
      </x:c>
      <x:c r="E569" s="26" t="str">
        <x:v>PRJ-2026-0000223</x:v>
      </x:c>
      <x:c r="F569" s="26" t="str">
        <x:v>Requirement of Toilet, Water filter, Poshan Vatika, Solar panel</x:v>
      </x:c>
      <x:c r="G569" s="26" t="n">
        <x:v>262</x:v>
      </x:c>
      <x:c r="H569" s="26" t="n">
        <x:v>725</x:v>
      </x:c>
      <x:c r="I569" s="26"/>
      <x:c r="J569" s="26"/>
      <x:c r="K569" s="26"/>
      <x:c r="L569" s="26" t="n">
        <x:v>1</x:v>
      </x:c>
      <x:c r="M569" s="26" t="n">
        <x:v>1</x:v>
      </x:c>
      <x:c r="N569" s="26" t="n">
        <x:v>0</x:v>
      </x:c>
      <x:c r="O569" s="26" t="n">
        <x:f>MAX(M569-N569,0)</x:f>
        <x:v>1</x:v>
      </x:c>
      <x:c r="P569" s="38" t="n">
        <x:f>IFERROR(N569/M569,0)</x:f>
        <x:v>0</x:v>
      </x:c>
      <x:c r="Q569" s="26"/>
      <x:c r="R569" s="26"/>
      <x:c r="S569" s="26" t="str">
        <x:v>Pending Mapping</x:v>
      </x:c>
      <x:c r="T569" s="26"/>
      <x:c r="U569" s="26"/>
      <x:c r="V569" s="26"/>
      <x:c r="W569" s="32"/>
      <x:c r="X569" s="27" t="b">
        <x:v>1</x:v>
      </x:c>
      <x:c r="Y569" s="34" t="n">
        <x:v>46218.511087962965</x:v>
      </x:c>
      <x:c r="Z569" s="26"/>
      <x:c r="AA569" s="26" t="str"/>
      <x:c r="AB569" s="26" t="str">
        <x:v>Activity name/category not included in contribution response</x:v>
      </x:c>
    </x:row>
    <x:row r="570">
      <x:c r="A570" s="26" t="n">
        <x:v>567</x:v>
      </x:c>
      <x:c r="B570" s="26" t="n">
        <x:v>134</x:v>
      </x:c>
      <x:c r="C570" s="26" t="str">
        <x:v>Kumuram Bheem Asifabad</x:v>
      </x:c>
      <x:c r="D570" s="26" t="n">
        <x:v>223</x:v>
      </x:c>
      <x:c r="E570" s="26" t="str">
        <x:v>PRJ-2026-0000223</x:v>
      </x:c>
      <x:c r="F570" s="26" t="str">
        <x:v>Requirement of Toilet, Water filter, Poshan Vatika, Solar panel</x:v>
      </x:c>
      <x:c r="G570" s="26" t="n">
        <x:v>263</x:v>
      </x:c>
      <x:c r="H570" s="26" t="n">
        <x:v>726</x:v>
      </x:c>
      <x:c r="I570" s="26"/>
      <x:c r="J570" s="26"/>
      <x:c r="K570" s="26"/>
      <x:c r="L570" s="26" t="n">
        <x:v>2</x:v>
      </x:c>
      <x:c r="M570" s="26" t="n">
        <x:v>2</x:v>
      </x:c>
      <x:c r="N570" s="26" t="n">
        <x:v>0</x:v>
      </x:c>
      <x:c r="O570" s="26" t="n">
        <x:f>MAX(M570-N570,0)</x:f>
        <x:v>2</x:v>
      </x:c>
      <x:c r="P570" s="38" t="n">
        <x:f>IFERROR(N570/M570,0)</x:f>
        <x:v>0</x:v>
      </x:c>
      <x:c r="Q570" s="26"/>
      <x:c r="R570" s="26"/>
      <x:c r="S570" s="26" t="str">
        <x:v>Pending Mapping</x:v>
      </x:c>
      <x:c r="T570" s="26"/>
      <x:c r="U570" s="26"/>
      <x:c r="V570" s="26"/>
      <x:c r="W570" s="32"/>
      <x:c r="X570" s="27" t="b">
        <x:v>1</x:v>
      </x:c>
      <x:c r="Y570" s="34" t="n">
        <x:v>46218.511087962965</x:v>
      </x:c>
      <x:c r="Z570" s="26"/>
      <x:c r="AA570" s="26" t="str"/>
      <x:c r="AB570" s="26" t="str">
        <x:v>Activity name/category not included in contribution response</x:v>
      </x:c>
    </x:row>
    <x:row r="571">
      <x:c r="A571" s="26" t="n">
        <x:v>568</x:v>
      </x:c>
      <x:c r="B571" s="26" t="n">
        <x:v>134</x:v>
      </x:c>
      <x:c r="C571" s="26" t="str">
        <x:v>Kumuram Bheem Asifabad</x:v>
      </x:c>
      <x:c r="D571" s="26" t="n">
        <x:v>223</x:v>
      </x:c>
      <x:c r="E571" s="26" t="str">
        <x:v>PRJ-2026-0000223</x:v>
      </x:c>
      <x:c r="F571" s="26" t="str">
        <x:v>Requirement of Toilet, Water filter, Poshan Vatika, Solar panel</x:v>
      </x:c>
      <x:c r="G571" s="26" t="n">
        <x:v>264</x:v>
      </x:c>
      <x:c r="H571" s="26" t="n">
        <x:v>727</x:v>
      </x:c>
      <x:c r="I571" s="26"/>
      <x:c r="J571" s="26"/>
      <x:c r="K571" s="26"/>
      <x:c r="L571" s="26" t="n">
        <x:v>1</x:v>
      </x:c>
      <x:c r="M571" s="26" t="n">
        <x:v>1</x:v>
      </x:c>
      <x:c r="N571" s="26" t="n">
        <x:v>0</x:v>
      </x:c>
      <x:c r="O571" s="26" t="n">
        <x:f>MAX(M571-N571,0)</x:f>
        <x:v>1</x:v>
      </x:c>
      <x:c r="P571" s="38" t="n">
        <x:f>IFERROR(N571/M571,0)</x:f>
        <x:v>0</x:v>
      </x:c>
      <x:c r="Q571" s="26"/>
      <x:c r="R571" s="26"/>
      <x:c r="S571" s="26" t="str">
        <x:v>Pending Mapping</x:v>
      </x:c>
      <x:c r="T571" s="26"/>
      <x:c r="U571" s="26"/>
      <x:c r="V571" s="26"/>
      <x:c r="W571" s="32"/>
      <x:c r="X571" s="27" t="b">
        <x:v>1</x:v>
      </x:c>
      <x:c r="Y571" s="34" t="n">
        <x:v>46218.511087962965</x:v>
      </x:c>
      <x:c r="Z571" s="26"/>
      <x:c r="AA571" s="26" t="str"/>
      <x:c r="AB571" s="26" t="str">
        <x:v>Activity name/category not included in contribution response</x:v>
      </x:c>
    </x:row>
    <x:row r="572">
      <x:c r="A572" s="26" t="n">
        <x:v>569</x:v>
      </x:c>
      <x:c r="B572" s="26" t="n">
        <x:v>135</x:v>
      </x:c>
      <x:c r="C572" s="26" t="str">
        <x:v>Kumuram Bheem Asifabad</x:v>
      </x:c>
      <x:c r="D572" s="26" t="n">
        <x:v>245</x:v>
      </x:c>
      <x:c r="E572" s="26" t="str">
        <x:v>PRJ-2026-0000245</x:v>
      </x:c>
      <x:c r="F572" s="26" t="str">
        <x:v>Requirement of Water Filter, ECCE, GMD, Gas stove &amp; Regulator</x:v>
      </x:c>
      <x:c r="G572" s="26" t="n">
        <x:v>265</x:v>
      </x:c>
      <x:c r="H572" s="26" t="n">
        <x:v>775</x:v>
      </x:c>
      <x:c r="I572" s="26"/>
      <x:c r="J572" s="26"/>
      <x:c r="K572" s="26"/>
      <x:c r="L572" s="26" t="n">
        <x:v>2</x:v>
      </x:c>
      <x:c r="M572" s="26" t="n">
        <x:v>2</x:v>
      </x:c>
      <x:c r="N572" s="26" t="n">
        <x:v>0</x:v>
      </x:c>
      <x:c r="O572" s="26" t="n">
        <x:f>MAX(M572-N572,0)</x:f>
        <x:v>2</x:v>
      </x:c>
      <x:c r="P572" s="38" t="n">
        <x:f>IFERROR(N572/M572,0)</x:f>
        <x:v>0</x:v>
      </x:c>
      <x:c r="Q572" s="26"/>
      <x:c r="R572" s="26"/>
      <x:c r="S572" s="26" t="str">
        <x:v>Pending Mapping</x:v>
      </x:c>
      <x:c r="T572" s="26"/>
      <x:c r="U572" s="26"/>
      <x:c r="V572" s="26"/>
      <x:c r="W572" s="32"/>
      <x:c r="X572" s="27" t="b">
        <x:v>1</x:v>
      </x:c>
      <x:c r="Y572" s="34" t="n">
        <x:v>46218.51107638889</x:v>
      </x:c>
      <x:c r="Z572" s="26"/>
      <x:c r="AA572" s="26" t="str"/>
      <x:c r="AB572" s="26" t="str">
        <x:v>Activity name/category not included in contribution response</x:v>
      </x:c>
    </x:row>
    <x:row r="573">
      <x:c r="A573" s="26" t="n">
        <x:v>570</x:v>
      </x:c>
      <x:c r="B573" s="26" t="n">
        <x:v>135</x:v>
      </x:c>
      <x:c r="C573" s="26" t="str">
        <x:v>Kumuram Bheem Asifabad</x:v>
      </x:c>
      <x:c r="D573" s="26" t="n">
        <x:v>245</x:v>
      </x:c>
      <x:c r="E573" s="26" t="str">
        <x:v>PRJ-2026-0000245</x:v>
      </x:c>
      <x:c r="F573" s="26" t="str">
        <x:v>Requirement of Water Filter, ECCE, GMD, Gas stove &amp; Regulator</x:v>
      </x:c>
      <x:c r="G573" s="26" t="n">
        <x:v>266</x:v>
      </x:c>
      <x:c r="H573" s="26" t="n">
        <x:v>776</x:v>
      </x:c>
      <x:c r="I573" s="26"/>
      <x:c r="J573" s="26"/>
      <x:c r="K573" s="26"/>
      <x:c r="L573" s="26" t="n">
        <x:v>4</x:v>
      </x:c>
      <x:c r="M573" s="26" t="n">
        <x:v>4</x:v>
      </x:c>
      <x:c r="N573" s="26" t="n">
        <x:v>0</x:v>
      </x:c>
      <x:c r="O573" s="26" t="n">
        <x:f>MAX(M573-N573,0)</x:f>
        <x:v>4</x:v>
      </x:c>
      <x:c r="P573" s="38" t="n">
        <x:f>IFERROR(N573/M573,0)</x:f>
        <x:v>0</x:v>
      </x:c>
      <x:c r="Q573" s="26"/>
      <x:c r="R573" s="26"/>
      <x:c r="S573" s="26" t="str">
        <x:v>Pending Mapping</x:v>
      </x:c>
      <x:c r="T573" s="26"/>
      <x:c r="U573" s="26"/>
      <x:c r="V573" s="26"/>
      <x:c r="W573" s="32"/>
      <x:c r="X573" s="27" t="b">
        <x:v>1</x:v>
      </x:c>
      <x:c r="Y573" s="34" t="n">
        <x:v>46218.51107638889</x:v>
      </x:c>
      <x:c r="Z573" s="26"/>
      <x:c r="AA573" s="26" t="str"/>
      <x:c r="AB573" s="26" t="str">
        <x:v>Activity name/category not included in contribution response</x:v>
      </x:c>
    </x:row>
    <x:row r="574">
      <x:c r="A574" s="26" t="n">
        <x:v>571</x:v>
      </x:c>
      <x:c r="B574" s="26" t="n">
        <x:v>135</x:v>
      </x:c>
      <x:c r="C574" s="26" t="str">
        <x:v>Kumuram Bheem Asifabad</x:v>
      </x:c>
      <x:c r="D574" s="26" t="n">
        <x:v>245</x:v>
      </x:c>
      <x:c r="E574" s="26" t="str">
        <x:v>PRJ-2026-0000245</x:v>
      </x:c>
      <x:c r="F574" s="26" t="str">
        <x:v>Requirement of Water Filter, ECCE, GMD, Gas stove &amp; Regulator</x:v>
      </x:c>
      <x:c r="G574" s="26" t="n">
        <x:v>267</x:v>
      </x:c>
      <x:c r="H574" s="26" t="n">
        <x:v>777</x:v>
      </x:c>
      <x:c r="I574" s="26"/>
      <x:c r="J574" s="26"/>
      <x:c r="K574" s="26"/>
      <x:c r="L574" s="26" t="n">
        <x:v>2</x:v>
      </x:c>
      <x:c r="M574" s="26" t="n">
        <x:v>2</x:v>
      </x:c>
      <x:c r="N574" s="26" t="n">
        <x:v>0</x:v>
      </x:c>
      <x:c r="O574" s="26" t="n">
        <x:f>MAX(M574-N574,0)</x:f>
        <x:v>2</x:v>
      </x:c>
      <x:c r="P574" s="38" t="n">
        <x:f>IFERROR(N574/M574,0)</x:f>
        <x:v>0</x:v>
      </x:c>
      <x:c r="Q574" s="26"/>
      <x:c r="R574" s="26"/>
      <x:c r="S574" s="26" t="str">
        <x:v>Pending Mapping</x:v>
      </x:c>
      <x:c r="T574" s="26"/>
      <x:c r="U574" s="26"/>
      <x:c r="V574" s="26"/>
      <x:c r="W574" s="32"/>
      <x:c r="X574" s="27" t="b">
        <x:v>1</x:v>
      </x:c>
      <x:c r="Y574" s="34" t="n">
        <x:v>46218.51107638889</x:v>
      </x:c>
      <x:c r="Z574" s="26"/>
      <x:c r="AA574" s="26" t="str"/>
      <x:c r="AB574" s="26" t="str">
        <x:v>Activity name/category not included in contribution response</x:v>
      </x:c>
    </x:row>
    <x:row r="575">
      <x:c r="A575" s="26" t="n">
        <x:v>572</x:v>
      </x:c>
      <x:c r="B575" s="26" t="n">
        <x:v>136</x:v>
      </x:c>
      <x:c r="C575" s="26" t="str">
        <x:v>Kumuram Bheem Asifabad</x:v>
      </x:c>
      <x:c r="D575" s="26" t="n">
        <x:v>250</x:v>
      </x:c>
      <x:c r="E575" s="26" t="str">
        <x:v>PRJ-2026-0000250</x:v>
      </x:c>
      <x:c r="F575" s="26" t="str">
        <x:v>Requirement of Water Filter, Solar Panel, GMD</x:v>
      </x:c>
      <x:c r="G575" s="26" t="n">
        <x:v>268</x:v>
      </x:c>
      <x:c r="H575" s="26" t="n">
        <x:v>783</x:v>
      </x:c>
      <x:c r="I575" s="26"/>
      <x:c r="J575" s="26"/>
      <x:c r="K575" s="26"/>
      <x:c r="L575" s="26" t="n">
        <x:v>1</x:v>
      </x:c>
      <x:c r="M575" s="26" t="n">
        <x:v>1</x:v>
      </x:c>
      <x:c r="N575" s="26" t="n">
        <x:v>0</x:v>
      </x:c>
      <x:c r="O575" s="26" t="n">
        <x:f>MAX(M575-N575,0)</x:f>
        <x:v>1</x:v>
      </x:c>
      <x:c r="P575" s="38" t="n">
        <x:f>IFERROR(N575/M575,0)</x:f>
        <x:v>0</x:v>
      </x:c>
      <x:c r="Q575" s="26"/>
      <x:c r="R575" s="26"/>
      <x:c r="S575" s="26" t="str">
        <x:v>Pending Mapping</x:v>
      </x:c>
      <x:c r="T575" s="26"/>
      <x:c r="U575" s="26"/>
      <x:c r="V575" s="26"/>
      <x:c r="W575" s="32"/>
      <x:c r="X575" s="27" t="b">
        <x:v>1</x:v>
      </x:c>
      <x:c r="Y575" s="34" t="n">
        <x:v>46218.51106481482</x:v>
      </x:c>
      <x:c r="Z575" s="26"/>
      <x:c r="AA575" s="26" t="str"/>
      <x:c r="AB575" s="26" t="str">
        <x:v>Activity name/category not included in contribution response</x:v>
      </x:c>
    </x:row>
    <x:row r="576">
      <x:c r="A576" s="26" t="n">
        <x:v>573</x:v>
      </x:c>
      <x:c r="B576" s="26" t="n">
        <x:v>136</x:v>
      </x:c>
      <x:c r="C576" s="26" t="str">
        <x:v>Kumuram Bheem Asifabad</x:v>
      </x:c>
      <x:c r="D576" s="26" t="n">
        <x:v>250</x:v>
      </x:c>
      <x:c r="E576" s="26" t="str">
        <x:v>PRJ-2026-0000250</x:v>
      </x:c>
      <x:c r="F576" s="26" t="str">
        <x:v>Requirement of Water Filter, Solar Panel, GMD</x:v>
      </x:c>
      <x:c r="G576" s="26" t="n">
        <x:v>269</x:v>
      </x:c>
      <x:c r="H576" s="26" t="n">
        <x:v>784</x:v>
      </x:c>
      <x:c r="I576" s="26"/>
      <x:c r="J576" s="26"/>
      <x:c r="K576" s="26"/>
      <x:c r="L576" s="26" t="n">
        <x:v>1</x:v>
      </x:c>
      <x:c r="M576" s="26" t="n">
        <x:v>1</x:v>
      </x:c>
      <x:c r="N576" s="26" t="n">
        <x:v>0</x:v>
      </x:c>
      <x:c r="O576" s="26" t="n">
        <x:f>MAX(M576-N576,0)</x:f>
        <x:v>1</x:v>
      </x:c>
      <x:c r="P576" s="38" t="n">
        <x:f>IFERROR(N576/M576,0)</x:f>
        <x:v>0</x:v>
      </x:c>
      <x:c r="Q576" s="26"/>
      <x:c r="R576" s="26"/>
      <x:c r="S576" s="26" t="str">
        <x:v>Pending Mapping</x:v>
      </x:c>
      <x:c r="T576" s="26"/>
      <x:c r="U576" s="26"/>
      <x:c r="V576" s="26"/>
      <x:c r="W576" s="32"/>
      <x:c r="X576" s="27" t="b">
        <x:v>1</x:v>
      </x:c>
      <x:c r="Y576" s="34" t="n">
        <x:v>46218.51106481482</x:v>
      </x:c>
      <x:c r="Z576" s="26"/>
      <x:c r="AA576" s="26" t="str"/>
      <x:c r="AB576" s="26" t="str">
        <x:v>Activity name/category not included in contribution response</x:v>
      </x:c>
    </x:row>
    <x:row r="577">
      <x:c r="A577" s="26" t="n">
        <x:v>574</x:v>
      </x:c>
      <x:c r="B577" s="26" t="n">
        <x:v>137</x:v>
      </x:c>
      <x:c r="C577" s="26" t="str">
        <x:v>Kumuram Bheem Asifabad</x:v>
      </x:c>
      <x:c r="D577" s="26" t="n">
        <x:v>874</x:v>
      </x:c>
      <x:c r="E577" s="26" t="str">
        <x:v>PRJ-2026-0000874</x:v>
      </x:c>
      <x:c r="F577" s="26" t="str">
        <x:v>Materials(Balls, Dining, Hand wash)</x:v>
      </x:c>
      <x:c r="G577" s="26" t="n">
        <x:v>270</x:v>
      </x:c>
      <x:c r="H577" s="26" t="n">
        <x:v>2609</x:v>
      </x:c>
      <x:c r="I577" s="26"/>
      <x:c r="J577" s="26"/>
      <x:c r="K577" s="26"/>
      <x:c r="L577" s="26" t="n">
        <x:v>18</x:v>
      </x:c>
      <x:c r="M577" s="26" t="n">
        <x:v>18</x:v>
      </x:c>
      <x:c r="N577" s="26" t="n">
        <x:v>0</x:v>
      </x:c>
      <x:c r="O577" s="26" t="n">
        <x:f>MAX(M577-N577,0)</x:f>
        <x:v>18</x:v>
      </x:c>
      <x:c r="P577" s="38" t="n">
        <x:f>IFERROR(N577/M577,0)</x:f>
        <x:v>0</x:v>
      </x:c>
      <x:c r="Q577" s="26"/>
      <x:c r="R577" s="26"/>
      <x:c r="S577" s="26" t="str">
        <x:v>Pending Mapping</x:v>
      </x:c>
      <x:c r="T577" s="26"/>
      <x:c r="U577" s="26"/>
      <x:c r="V577" s="26"/>
      <x:c r="W577" s="32"/>
      <x:c r="X577" s="27" t="b">
        <x:v>1</x:v>
      </x:c>
      <x:c r="Y577" s="34" t="n">
        <x:v>46218.51106481482</x:v>
      </x:c>
      <x:c r="Z577" s="26"/>
      <x:c r="AA577" s="26" t="str"/>
      <x:c r="AB577" s="26" t="str">
        <x:v>Activity name/category not included in contribution response</x:v>
      </x:c>
    </x:row>
    <x:row r="578">
      <x:c r="A578" s="26" t="n">
        <x:v>575</x:v>
      </x:c>
      <x:c r="B578" s="26" t="n">
        <x:v>137</x:v>
      </x:c>
      <x:c r="C578" s="26" t="str">
        <x:v>Kumuram Bheem Asifabad</x:v>
      </x:c>
      <x:c r="D578" s="26" t="n">
        <x:v>874</x:v>
      </x:c>
      <x:c r="E578" s="26" t="str">
        <x:v>PRJ-2026-0000874</x:v>
      </x:c>
      <x:c r="F578" s="26" t="str">
        <x:v>Materials(Balls, Dining, Hand wash)</x:v>
      </x:c>
      <x:c r="G578" s="26" t="n">
        <x:v>271</x:v>
      </x:c>
      <x:c r="H578" s="26" t="n">
        <x:v>2610</x:v>
      </x:c>
      <x:c r="I578" s="26"/>
      <x:c r="J578" s="26"/>
      <x:c r="K578" s="26"/>
      <x:c r="L578" s="26" t="n">
        <x:v>1</x:v>
      </x:c>
      <x:c r="M578" s="26" t="n">
        <x:v>1</x:v>
      </x:c>
      <x:c r="N578" s="26" t="n">
        <x:v>0</x:v>
      </x:c>
      <x:c r="O578" s="26" t="n">
        <x:f>MAX(M578-N578,0)</x:f>
        <x:v>1</x:v>
      </x:c>
      <x:c r="P578" s="38" t="n">
        <x:f>IFERROR(N578/M578,0)</x:f>
        <x:v>0</x:v>
      </x:c>
      <x:c r="Q578" s="26"/>
      <x:c r="R578" s="26"/>
      <x:c r="S578" s="26" t="str">
        <x:v>Pending Mapping</x:v>
      </x:c>
      <x:c r="T578" s="26"/>
      <x:c r="U578" s="26"/>
      <x:c r="V578" s="26"/>
      <x:c r="W578" s="32"/>
      <x:c r="X578" s="27" t="b">
        <x:v>1</x:v>
      </x:c>
      <x:c r="Y578" s="34" t="n">
        <x:v>46218.51106481482</x:v>
      </x:c>
      <x:c r="Z578" s="26"/>
      <x:c r="AA578" s="26" t="str"/>
      <x:c r="AB578" s="26" t="str">
        <x:v>Activity name/category not included in contribution response</x:v>
      </x:c>
    </x:row>
    <x:row r="579">
      <x:c r="A579" s="26" t="n">
        <x:v>576</x:v>
      </x:c>
      <x:c r="B579" s="26" t="n">
        <x:v>137</x:v>
      </x:c>
      <x:c r="C579" s="26" t="str">
        <x:v>Kumuram Bheem Asifabad</x:v>
      </x:c>
      <x:c r="D579" s="26" t="n">
        <x:v>874</x:v>
      </x:c>
      <x:c r="E579" s="26" t="str">
        <x:v>PRJ-2026-0000874</x:v>
      </x:c>
      <x:c r="F579" s="26" t="str">
        <x:v>Materials(Balls, Dining, Hand wash)</x:v>
      </x:c>
      <x:c r="G579" s="26" t="n">
        <x:v>272</x:v>
      </x:c>
      <x:c r="H579" s="26" t="n">
        <x:v>2611</x:v>
      </x:c>
      <x:c r="I579" s="26"/>
      <x:c r="J579" s="26"/>
      <x:c r="K579" s="26"/>
      <x:c r="L579" s="26" t="n">
        <x:v>10</x:v>
      </x:c>
      <x:c r="M579" s="26" t="n">
        <x:v>10</x:v>
      </x:c>
      <x:c r="N579" s="26" t="n">
        <x:v>0</x:v>
      </x:c>
      <x:c r="O579" s="26" t="n">
        <x:f>MAX(M579-N579,0)</x:f>
        <x:v>10</x:v>
      </x:c>
      <x:c r="P579" s="38" t="n">
        <x:f>IFERROR(N579/M579,0)</x:f>
        <x:v>0</x:v>
      </x:c>
      <x:c r="Q579" s="26"/>
      <x:c r="R579" s="26"/>
      <x:c r="S579" s="26" t="str">
        <x:v>Pending Mapping</x:v>
      </x:c>
      <x:c r="T579" s="26"/>
      <x:c r="U579" s="26"/>
      <x:c r="V579" s="26"/>
      <x:c r="W579" s="32"/>
      <x:c r="X579" s="27" t="b">
        <x:v>1</x:v>
      </x:c>
      <x:c r="Y579" s="34" t="n">
        <x:v>46218.51106481482</x:v>
      </x:c>
      <x:c r="Z579" s="26"/>
      <x:c r="AA579" s="26" t="str"/>
      <x:c r="AB579" s="26" t="str">
        <x:v>Activity name/category not included in contribution response</x:v>
      </x:c>
    </x:row>
    <x:row r="580">
      <x:c r="A580" s="26" t="n">
        <x:v>577</x:v>
      </x:c>
      <x:c r="B580" s="26" t="n">
        <x:v>138</x:v>
      </x:c>
      <x:c r="C580" s="26" t="str">
        <x:v>Kumuram Bheem Asifabad</x:v>
      </x:c>
      <x:c r="D580" s="26" t="n">
        <x:v>1014</x:v>
      </x:c>
      <x:c r="E580" s="26" t="str">
        <x:v>PRJ-2026-0001014</x:v>
      </x:c>
      <x:c r="F580" s="26" t="str">
        <x:v>Materials(Swing Sets, Gardening Equipment, Seeds)  </x:v>
      </x:c>
      <x:c r="G580" s="26" t="n">
        <x:v>273</x:v>
      </x:c>
      <x:c r="H580" s="26" t="n">
        <x:v>3053</x:v>
      </x:c>
      <x:c r="I580" s="26"/>
      <x:c r="J580" s="26"/>
      <x:c r="K580" s="26"/>
      <x:c r="L580" s="26" t="n">
        <x:v>4</x:v>
      </x:c>
      <x:c r="M580" s="26" t="n">
        <x:v>4</x:v>
      </x:c>
      <x:c r="N580" s="26" t="n">
        <x:v>0</x:v>
      </x:c>
      <x:c r="O580" s="26" t="n">
        <x:f>MAX(M580-N580,0)</x:f>
        <x:v>4</x:v>
      </x:c>
      <x:c r="P580" s="38" t="n">
        <x:f>IFERROR(N580/M580,0)</x:f>
        <x:v>0</x:v>
      </x:c>
      <x:c r="Q580" s="26"/>
      <x:c r="R580" s="26"/>
      <x:c r="S580" s="26" t="str">
        <x:v>Pending Mapping</x:v>
      </x:c>
      <x:c r="T580" s="26"/>
      <x:c r="U580" s="26"/>
      <x:c r="V580" s="26"/>
      <x:c r="W580" s="32"/>
      <x:c r="X580" s="27" t="b">
        <x:v>1</x:v>
      </x:c>
      <x:c r="Y580" s="34" t="n">
        <x:v>46218.51105324074</x:v>
      </x:c>
      <x:c r="Z580" s="26"/>
      <x:c r="AA580" s="26" t="str"/>
      <x:c r="AB580" s="26" t="str">
        <x:v>Activity name/category not included in contribution response</x:v>
      </x:c>
    </x:row>
    <x:row r="581">
      <x:c r="A581" s="26" t="n">
        <x:v>578</x:v>
      </x:c>
      <x:c r="B581" s="26" t="n">
        <x:v>138</x:v>
      </x:c>
      <x:c r="C581" s="26" t="str">
        <x:v>Kumuram Bheem Asifabad</x:v>
      </x:c>
      <x:c r="D581" s="26" t="n">
        <x:v>1014</x:v>
      </x:c>
      <x:c r="E581" s="26" t="str">
        <x:v>PRJ-2026-0001014</x:v>
      </x:c>
      <x:c r="F581" s="26" t="str">
        <x:v>Materials(Swing Sets, Gardening Equipment, Seeds)  </x:v>
      </x:c>
      <x:c r="G581" s="26" t="n">
        <x:v>274</x:v>
      </x:c>
      <x:c r="H581" s="26" t="n">
        <x:v>3054</x:v>
      </x:c>
      <x:c r="I581" s="26"/>
      <x:c r="J581" s="26"/>
      <x:c r="K581" s="26"/>
      <x:c r="L581" s="26" t="n">
        <x:v>1</x:v>
      </x:c>
      <x:c r="M581" s="26" t="n">
        <x:v>1</x:v>
      </x:c>
      <x:c r="N581" s="26" t="n">
        <x:v>0</x:v>
      </x:c>
      <x:c r="O581" s="26" t="n">
        <x:f>MAX(M581-N581,0)</x:f>
        <x:v>1</x:v>
      </x:c>
      <x:c r="P581" s="38" t="n">
        <x:f>IFERROR(N581/M581,0)</x:f>
        <x:v>0</x:v>
      </x:c>
      <x:c r="Q581" s="26"/>
      <x:c r="R581" s="26"/>
      <x:c r="S581" s="26" t="str">
        <x:v>Pending Mapping</x:v>
      </x:c>
      <x:c r="T581" s="26"/>
      <x:c r="U581" s="26"/>
      <x:c r="V581" s="26"/>
      <x:c r="W581" s="32"/>
      <x:c r="X581" s="27" t="b">
        <x:v>1</x:v>
      </x:c>
      <x:c r="Y581" s="34" t="n">
        <x:v>46218.51105324074</x:v>
      </x:c>
      <x:c r="Z581" s="26"/>
      <x:c r="AA581" s="26" t="str"/>
      <x:c r="AB581" s="26" t="str">
        <x:v>Activity name/category not included in contribution response</x:v>
      </x:c>
    </x:row>
    <x:row r="582">
      <x:c r="A582" s="26" t="n">
        <x:v>579</x:v>
      </x:c>
      <x:c r="B582" s="26" t="n">
        <x:v>138</x:v>
      </x:c>
      <x:c r="C582" s="26" t="str">
        <x:v>Kumuram Bheem Asifabad</x:v>
      </x:c>
      <x:c r="D582" s="26" t="n">
        <x:v>1014</x:v>
      </x:c>
      <x:c r="E582" s="26" t="str">
        <x:v>PRJ-2026-0001014</x:v>
      </x:c>
      <x:c r="F582" s="26" t="str">
        <x:v>Materials(Swing Sets, Gardening Equipment, Seeds)  </x:v>
      </x:c>
      <x:c r="G582" s="26" t="n">
        <x:v>275</x:v>
      </x:c>
      <x:c r="H582" s="26" t="n">
        <x:v>3055</x:v>
      </x:c>
      <x:c r="I582" s="26"/>
      <x:c r="J582" s="26"/>
      <x:c r="K582" s="26"/>
      <x:c r="L582" s="26" t="n">
        <x:v>10</x:v>
      </x:c>
      <x:c r="M582" s="26" t="n">
        <x:v>10</x:v>
      </x:c>
      <x:c r="N582" s="26" t="n">
        <x:v>0</x:v>
      </x:c>
      <x:c r="O582" s="26" t="n">
        <x:f>MAX(M582-N582,0)</x:f>
        <x:v>10</x:v>
      </x:c>
      <x:c r="P582" s="38" t="n">
        <x:f>IFERROR(N582/M582,0)</x:f>
        <x:v>0</x:v>
      </x:c>
      <x:c r="Q582" s="26"/>
      <x:c r="R582" s="26"/>
      <x:c r="S582" s="26" t="str">
        <x:v>Pending Mapping</x:v>
      </x:c>
      <x:c r="T582" s="26"/>
      <x:c r="U582" s="26"/>
      <x:c r="V582" s="26"/>
      <x:c r="W582" s="32"/>
      <x:c r="X582" s="27" t="b">
        <x:v>1</x:v>
      </x:c>
      <x:c r="Y582" s="34" t="n">
        <x:v>46218.51105324074</x:v>
      </x:c>
      <x:c r="Z582" s="26"/>
      <x:c r="AA582" s="26" t="str"/>
      <x:c r="AB582" s="26" t="str">
        <x:v>Activity name/category not included in contribution response</x:v>
      </x:c>
    </x:row>
    <x:row r="583">
      <x:c r="A583" s="26" t="n">
        <x:v>580</x:v>
      </x:c>
      <x:c r="B583" s="26" t="n">
        <x:v>139</x:v>
      </x:c>
      <x:c r="C583" s="26" t="str">
        <x:v>Kumuram Bheem Asifabad</x:v>
      </x:c>
      <x:c r="D583" s="26" t="n">
        <x:v>1105</x:v>
      </x:c>
      <x:c r="E583" s="26" t="str">
        <x:v>PRJ-2026-0001105</x:v>
      </x:c>
      <x:c r="F583" s="26" t="str">
        <x:v>Materials (Gardening Equipment, Seeds, Other Resources)  </x:v>
      </x:c>
      <x:c r="G583" s="26" t="n">
        <x:v>276</x:v>
      </x:c>
      <x:c r="H583" s="26" t="n">
        <x:v>3359</x:v>
      </x:c>
      <x:c r="I583" s="26"/>
      <x:c r="J583" s="26"/>
      <x:c r="K583" s="26"/>
      <x:c r="L583" s="26" t="n">
        <x:v>1</x:v>
      </x:c>
      <x:c r="M583" s="26" t="n">
        <x:v>1</x:v>
      </x:c>
      <x:c r="N583" s="26" t="n">
        <x:v>0</x:v>
      </x:c>
      <x:c r="O583" s="26" t="n">
        <x:f>MAX(M583-N583,0)</x:f>
        <x:v>1</x:v>
      </x:c>
      <x:c r="P583" s="38" t="n">
        <x:f>IFERROR(N583/M583,0)</x:f>
        <x:v>0</x:v>
      </x:c>
      <x:c r="Q583" s="26"/>
      <x:c r="R583" s="26"/>
      <x:c r="S583" s="26" t="str">
        <x:v>Pending Mapping</x:v>
      </x:c>
      <x:c r="T583" s="26"/>
      <x:c r="U583" s="26"/>
      <x:c r="V583" s="26"/>
      <x:c r="W583" s="32"/>
      <x:c r="X583" s="27" t="b">
        <x:v>1</x:v>
      </x:c>
      <x:c r="Y583" s="34" t="n">
        <x:v>46218.511041666665</x:v>
      </x:c>
      <x:c r="Z583" s="26"/>
      <x:c r="AA583" s="26" t="str"/>
      <x:c r="AB583" s="26" t="str">
        <x:v>Activity name/category not included in contribution response</x:v>
      </x:c>
    </x:row>
    <x:row r="584">
      <x:c r="A584" s="26" t="n">
        <x:v>581</x:v>
      </x:c>
      <x:c r="B584" s="26" t="n">
        <x:v>139</x:v>
      </x:c>
      <x:c r="C584" s="26" t="str">
        <x:v>Kumuram Bheem Asifabad</x:v>
      </x:c>
      <x:c r="D584" s="26" t="n">
        <x:v>1105</x:v>
      </x:c>
      <x:c r="E584" s="26" t="str">
        <x:v>PRJ-2026-0001105</x:v>
      </x:c>
      <x:c r="F584" s="26" t="str">
        <x:v>Materials (Gardening Equipment, Seeds, Other Resources)  </x:v>
      </x:c>
      <x:c r="G584" s="26" t="n">
        <x:v>277</x:v>
      </x:c>
      <x:c r="H584" s="26" t="n">
        <x:v>3360</x:v>
      </x:c>
      <x:c r="I584" s="26"/>
      <x:c r="J584" s="26"/>
      <x:c r="K584" s="26"/>
      <x:c r="L584" s="26" t="n">
        <x:v>10</x:v>
      </x:c>
      <x:c r="M584" s="26" t="n">
        <x:v>10</x:v>
      </x:c>
      <x:c r="N584" s="26" t="n">
        <x:v>0</x:v>
      </x:c>
      <x:c r="O584" s="26" t="n">
        <x:f>MAX(M584-N584,0)</x:f>
        <x:v>10</x:v>
      </x:c>
      <x:c r="P584" s="38" t="n">
        <x:f>IFERROR(N584/M584,0)</x:f>
        <x:v>0</x:v>
      </x:c>
      <x:c r="Q584" s="26"/>
      <x:c r="R584" s="26"/>
      <x:c r="S584" s="26" t="str">
        <x:v>Pending Mapping</x:v>
      </x:c>
      <x:c r="T584" s="26"/>
      <x:c r="U584" s="26"/>
      <x:c r="V584" s="26"/>
      <x:c r="W584" s="32"/>
      <x:c r="X584" s="27" t="b">
        <x:v>1</x:v>
      </x:c>
      <x:c r="Y584" s="34" t="n">
        <x:v>46218.511041666665</x:v>
      </x:c>
      <x:c r="Z584" s="26"/>
      <x:c r="AA584" s="26" t="str"/>
      <x:c r="AB584" s="26" t="str">
        <x:v>Activity name/category not included in contribution response</x:v>
      </x:c>
    </x:row>
    <x:row r="585">
      <x:c r="A585" s="26" t="n">
        <x:v>582</x:v>
      </x:c>
      <x:c r="B585" s="26" t="n">
        <x:v>139</x:v>
      </x:c>
      <x:c r="C585" s="26" t="str">
        <x:v>Kumuram Bheem Asifabad</x:v>
      </x:c>
      <x:c r="D585" s="26" t="n">
        <x:v>1105</x:v>
      </x:c>
      <x:c r="E585" s="26" t="str">
        <x:v>PRJ-2026-0001105</x:v>
      </x:c>
      <x:c r="F585" s="26" t="str">
        <x:v>Materials (Gardening Equipment, Seeds, Other Resources)  </x:v>
      </x:c>
      <x:c r="G585" s="26" t="n">
        <x:v>278</x:v>
      </x:c>
      <x:c r="H585" s="26" t="n">
        <x:v>3361</x:v>
      </x:c>
      <x:c r="I585" s="26"/>
      <x:c r="J585" s="26"/>
      <x:c r="K585" s="26"/>
      <x:c r="L585" s="26" t="n">
        <x:v>10</x:v>
      </x:c>
      <x:c r="M585" s="26" t="n">
        <x:v>10</x:v>
      </x:c>
      <x:c r="N585" s="26" t="n">
        <x:v>0</x:v>
      </x:c>
      <x:c r="O585" s="26" t="n">
        <x:f>MAX(M585-N585,0)</x:f>
        <x:v>10</x:v>
      </x:c>
      <x:c r="P585" s="38" t="n">
        <x:f>IFERROR(N585/M585,0)</x:f>
        <x:v>0</x:v>
      </x:c>
      <x:c r="Q585" s="26"/>
      <x:c r="R585" s="26"/>
      <x:c r="S585" s="26" t="str">
        <x:v>Pending Mapping</x:v>
      </x:c>
      <x:c r="T585" s="26"/>
      <x:c r="U585" s="26"/>
      <x:c r="V585" s="26"/>
      <x:c r="W585" s="32"/>
      <x:c r="X585" s="27" t="b">
        <x:v>1</x:v>
      </x:c>
      <x:c r="Y585" s="34" t="n">
        <x:v>46218.511041666665</x:v>
      </x:c>
      <x:c r="Z585" s="26"/>
      <x:c r="AA585" s="26" t="str"/>
      <x:c r="AB585" s="26" t="str">
        <x:v>Activity name/category not included in contribution response</x:v>
      </x:c>
    </x:row>
    <x:row r="586">
      <x:c r="A586" s="26" t="n">
        <x:v>583</x:v>
      </x:c>
      <x:c r="B586" s="26" t="n">
        <x:v>144</x:v>
      </x:c>
      <x:c r="C586" s="26" t="str">
        <x:v>Kumuram Bheem Asifabad</x:v>
      </x:c>
      <x:c r="D586" s="26" t="n">
        <x:v>2039</x:v>
      </x:c>
      <x:c r="E586" s="26" t="str">
        <x:v>PRJ-2026-0002039</x:v>
      </x:c>
      <x:c r="F586" s="26" t="str">
        <x:v>Upgradation of AWCs </x:v>
      </x:c>
      <x:c r="G586" s="26" t="n">
        <x:v>287</x:v>
      </x:c>
      <x:c r="H586" s="26" t="n">
        <x:v>6309</x:v>
      </x:c>
      <x:c r="I586" s="26"/>
      <x:c r="J586" s="26"/>
      <x:c r="K586" s="26"/>
      <x:c r="L586" s="26" t="n">
        <x:v>1</x:v>
      </x:c>
      <x:c r="M586" s="26" t="n">
        <x:v>1</x:v>
      </x:c>
      <x:c r="N586" s="26" t="n">
        <x:v>0</x:v>
      </x:c>
      <x:c r="O586" s="26" t="n">
        <x:f>MAX(M586-N586,0)</x:f>
        <x:v>1</x:v>
      </x:c>
      <x:c r="P586" s="38" t="n">
        <x:f>IFERROR(N586/M586,0)</x:f>
        <x:v>0</x:v>
      </x:c>
      <x:c r="Q586" s="26"/>
      <x:c r="R586" s="26"/>
      <x:c r="S586" s="26" t="str">
        <x:v>Pending Mapping</x:v>
      </x:c>
      <x:c r="T586" s="26"/>
      <x:c r="U586" s="26"/>
      <x:c r="V586" s="26"/>
      <x:c r="W586" s="32"/>
      <x:c r="X586" s="27" t="b">
        <x:v>1</x:v>
      </x:c>
      <x:c r="Y586" s="34" t="n">
        <x:v>46218.51100694444</x:v>
      </x:c>
      <x:c r="Z586" s="26"/>
      <x:c r="AA586" s="26" t="str"/>
      <x:c r="AB586" s="26" t="str">
        <x:v>Activity name/category not included in contribution response</x:v>
      </x:c>
    </x:row>
    <x:row r="587">
      <x:c r="A587" s="26" t="n">
        <x:v>584</x:v>
      </x:c>
      <x:c r="B587" s="26" t="n">
        <x:v>144</x:v>
      </x:c>
      <x:c r="C587" s="26" t="str">
        <x:v>Kumuram Bheem Asifabad</x:v>
      </x:c>
      <x:c r="D587" s="26" t="n">
        <x:v>2039</x:v>
      </x:c>
      <x:c r="E587" s="26" t="str">
        <x:v>PRJ-2026-0002039</x:v>
      </x:c>
      <x:c r="F587" s="26" t="str">
        <x:v>Upgradation of AWCs </x:v>
      </x:c>
      <x:c r="G587" s="26" t="n">
        <x:v>288</x:v>
      </x:c>
      <x:c r="H587" s="26" t="n">
        <x:v>6310</x:v>
      </x:c>
      <x:c r="I587" s="26"/>
      <x:c r="J587" s="26"/>
      <x:c r="K587" s="26"/>
      <x:c r="L587" s="26" t="n">
        <x:v>1</x:v>
      </x:c>
      <x:c r="M587" s="26" t="n">
        <x:v>1</x:v>
      </x:c>
      <x:c r="N587" s="26" t="n">
        <x:v>0</x:v>
      </x:c>
      <x:c r="O587" s="26" t="n">
        <x:f>MAX(M587-N587,0)</x:f>
        <x:v>1</x:v>
      </x:c>
      <x:c r="P587" s="38" t="n">
        <x:f>IFERROR(N587/M587,0)</x:f>
        <x:v>0</x:v>
      </x:c>
      <x:c r="Q587" s="26"/>
      <x:c r="R587" s="26"/>
      <x:c r="S587" s="26" t="str">
        <x:v>Pending Mapping</x:v>
      </x:c>
      <x:c r="T587" s="26"/>
      <x:c r="U587" s="26"/>
      <x:c r="V587" s="26"/>
      <x:c r="W587" s="32"/>
      <x:c r="X587" s="27" t="b">
        <x:v>1</x:v>
      </x:c>
      <x:c r="Y587" s="34" t="n">
        <x:v>46218.51100694444</x:v>
      </x:c>
      <x:c r="Z587" s="26"/>
      <x:c r="AA587" s="26" t="str"/>
      <x:c r="AB587" s="26" t="str">
        <x:v>Activity name/category not included in contribution response</x:v>
      </x:c>
    </x:row>
    <x:row r="588">
      <x:c r="A588" s="26" t="n">
        <x:v>585</x:v>
      </x:c>
      <x:c r="B588" s="26" t="n">
        <x:v>144</x:v>
      </x:c>
      <x:c r="C588" s="26" t="str">
        <x:v>Kumuram Bheem Asifabad</x:v>
      </x:c>
      <x:c r="D588" s="26" t="n">
        <x:v>2039</x:v>
      </x:c>
      <x:c r="E588" s="26" t="str">
        <x:v>PRJ-2026-0002039</x:v>
      </x:c>
      <x:c r="F588" s="26" t="str">
        <x:v>Upgradation of AWCs </x:v>
      </x:c>
      <x:c r="G588" s="26" t="n">
        <x:v>289</x:v>
      </x:c>
      <x:c r="H588" s="26" t="n">
        <x:v>6311</x:v>
      </x:c>
      <x:c r="I588" s="26"/>
      <x:c r="J588" s="26"/>
      <x:c r="K588" s="26"/>
      <x:c r="L588" s="26" t="n">
        <x:v>1</x:v>
      </x:c>
      <x:c r="M588" s="26" t="n">
        <x:v>1</x:v>
      </x:c>
      <x:c r="N588" s="26" t="n">
        <x:v>0</x:v>
      </x:c>
      <x:c r="O588" s="26" t="n">
        <x:f>MAX(M588-N588,0)</x:f>
        <x:v>1</x:v>
      </x:c>
      <x:c r="P588" s="38" t="n">
        <x:f>IFERROR(N588/M588,0)</x:f>
        <x:v>0</x:v>
      </x:c>
      <x:c r="Q588" s="26"/>
      <x:c r="R588" s="26"/>
      <x:c r="S588" s="26" t="str">
        <x:v>Pending Mapping</x:v>
      </x:c>
      <x:c r="T588" s="26"/>
      <x:c r="U588" s="26"/>
      <x:c r="V588" s="26"/>
      <x:c r="W588" s="32"/>
      <x:c r="X588" s="27" t="b">
        <x:v>1</x:v>
      </x:c>
      <x:c r="Y588" s="34" t="n">
        <x:v>46218.51100694444</x:v>
      </x:c>
      <x:c r="Z588" s="26"/>
      <x:c r="AA588" s="26" t="str"/>
      <x:c r="AB588" s="26" t="str">
        <x:v>Activity name/category not included in contribution response</x:v>
      </x:c>
    </x:row>
    <x:row r="589">
      <x:c r="A589" s="26" t="n">
        <x:v>586</x:v>
      </x:c>
      <x:c r="B589" s="26" t="n">
        <x:v>144</x:v>
      </x:c>
      <x:c r="C589" s="26" t="str">
        <x:v>Kumuram Bheem Asifabad</x:v>
      </x:c>
      <x:c r="D589" s="26" t="n">
        <x:v>2039</x:v>
      </x:c>
      <x:c r="E589" s="26" t="str">
        <x:v>PRJ-2026-0002039</x:v>
      </x:c>
      <x:c r="F589" s="26" t="str">
        <x:v>Upgradation of AWCs </x:v>
      </x:c>
      <x:c r="G589" s="26" t="n">
        <x:v>290</x:v>
      </x:c>
      <x:c r="H589" s="26" t="n">
        <x:v>6312</x:v>
      </x:c>
      <x:c r="I589" s="26"/>
      <x:c r="J589" s="26"/>
      <x:c r="K589" s="26"/>
      <x:c r="L589" s="26" t="n">
        <x:v>1</x:v>
      </x:c>
      <x:c r="M589" s="26" t="n">
        <x:v>1</x:v>
      </x:c>
      <x:c r="N589" s="26" t="n">
        <x:v>0</x:v>
      </x:c>
      <x:c r="O589" s="26" t="n">
        <x:f>MAX(M589-N589,0)</x:f>
        <x:v>1</x:v>
      </x:c>
      <x:c r="P589" s="38" t="n">
        <x:f>IFERROR(N589/M589,0)</x:f>
        <x:v>0</x:v>
      </x:c>
      <x:c r="Q589" s="26"/>
      <x:c r="R589" s="26"/>
      <x:c r="S589" s="26" t="str">
        <x:v>Pending Mapping</x:v>
      </x:c>
      <x:c r="T589" s="26"/>
      <x:c r="U589" s="26"/>
      <x:c r="V589" s="26"/>
      <x:c r="W589" s="32"/>
      <x:c r="X589" s="27" t="b">
        <x:v>1</x:v>
      </x:c>
      <x:c r="Y589" s="34" t="n">
        <x:v>46218.51100694444</x:v>
      </x:c>
      <x:c r="Z589" s="26"/>
      <x:c r="AA589" s="26" t="str"/>
      <x:c r="AB589" s="26" t="str">
        <x:v>Activity name/category not included in contribution response</x:v>
      </x:c>
    </x:row>
    <x:row r="590">
      <x:c r="A590" s="26" t="n">
        <x:v>587</x:v>
      </x:c>
      <x:c r="B590" s="26" t="n">
        <x:v>148</x:v>
      </x:c>
      <x:c r="C590" s="26" t="str">
        <x:v>Kumuram Bheem Asifabad</x:v>
      </x:c>
      <x:c r="D590" s="26" t="n">
        <x:v>2474</x:v>
      </x:c>
      <x:c r="E590" s="26" t="str">
        <x:v>PRJ-2026-0002474</x:v>
      </x:c>
      <x:c r="F590" s="26" t="str">
        <x:v>Materials (Toys, Balls, Swing Sets)  </x:v>
      </x:c>
      <x:c r="G590" s="26" t="n">
        <x:v>297</x:v>
      </x:c>
      <x:c r="H590" s="26" t="n">
        <x:v>7814</x:v>
      </x:c>
      <x:c r="I590" s="26"/>
      <x:c r="J590" s="26"/>
      <x:c r="K590" s="26"/>
      <x:c r="L590" s="26" t="n">
        <x:v>15</x:v>
      </x:c>
      <x:c r="M590" s="26" t="n">
        <x:v>15</x:v>
      </x:c>
      <x:c r="N590" s="26" t="n">
        <x:v>0</x:v>
      </x:c>
      <x:c r="O590" s="26" t="n">
        <x:f>MAX(M590-N590,0)</x:f>
        <x:v>15</x:v>
      </x:c>
      <x:c r="P590" s="38" t="n">
        <x:f>IFERROR(N590/M590,0)</x:f>
        <x:v>0</x:v>
      </x:c>
      <x:c r="Q590" s="26"/>
      <x:c r="R590" s="26"/>
      <x:c r="S590" s="26" t="str">
        <x:v>Pending Mapping</x:v>
      </x:c>
      <x:c r="T590" s="26"/>
      <x:c r="U590" s="26"/>
      <x:c r="V590" s="26"/>
      <x:c r="W590" s="32"/>
      <x:c r="X590" s="27" t="b">
        <x:v>1</x:v>
      </x:c>
      <x:c r="Y590" s="34" t="n">
        <x:v>46218.51097222222</x:v>
      </x:c>
      <x:c r="Z590" s="26"/>
      <x:c r="AA590" s="26" t="str"/>
      <x:c r="AB590" s="26" t="str">
        <x:v>Activity name/category not included in contribution response</x:v>
      </x:c>
    </x:row>
    <x:row r="591">
      <x:c r="A591" s="26" t="n">
        <x:v>588</x:v>
      </x:c>
      <x:c r="B591" s="26" t="n">
        <x:v>148</x:v>
      </x:c>
      <x:c r="C591" s="26" t="str">
        <x:v>Kumuram Bheem Asifabad</x:v>
      </x:c>
      <x:c r="D591" s="26" t="n">
        <x:v>2474</x:v>
      </x:c>
      <x:c r="E591" s="26" t="str">
        <x:v>PRJ-2026-0002474</x:v>
      </x:c>
      <x:c r="F591" s="26" t="str">
        <x:v>Materials (Toys, Balls, Swing Sets)  </x:v>
      </x:c>
      <x:c r="G591" s="26" t="n">
        <x:v>298</x:v>
      </x:c>
      <x:c r="H591" s="26" t="n">
        <x:v>7815</x:v>
      </x:c>
      <x:c r="I591" s="26"/>
      <x:c r="J591" s="26"/>
      <x:c r="K591" s="26"/>
      <x:c r="L591" s="26" t="n">
        <x:v>15</x:v>
      </x:c>
      <x:c r="M591" s="26" t="n">
        <x:v>15</x:v>
      </x:c>
      <x:c r="N591" s="26" t="n">
        <x:v>0</x:v>
      </x:c>
      <x:c r="O591" s="26" t="n">
        <x:f>MAX(M591-N591,0)</x:f>
        <x:v>15</x:v>
      </x:c>
      <x:c r="P591" s="38" t="n">
        <x:f>IFERROR(N591/M591,0)</x:f>
        <x:v>0</x:v>
      </x:c>
      <x:c r="Q591" s="26"/>
      <x:c r="R591" s="26"/>
      <x:c r="S591" s="26" t="str">
        <x:v>Pending Mapping</x:v>
      </x:c>
      <x:c r="T591" s="26"/>
      <x:c r="U591" s="26"/>
      <x:c r="V591" s="26"/>
      <x:c r="W591" s="32"/>
      <x:c r="X591" s="27" t="b">
        <x:v>1</x:v>
      </x:c>
      <x:c r="Y591" s="34" t="n">
        <x:v>46218.51097222222</x:v>
      </x:c>
      <x:c r="Z591" s="26"/>
      <x:c r="AA591" s="26" t="str"/>
      <x:c r="AB591" s="26" t="str">
        <x:v>Activity name/category not included in contribution response</x:v>
      </x:c>
    </x:row>
    <x:row r="592">
      <x:c r="A592" s="26" t="n">
        <x:v>589</x:v>
      </x:c>
      <x:c r="B592" s="26" t="n">
        <x:v>148</x:v>
      </x:c>
      <x:c r="C592" s="26" t="str">
        <x:v>Kumuram Bheem Asifabad</x:v>
      </x:c>
      <x:c r="D592" s="26" t="n">
        <x:v>2474</x:v>
      </x:c>
      <x:c r="E592" s="26" t="str">
        <x:v>PRJ-2026-0002474</x:v>
      </x:c>
      <x:c r="F592" s="26" t="str">
        <x:v>Materials (Toys, Balls, Swing Sets)  </x:v>
      </x:c>
      <x:c r="G592" s="26" t="n">
        <x:v>299</x:v>
      </x:c>
      <x:c r="H592" s="26" t="n">
        <x:v>7816</x:v>
      </x:c>
      <x:c r="I592" s="26"/>
      <x:c r="J592" s="26"/>
      <x:c r="K592" s="26"/>
      <x:c r="L592" s="26" t="n">
        <x:v>4</x:v>
      </x:c>
      <x:c r="M592" s="26" t="n">
        <x:v>4</x:v>
      </x:c>
      <x:c r="N592" s="26" t="n">
        <x:v>0</x:v>
      </x:c>
      <x:c r="O592" s="26" t="n">
        <x:f>MAX(M592-N592,0)</x:f>
        <x:v>4</x:v>
      </x:c>
      <x:c r="P592" s="38" t="n">
        <x:f>IFERROR(N592/M592,0)</x:f>
        <x:v>0</x:v>
      </x:c>
      <x:c r="Q592" s="26"/>
      <x:c r="R592" s="26"/>
      <x:c r="S592" s="26" t="str">
        <x:v>Pending Mapping</x:v>
      </x:c>
      <x:c r="T592" s="26"/>
      <x:c r="U592" s="26"/>
      <x:c r="V592" s="26"/>
      <x:c r="W592" s="32"/>
      <x:c r="X592" s="27" t="b">
        <x:v>1</x:v>
      </x:c>
      <x:c r="Y592" s="34" t="n">
        <x:v>46218.51097222222</x:v>
      </x:c>
      <x:c r="Z592" s="26"/>
      <x:c r="AA592" s="26" t="str"/>
      <x:c r="AB592" s="26" t="str">
        <x:v>Activity name/category not included in contribution response</x:v>
      </x:c>
    </x:row>
    <x:row r="593">
      <x:c r="A593" s="26" t="n">
        <x:v>590</x:v>
      </x:c>
      <x:c r="B593" s="26" t="n">
        <x:v>149</x:v>
      </x:c>
      <x:c r="C593" s="26" t="str">
        <x:v>Kumuram Bheem Asifabad</x:v>
      </x:c>
      <x:c r="D593" s="26" t="n">
        <x:v>2759</x:v>
      </x:c>
      <x:c r="E593" s="26" t="str">
        <x:v>PRJ-2026-0002759</x:v>
      </x:c>
      <x:c r="F593" s="26" t="str">
        <x:v>requirement of anganwadi facilities</x:v>
      </x:c>
      <x:c r="G593" s="26" t="n">
        <x:v>300</x:v>
      </x:c>
      <x:c r="H593" s="26" t="n">
        <x:v>8874</x:v>
      </x:c>
      <x:c r="I593" s="26"/>
      <x:c r="J593" s="26"/>
      <x:c r="K593" s="26"/>
      <x:c r="L593" s="26" t="n">
        <x:v>1</x:v>
      </x:c>
      <x:c r="M593" s="26" t="n">
        <x:v>1</x:v>
      </x:c>
      <x:c r="N593" s="26" t="n">
        <x:v>0</x:v>
      </x:c>
      <x:c r="O593" s="26" t="n">
        <x:f>MAX(M593-N593,0)</x:f>
        <x:v>1</x:v>
      </x:c>
      <x:c r="P593" s="38" t="n">
        <x:f>IFERROR(N593/M593,0)</x:f>
        <x:v>0</x:v>
      </x:c>
      <x:c r="Q593" s="26"/>
      <x:c r="R593" s="26"/>
      <x:c r="S593" s="26" t="str">
        <x:v>Pending Mapping</x:v>
      </x:c>
      <x:c r="T593" s="26"/>
      <x:c r="U593" s="26"/>
      <x:c r="V593" s="26"/>
      <x:c r="W593" s="32"/>
      <x:c r="X593" s="27" t="b">
        <x:v>1</x:v>
      </x:c>
      <x:c r="Y593" s="34" t="n">
        <x:v>46218.51096064815</x:v>
      </x:c>
      <x:c r="Z593" s="26"/>
      <x:c r="AA593" s="26" t="str"/>
      <x:c r="AB593" s="26" t="str">
        <x:v>Activity name/category not included in contribution response</x:v>
      </x:c>
    </x:row>
    <x:row r="594">
      <x:c r="A594" s="26" t="n">
        <x:v>591</x:v>
      </x:c>
      <x:c r="B594" s="26" t="n">
        <x:v>149</x:v>
      </x:c>
      <x:c r="C594" s="26" t="str">
        <x:v>Kumuram Bheem Asifabad</x:v>
      </x:c>
      <x:c r="D594" s="26" t="n">
        <x:v>2759</x:v>
      </x:c>
      <x:c r="E594" s="26" t="str">
        <x:v>PRJ-2026-0002759</x:v>
      </x:c>
      <x:c r="F594" s="26" t="str">
        <x:v>requirement of anganwadi facilities</x:v>
      </x:c>
      <x:c r="G594" s="26" t="n">
        <x:v>301</x:v>
      </x:c>
      <x:c r="H594" s="26" t="n">
        <x:v>8875</x:v>
      </x:c>
      <x:c r="I594" s="26"/>
      <x:c r="J594" s="26"/>
      <x:c r="K594" s="26"/>
      <x:c r="L594" s="26" t="n">
        <x:v>1</x:v>
      </x:c>
      <x:c r="M594" s="26" t="n">
        <x:v>1</x:v>
      </x:c>
      <x:c r="N594" s="26" t="n">
        <x:v>0</x:v>
      </x:c>
      <x:c r="O594" s="26" t="n">
        <x:f>MAX(M594-N594,0)</x:f>
        <x:v>1</x:v>
      </x:c>
      <x:c r="P594" s="38" t="n">
        <x:f>IFERROR(N594/M594,0)</x:f>
        <x:v>0</x:v>
      </x:c>
      <x:c r="Q594" s="26"/>
      <x:c r="R594" s="26"/>
      <x:c r="S594" s="26" t="str">
        <x:v>Pending Mapping</x:v>
      </x:c>
      <x:c r="T594" s="26"/>
      <x:c r="U594" s="26"/>
      <x:c r="V594" s="26"/>
      <x:c r="W594" s="32"/>
      <x:c r="X594" s="27" t="b">
        <x:v>1</x:v>
      </x:c>
      <x:c r="Y594" s="34" t="n">
        <x:v>46218.51096064815</x:v>
      </x:c>
      <x:c r="Z594" s="26"/>
      <x:c r="AA594" s="26" t="str"/>
      <x:c r="AB594" s="26" t="str">
        <x:v>Activity name/category not included in contribution response</x:v>
      </x:c>
    </x:row>
    <x:row r="595">
      <x:c r="A595" s="26" t="n">
        <x:v>592</x:v>
      </x:c>
      <x:c r="B595" s="26" t="n">
        <x:v>149</x:v>
      </x:c>
      <x:c r="C595" s="26" t="str">
        <x:v>Kumuram Bheem Asifabad</x:v>
      </x:c>
      <x:c r="D595" s="26" t="n">
        <x:v>2759</x:v>
      </x:c>
      <x:c r="E595" s="26" t="str">
        <x:v>PRJ-2026-0002759</x:v>
      </x:c>
      <x:c r="F595" s="26" t="str">
        <x:v>requirement of anganwadi facilities</x:v>
      </x:c>
      <x:c r="G595" s="26" t="n">
        <x:v>302</x:v>
      </x:c>
      <x:c r="H595" s="26" t="n">
        <x:v>8876</x:v>
      </x:c>
      <x:c r="I595" s="26"/>
      <x:c r="J595" s="26"/>
      <x:c r="K595" s="26"/>
      <x:c r="L595" s="26" t="n">
        <x:v>1</x:v>
      </x:c>
      <x:c r="M595" s="26" t="n">
        <x:v>1</x:v>
      </x:c>
      <x:c r="N595" s="26" t="n">
        <x:v>0</x:v>
      </x:c>
      <x:c r="O595" s="26" t="n">
        <x:f>MAX(M595-N595,0)</x:f>
        <x:v>1</x:v>
      </x:c>
      <x:c r="P595" s="38" t="n">
        <x:f>IFERROR(N595/M595,0)</x:f>
        <x:v>0</x:v>
      </x:c>
      <x:c r="Q595" s="26"/>
      <x:c r="R595" s="26"/>
      <x:c r="S595" s="26" t="str">
        <x:v>Pending Mapping</x:v>
      </x:c>
      <x:c r="T595" s="26"/>
      <x:c r="U595" s="26"/>
      <x:c r="V595" s="26"/>
      <x:c r="W595" s="32"/>
      <x:c r="X595" s="27" t="b">
        <x:v>1</x:v>
      </x:c>
      <x:c r="Y595" s="34" t="n">
        <x:v>46218.51096064815</x:v>
      </x:c>
      <x:c r="Z595" s="26"/>
      <x:c r="AA595" s="26" t="str"/>
      <x:c r="AB595" s="26" t="str">
        <x:v>Activity name/category not included in contribution response</x:v>
      </x:c>
    </x:row>
    <x:row r="596">
      <x:c r="A596" s="26" t="n">
        <x:v>593</x:v>
      </x:c>
      <x:c r="B596" s="26" t="n">
        <x:v>149</x:v>
      </x:c>
      <x:c r="C596" s="26" t="str">
        <x:v>Kumuram Bheem Asifabad</x:v>
      </x:c>
      <x:c r="D596" s="26" t="n">
        <x:v>2759</x:v>
      </x:c>
      <x:c r="E596" s="26" t="str">
        <x:v>PRJ-2026-0002759</x:v>
      </x:c>
      <x:c r="F596" s="26" t="str">
        <x:v>requirement of anganwadi facilities</x:v>
      </x:c>
      <x:c r="G596" s="26" t="n">
        <x:v>303</x:v>
      </x:c>
      <x:c r="H596" s="26" t="n">
        <x:v>8877</x:v>
      </x:c>
      <x:c r="I596" s="26"/>
      <x:c r="J596" s="26"/>
      <x:c r="K596" s="26"/>
      <x:c r="L596" s="26" t="n">
        <x:v>1</x:v>
      </x:c>
      <x:c r="M596" s="26" t="n">
        <x:v>1</x:v>
      </x:c>
      <x:c r="N596" s="26" t="n">
        <x:v>0</x:v>
      </x:c>
      <x:c r="O596" s="26" t="n">
        <x:f>MAX(M596-N596,0)</x:f>
        <x:v>1</x:v>
      </x:c>
      <x:c r="P596" s="38" t="n">
        <x:f>IFERROR(N596/M596,0)</x:f>
        <x:v>0</x:v>
      </x:c>
      <x:c r="Q596" s="26"/>
      <x:c r="R596" s="26"/>
      <x:c r="S596" s="26" t="str">
        <x:v>Pending Mapping</x:v>
      </x:c>
      <x:c r="T596" s="26"/>
      <x:c r="U596" s="26"/>
      <x:c r="V596" s="26"/>
      <x:c r="W596" s="32"/>
      <x:c r="X596" s="27" t="b">
        <x:v>1</x:v>
      </x:c>
      <x:c r="Y596" s="34" t="n">
        <x:v>46218.51096064815</x:v>
      </x:c>
      <x:c r="Z596" s="26"/>
      <x:c r="AA596" s="26" t="str"/>
      <x:c r="AB596" s="26" t="str">
        <x:v>Activity name/category not included in contribution response</x:v>
      </x:c>
    </x:row>
    <x:row r="597">
      <x:c r="A597" s="26" t="n">
        <x:v>594</x:v>
      </x:c>
      <x:c r="B597" s="26" t="n">
        <x:v>150</x:v>
      </x:c>
      <x:c r="C597" s="26" t="str">
        <x:v>Kumuram Bheem Asifabad</x:v>
      </x:c>
      <x:c r="D597" s="26" t="n">
        <x:v>2916</x:v>
      </x:c>
      <x:c r="E597" s="26" t="str">
        <x:v>PRJ-2026-0002916</x:v>
      </x:c>
      <x:c r="F597" s="26" t="str">
        <x:v>Upgradation of  2 Anganwadi centres</x:v>
      </x:c>
      <x:c r="G597" s="26" t="n">
        <x:v>304</x:v>
      </x:c>
      <x:c r="H597" s="26" t="n">
        <x:v>9441</x:v>
      </x:c>
      <x:c r="I597" s="26"/>
      <x:c r="J597" s="26"/>
      <x:c r="K597" s="26"/>
      <x:c r="L597" s="26" t="n">
        <x:v>10</x:v>
      </x:c>
      <x:c r="M597" s="26" t="n">
        <x:v>10</x:v>
      </x:c>
      <x:c r="N597" s="26" t="n">
        <x:v>0</x:v>
      </x:c>
      <x:c r="O597" s="26" t="n">
        <x:f>MAX(M597-N597,0)</x:f>
        <x:v>10</x:v>
      </x:c>
      <x:c r="P597" s="38" t="n">
        <x:f>IFERROR(N597/M597,0)</x:f>
        <x:v>0</x:v>
      </x:c>
      <x:c r="Q597" s="26"/>
      <x:c r="R597" s="26"/>
      <x:c r="S597" s="26" t="str">
        <x:v>Pending Mapping</x:v>
      </x:c>
      <x:c r="T597" s="26"/>
      <x:c r="U597" s="26"/>
      <x:c r="V597" s="26"/>
      <x:c r="W597" s="32"/>
      <x:c r="X597" s="27" t="b">
        <x:v>1</x:v>
      </x:c>
      <x:c r="Y597" s="34" t="n">
        <x:v>46218.51096064815</x:v>
      </x:c>
      <x:c r="Z597" s="26"/>
      <x:c r="AA597" s="26" t="str"/>
      <x:c r="AB597" s="26" t="str">
        <x:v>Activity name/category not included in contribution response</x:v>
      </x:c>
    </x:row>
    <x:row r="598">
      <x:c r="A598" s="26" t="n">
        <x:v>595</x:v>
      </x:c>
      <x:c r="B598" s="26" t="n">
        <x:v>150</x:v>
      </x:c>
      <x:c r="C598" s="26" t="str">
        <x:v>Kumuram Bheem Asifabad</x:v>
      </x:c>
      <x:c r="D598" s="26" t="n">
        <x:v>2916</x:v>
      </x:c>
      <x:c r="E598" s="26" t="str">
        <x:v>PRJ-2026-0002916</x:v>
      </x:c>
      <x:c r="F598" s="26" t="str">
        <x:v>Upgradation of  2 Anganwadi centres</x:v>
      </x:c>
      <x:c r="G598" s="26" t="n">
        <x:v>305</x:v>
      </x:c>
      <x:c r="H598" s="26" t="n">
        <x:v>9442</x:v>
      </x:c>
      <x:c r="I598" s="26"/>
      <x:c r="J598" s="26"/>
      <x:c r="K598" s="26"/>
      <x:c r="L598" s="26" t="n">
        <x:v>15</x:v>
      </x:c>
      <x:c r="M598" s="26" t="n">
        <x:v>15</x:v>
      </x:c>
      <x:c r="N598" s="26" t="n">
        <x:v>0</x:v>
      </x:c>
      <x:c r="O598" s="26" t="n">
        <x:f>MAX(M598-N598,0)</x:f>
        <x:v>15</x:v>
      </x:c>
      <x:c r="P598" s="38" t="n">
        <x:f>IFERROR(N598/M598,0)</x:f>
        <x:v>0</x:v>
      </x:c>
      <x:c r="Q598" s="26"/>
      <x:c r="R598" s="26"/>
      <x:c r="S598" s="26" t="str">
        <x:v>Pending Mapping</x:v>
      </x:c>
      <x:c r="T598" s="26"/>
      <x:c r="U598" s="26"/>
      <x:c r="V598" s="26"/>
      <x:c r="W598" s="32"/>
      <x:c r="X598" s="27" t="b">
        <x:v>1</x:v>
      </x:c>
      <x:c r="Y598" s="34" t="n">
        <x:v>46218.51096064815</x:v>
      </x:c>
      <x:c r="Z598" s="26"/>
      <x:c r="AA598" s="26" t="str"/>
      <x:c r="AB598" s="26" t="str">
        <x:v>Activity name/category not included in contribution response</x:v>
      </x:c>
    </x:row>
    <x:row r="599">
      <x:c r="A599" s="26" t="n">
        <x:v>596</x:v>
      </x:c>
      <x:c r="B599" s="26" t="n">
        <x:v>150</x:v>
      </x:c>
      <x:c r="C599" s="26" t="str">
        <x:v>Kumuram Bheem Asifabad</x:v>
      </x:c>
      <x:c r="D599" s="26" t="n">
        <x:v>2916</x:v>
      </x:c>
      <x:c r="E599" s="26" t="str">
        <x:v>PRJ-2026-0002916</x:v>
      </x:c>
      <x:c r="F599" s="26" t="str">
        <x:v>Upgradation of  2 Anganwadi centres</x:v>
      </x:c>
      <x:c r="G599" s="26" t="n">
        <x:v>306</x:v>
      </x:c>
      <x:c r="H599" s="26" t="n">
        <x:v>9443</x:v>
      </x:c>
      <x:c r="I599" s="26"/>
      <x:c r="J599" s="26"/>
      <x:c r="K599" s="26"/>
      <x:c r="L599" s="26" t="n">
        <x:v>1</x:v>
      </x:c>
      <x:c r="M599" s="26" t="n">
        <x:v>1</x:v>
      </x:c>
      <x:c r="N599" s="26" t="n">
        <x:v>0</x:v>
      </x:c>
      <x:c r="O599" s="26" t="n">
        <x:f>MAX(M599-N599,0)</x:f>
        <x:v>1</x:v>
      </x:c>
      <x:c r="P599" s="38" t="n">
        <x:f>IFERROR(N599/M599,0)</x:f>
        <x:v>0</x:v>
      </x:c>
      <x:c r="Q599" s="26"/>
      <x:c r="R599" s="26"/>
      <x:c r="S599" s="26" t="str">
        <x:v>Pending Mapping</x:v>
      </x:c>
      <x:c r="T599" s="26"/>
      <x:c r="U599" s="26"/>
      <x:c r="V599" s="26"/>
      <x:c r="W599" s="32"/>
      <x:c r="X599" s="27" t="b">
        <x:v>1</x:v>
      </x:c>
      <x:c r="Y599" s="34" t="n">
        <x:v>46218.51096064815</x:v>
      </x:c>
      <x:c r="Z599" s="26"/>
      <x:c r="AA599" s="26" t="str"/>
      <x:c r="AB599" s="26" t="str">
        <x:v>Activity name/category not included in contribution response</x:v>
      </x:c>
    </x:row>
    <x:row r="600">
      <x:c r="A600" s="26" t="n">
        <x:v>597</x:v>
      </x:c>
      <x:c r="B600" s="26" t="n">
        <x:v>150</x:v>
      </x:c>
      <x:c r="C600" s="26" t="str">
        <x:v>Kumuram Bheem Asifabad</x:v>
      </x:c>
      <x:c r="D600" s="26" t="n">
        <x:v>2916</x:v>
      </x:c>
      <x:c r="E600" s="26" t="str">
        <x:v>PRJ-2026-0002916</x:v>
      </x:c>
      <x:c r="F600" s="26" t="str">
        <x:v>Upgradation of  2 Anganwadi centres</x:v>
      </x:c>
      <x:c r="G600" s="26" t="n">
        <x:v>307</x:v>
      </x:c>
      <x:c r="H600" s="26" t="n">
        <x:v>9444</x:v>
      </x:c>
      <x:c r="I600" s="26"/>
      <x:c r="J600" s="26"/>
      <x:c r="K600" s="26"/>
      <x:c r="L600" s="26" t="n">
        <x:v>1</x:v>
      </x:c>
      <x:c r="M600" s="26" t="n">
        <x:v>1</x:v>
      </x:c>
      <x:c r="N600" s="26" t="n">
        <x:v>0</x:v>
      </x:c>
      <x:c r="O600" s="26" t="n">
        <x:f>MAX(M600-N600,0)</x:f>
        <x:v>1</x:v>
      </x:c>
      <x:c r="P600" s="38" t="n">
        <x:f>IFERROR(N600/M600,0)</x:f>
        <x:v>0</x:v>
      </x:c>
      <x:c r="Q600" s="26"/>
      <x:c r="R600" s="26"/>
      <x:c r="S600" s="26" t="str">
        <x:v>Pending Mapping</x:v>
      </x:c>
      <x:c r="T600" s="26"/>
      <x:c r="U600" s="26"/>
      <x:c r="V600" s="26"/>
      <x:c r="W600" s="32"/>
      <x:c r="X600" s="27" t="b">
        <x:v>1</x:v>
      </x:c>
      <x:c r="Y600" s="34" t="n">
        <x:v>46218.51096064815</x:v>
      </x:c>
      <x:c r="Z600" s="26"/>
      <x:c r="AA600" s="26" t="str"/>
      <x:c r="AB600" s="26" t="str">
        <x:v>Activity name/category not included in contribution response</x:v>
      </x:c>
    </x:row>
    <x:row r="601">
      <x:c r="A601" s="26" t="n">
        <x:v>598</x:v>
      </x:c>
      <x:c r="B601" s="26" t="n">
        <x:v>150</x:v>
      </x:c>
      <x:c r="C601" s="26" t="str">
        <x:v>Kumuram Bheem Asifabad</x:v>
      </x:c>
      <x:c r="D601" s="26" t="n">
        <x:v>2916</x:v>
      </x:c>
      <x:c r="E601" s="26" t="str">
        <x:v>PRJ-2026-0002916</x:v>
      </x:c>
      <x:c r="F601" s="26" t="str">
        <x:v>Upgradation of  2 Anganwadi centres</x:v>
      </x:c>
      <x:c r="G601" s="26" t="n">
        <x:v>308</x:v>
      </x:c>
      <x:c r="H601" s="26" t="n">
        <x:v>9445</x:v>
      </x:c>
      <x:c r="I601" s="26"/>
      <x:c r="J601" s="26"/>
      <x:c r="K601" s="26"/>
      <x:c r="L601" s="26" t="n">
        <x:v>600</x:v>
      </x:c>
      <x:c r="M601" s="26" t="n">
        <x:v>600</x:v>
      </x:c>
      <x:c r="N601" s="26" t="n">
        <x:v>0</x:v>
      </x:c>
      <x:c r="O601" s="26" t="n">
        <x:f>MAX(M601-N601,0)</x:f>
        <x:v>600</x:v>
      </x:c>
      <x:c r="P601" s="38" t="n">
        <x:f>IFERROR(N601/M601,0)</x:f>
        <x:v>0</x:v>
      </x:c>
      <x:c r="Q601" s="26"/>
      <x:c r="R601" s="26"/>
      <x:c r="S601" s="26" t="str">
        <x:v>Pending Mapping</x:v>
      </x:c>
      <x:c r="T601" s="26"/>
      <x:c r="U601" s="26"/>
      <x:c r="V601" s="26"/>
      <x:c r="W601" s="32"/>
      <x:c r="X601" s="27" t="b">
        <x:v>1</x:v>
      </x:c>
      <x:c r="Y601" s="34" t="n">
        <x:v>46218.51096064815</x:v>
      </x:c>
      <x:c r="Z601" s="26"/>
      <x:c r="AA601" s="26" t="str"/>
      <x:c r="AB601" s="26" t="str">
        <x:v>Activity name/category not included in contribution response</x:v>
      </x:c>
    </x:row>
    <x:row r="602">
      <x:c r="A602" s="26" t="n">
        <x:v>599</x:v>
      </x:c>
      <x:c r="B602" s="26" t="n">
        <x:v>151</x:v>
      </x:c>
      <x:c r="C602" s="26" t="str">
        <x:v>Kumuram Bheem Asifabad</x:v>
      </x:c>
      <x:c r="D602" s="26" t="n">
        <x:v>3184</x:v>
      </x:c>
      <x:c r="E602" s="26" t="str">
        <x:v>PRJ-2026-0003184</x:v>
      </x:c>
      <x:c r="F602" s="26" t="str">
        <x:v>Upgradation of AWCs </x:v>
      </x:c>
      <x:c r="G602" s="26" t="n">
        <x:v>309</x:v>
      </x:c>
      <x:c r="H602" s="26" t="n">
        <x:v>10382</x:v>
      </x:c>
      <x:c r="I602" s="26"/>
      <x:c r="J602" s="26"/>
      <x:c r="K602" s="26"/>
      <x:c r="L602" s="26" t="n">
        <x:v>1</x:v>
      </x:c>
      <x:c r="M602" s="26" t="n">
        <x:v>1</x:v>
      </x:c>
      <x:c r="N602" s="26" t="n">
        <x:v>0</x:v>
      </x:c>
      <x:c r="O602" s="26" t="n">
        <x:f>MAX(M602-N602,0)</x:f>
        <x:v>1</x:v>
      </x:c>
      <x:c r="P602" s="38" t="n">
        <x:f>IFERROR(N602/M602,0)</x:f>
        <x:v>0</x:v>
      </x:c>
      <x:c r="Q602" s="26"/>
      <x:c r="R602" s="26"/>
      <x:c r="S602" s="26" t="str">
        <x:v>Pending Mapping</x:v>
      </x:c>
      <x:c r="T602" s="26"/>
      <x:c r="U602" s="26"/>
      <x:c r="V602" s="26"/>
      <x:c r="W602" s="32"/>
      <x:c r="X602" s="27" t="b">
        <x:v>1</x:v>
      </x:c>
      <x:c r="Y602" s="34" t="n">
        <x:v>46218.51094907407</x:v>
      </x:c>
      <x:c r="Z602" s="26"/>
      <x:c r="AA602" s="26" t="str"/>
      <x:c r="AB602" s="26" t="str">
        <x:v>Activity name/category not included in contribution response</x:v>
      </x:c>
    </x:row>
    <x:row r="603">
      <x:c r="A603" s="26" t="n">
        <x:v>600</x:v>
      </x:c>
      <x:c r="B603" s="26" t="n">
        <x:v>151</x:v>
      </x:c>
      <x:c r="C603" s="26" t="str">
        <x:v>Kumuram Bheem Asifabad</x:v>
      </x:c>
      <x:c r="D603" s="26" t="n">
        <x:v>3184</x:v>
      </x:c>
      <x:c r="E603" s="26" t="str">
        <x:v>PRJ-2026-0003184</x:v>
      </x:c>
      <x:c r="F603" s="26" t="str">
        <x:v>Upgradation of AWCs </x:v>
      </x:c>
      <x:c r="G603" s="26" t="n">
        <x:v>310</x:v>
      </x:c>
      <x:c r="H603" s="26" t="n">
        <x:v>10383</x:v>
      </x:c>
      <x:c r="I603" s="26"/>
      <x:c r="J603" s="26"/>
      <x:c r="K603" s="26"/>
      <x:c r="L603" s="26" t="n">
        <x:v>1</x:v>
      </x:c>
      <x:c r="M603" s="26" t="n">
        <x:v>1</x:v>
      </x:c>
      <x:c r="N603" s="26" t="n">
        <x:v>0</x:v>
      </x:c>
      <x:c r="O603" s="26" t="n">
        <x:f>MAX(M603-N603,0)</x:f>
        <x:v>1</x:v>
      </x:c>
      <x:c r="P603" s="38" t="n">
        <x:f>IFERROR(N603/M603,0)</x:f>
        <x:v>0</x:v>
      </x:c>
      <x:c r="Q603" s="26"/>
      <x:c r="R603" s="26"/>
      <x:c r="S603" s="26" t="str">
        <x:v>Pending Mapping</x:v>
      </x:c>
      <x:c r="T603" s="26"/>
      <x:c r="U603" s="26"/>
      <x:c r="V603" s="26"/>
      <x:c r="W603" s="32"/>
      <x:c r="X603" s="27" t="b">
        <x:v>1</x:v>
      </x:c>
      <x:c r="Y603" s="34" t="n">
        <x:v>46218.51094907407</x:v>
      </x:c>
      <x:c r="Z603" s="26"/>
      <x:c r="AA603" s="26" t="str"/>
      <x:c r="AB603" s="26" t="str">
        <x:v>Activity name/category not included in contribution response</x:v>
      </x:c>
    </x:row>
    <x:row r="604">
      <x:c r="A604" s="26" t="n">
        <x:v>601</x:v>
      </x:c>
      <x:c r="B604" s="26" t="n">
        <x:v>151</x:v>
      </x:c>
      <x:c r="C604" s="26" t="str">
        <x:v>Kumuram Bheem Asifabad</x:v>
      </x:c>
      <x:c r="D604" s="26" t="n">
        <x:v>3184</x:v>
      </x:c>
      <x:c r="E604" s="26" t="str">
        <x:v>PRJ-2026-0003184</x:v>
      </x:c>
      <x:c r="F604" s="26" t="str">
        <x:v>Upgradation of AWCs </x:v>
      </x:c>
      <x:c r="G604" s="26" t="n">
        <x:v>311</x:v>
      </x:c>
      <x:c r="H604" s="26" t="n">
        <x:v>10384</x:v>
      </x:c>
      <x:c r="I604" s="26"/>
      <x:c r="J604" s="26"/>
      <x:c r="K604" s="26"/>
      <x:c r="L604" s="26" t="n">
        <x:v>1</x:v>
      </x:c>
      <x:c r="M604" s="26" t="n">
        <x:v>1</x:v>
      </x:c>
      <x:c r="N604" s="26" t="n">
        <x:v>0</x:v>
      </x:c>
      <x:c r="O604" s="26" t="n">
        <x:f>MAX(M604-N604,0)</x:f>
        <x:v>1</x:v>
      </x:c>
      <x:c r="P604" s="38" t="n">
        <x:f>IFERROR(N604/M604,0)</x:f>
        <x:v>0</x:v>
      </x:c>
      <x:c r="Q604" s="26"/>
      <x:c r="R604" s="26"/>
      <x:c r="S604" s="26" t="str">
        <x:v>Pending Mapping</x:v>
      </x:c>
      <x:c r="T604" s="26"/>
      <x:c r="U604" s="26"/>
      <x:c r="V604" s="26"/>
      <x:c r="W604" s="32"/>
      <x:c r="X604" s="27" t="b">
        <x:v>1</x:v>
      </x:c>
      <x:c r="Y604" s="34" t="n">
        <x:v>46218.51094907407</x:v>
      </x:c>
      <x:c r="Z604" s="26"/>
      <x:c r="AA604" s="26" t="str"/>
      <x:c r="AB604" s="26" t="str">
        <x:v>Activity name/category not included in contribution response</x:v>
      </x:c>
    </x:row>
    <x:row r="605">
      <x:c r="A605" s="26" t="n">
        <x:v>602</x:v>
      </x:c>
      <x:c r="B605" s="26" t="n">
        <x:v>154</x:v>
      </x:c>
      <x:c r="C605" s="26" t="str">
        <x:v>Kumuram Bheem Asifabad</x:v>
      </x:c>
      <x:c r="D605" s="26" t="n">
        <x:v>3497</x:v>
      </x:c>
      <x:c r="E605" s="26" t="str">
        <x:v>PRJ-2026-0003497</x:v>
      </x:c>
      <x:c r="F605" s="26" t="str">
        <x:v>Material(Gardening Equipment, Seeds, Other Sources)</x:v>
      </x:c>
      <x:c r="G605" s="26" t="n">
        <x:v>314</x:v>
      </x:c>
      <x:c r="H605" s="26" t="n">
        <x:v>11514</x:v>
      </x:c>
      <x:c r="I605" s="26"/>
      <x:c r="J605" s="26"/>
      <x:c r="K605" s="26"/>
      <x:c r="L605" s="26" t="n">
        <x:v>1</x:v>
      </x:c>
      <x:c r="M605" s="26" t="n">
        <x:v>1</x:v>
      </x:c>
      <x:c r="N605" s="26" t="n">
        <x:v>0</x:v>
      </x:c>
      <x:c r="O605" s="26" t="n">
        <x:f>MAX(M605-N605,0)</x:f>
        <x:v>1</x:v>
      </x:c>
      <x:c r="P605" s="38" t="n">
        <x:f>IFERROR(N605/M605,0)</x:f>
        <x:v>0</x:v>
      </x:c>
      <x:c r="Q605" s="26"/>
      <x:c r="R605" s="26"/>
      <x:c r="S605" s="26" t="str">
        <x:v>Pending Mapping</x:v>
      </x:c>
      <x:c r="T605" s="26"/>
      <x:c r="U605" s="26"/>
      <x:c r="V605" s="26"/>
      <x:c r="W605" s="32"/>
      <x:c r="X605" s="27" t="b">
        <x:v>1</x:v>
      </x:c>
      <x:c r="Y605" s="34" t="n">
        <x:v>46218.510925925926</x:v>
      </x:c>
      <x:c r="Z605" s="26"/>
      <x:c r="AA605" s="26" t="str"/>
      <x:c r="AB605" s="26" t="str">
        <x:v>Activity name/category not included in contribution response</x:v>
      </x:c>
    </x:row>
    <x:row r="606">
      <x:c r="A606" s="26" t="n">
        <x:v>603</x:v>
      </x:c>
      <x:c r="B606" s="26" t="n">
        <x:v>154</x:v>
      </x:c>
      <x:c r="C606" s="26" t="str">
        <x:v>Kumuram Bheem Asifabad</x:v>
      </x:c>
      <x:c r="D606" s="26" t="n">
        <x:v>3497</x:v>
      </x:c>
      <x:c r="E606" s="26" t="str">
        <x:v>PRJ-2026-0003497</x:v>
      </x:c>
      <x:c r="F606" s="26" t="str">
        <x:v>Material(Gardening Equipment, Seeds, Other Sources)</x:v>
      </x:c>
      <x:c r="G606" s="26" t="n">
        <x:v>315</x:v>
      </x:c>
      <x:c r="H606" s="26" t="n">
        <x:v>11515</x:v>
      </x:c>
      <x:c r="I606" s="26"/>
      <x:c r="J606" s="26"/>
      <x:c r="K606" s="26"/>
      <x:c r="L606" s="26" t="n">
        <x:v>10</x:v>
      </x:c>
      <x:c r="M606" s="26" t="n">
        <x:v>10</x:v>
      </x:c>
      <x:c r="N606" s="26" t="n">
        <x:v>0</x:v>
      </x:c>
      <x:c r="O606" s="26" t="n">
        <x:f>MAX(M606-N606,0)</x:f>
        <x:v>10</x:v>
      </x:c>
      <x:c r="P606" s="38" t="n">
        <x:f>IFERROR(N606/M606,0)</x:f>
        <x:v>0</x:v>
      </x:c>
      <x:c r="Q606" s="26"/>
      <x:c r="R606" s="26"/>
      <x:c r="S606" s="26" t="str">
        <x:v>Pending Mapping</x:v>
      </x:c>
      <x:c r="T606" s="26"/>
      <x:c r="U606" s="26"/>
      <x:c r="V606" s="26"/>
      <x:c r="W606" s="32"/>
      <x:c r="X606" s="27" t="b">
        <x:v>1</x:v>
      </x:c>
      <x:c r="Y606" s="34" t="n">
        <x:v>46218.510925925926</x:v>
      </x:c>
      <x:c r="Z606" s="26"/>
      <x:c r="AA606" s="26" t="str"/>
      <x:c r="AB606" s="26" t="str">
        <x:v>Activity name/category not included in contribution response</x:v>
      </x:c>
    </x:row>
    <x:row r="607">
      <x:c r="A607" s="26" t="n">
        <x:v>604</x:v>
      </x:c>
      <x:c r="B607" s="26" t="n">
        <x:v>154</x:v>
      </x:c>
      <x:c r="C607" s="26" t="str">
        <x:v>Kumuram Bheem Asifabad</x:v>
      </x:c>
      <x:c r="D607" s="26" t="n">
        <x:v>3497</x:v>
      </x:c>
      <x:c r="E607" s="26" t="str">
        <x:v>PRJ-2026-0003497</x:v>
      </x:c>
      <x:c r="F607" s="26" t="str">
        <x:v>Material(Gardening Equipment, Seeds, Other Sources)</x:v>
      </x:c>
      <x:c r="G607" s="26" t="n">
        <x:v>316</x:v>
      </x:c>
      <x:c r="H607" s="26" t="n">
        <x:v>11516</x:v>
      </x:c>
      <x:c r="I607" s="26"/>
      <x:c r="J607" s="26"/>
      <x:c r="K607" s="26"/>
      <x:c r="L607" s="26" t="n">
        <x:v>10</x:v>
      </x:c>
      <x:c r="M607" s="26" t="n">
        <x:v>10</x:v>
      </x:c>
      <x:c r="N607" s="26" t="n">
        <x:v>0</x:v>
      </x:c>
      <x:c r="O607" s="26" t="n">
        <x:f>MAX(M607-N607,0)</x:f>
        <x:v>10</x:v>
      </x:c>
      <x:c r="P607" s="38" t="n">
        <x:f>IFERROR(N607/M607,0)</x:f>
        <x:v>0</x:v>
      </x:c>
      <x:c r="Q607" s="26"/>
      <x:c r="R607" s="26"/>
      <x:c r="S607" s="26" t="str">
        <x:v>Pending Mapping</x:v>
      </x:c>
      <x:c r="T607" s="26"/>
      <x:c r="U607" s="26"/>
      <x:c r="V607" s="26"/>
      <x:c r="W607" s="32"/>
      <x:c r="X607" s="27" t="b">
        <x:v>1</x:v>
      </x:c>
      <x:c r="Y607" s="34" t="n">
        <x:v>46218.510925925926</x:v>
      </x:c>
      <x:c r="Z607" s="26"/>
      <x:c r="AA607" s="26" t="str"/>
      <x:c r="AB607" s="26" t="str">
        <x:v>Activity name/category not included in contribution response</x:v>
      </x:c>
    </x:row>
    <x:row r="608">
      <x:c r="A608" s="26" t="n">
        <x:v>605</x:v>
      </x:c>
      <x:c r="B608" s="26" t="n">
        <x:v>155</x:v>
      </x:c>
      <x:c r="C608" s="26" t="str">
        <x:v>Kumuram Bheem Asifabad</x:v>
      </x:c>
      <x:c r="D608" s="26" t="n">
        <x:v>3647</x:v>
      </x:c>
      <x:c r="E608" s="26" t="str">
        <x:v>PRJ-2026-0003647</x:v>
      </x:c>
      <x:c r="F608" s="26" t="str">
        <x:v>requirement of anganwadi facilities</x:v>
      </x:c>
      <x:c r="G608" s="26" t="n">
        <x:v>317</x:v>
      </x:c>
      <x:c r="H608" s="26" t="n">
        <x:v>12061</x:v>
      </x:c>
      <x:c r="I608" s="26"/>
      <x:c r="J608" s="26"/>
      <x:c r="K608" s="26"/>
      <x:c r="L608" s="26" t="n">
        <x:v>10</x:v>
      </x:c>
      <x:c r="M608" s="26" t="n">
        <x:v>10</x:v>
      </x:c>
      <x:c r="N608" s="26" t="n">
        <x:v>0</x:v>
      </x:c>
      <x:c r="O608" s="26" t="n">
        <x:f>MAX(M608-N608,0)</x:f>
        <x:v>10</x:v>
      </x:c>
      <x:c r="P608" s="38" t="n">
        <x:f>IFERROR(N608/M608,0)</x:f>
        <x:v>0</x:v>
      </x:c>
      <x:c r="Q608" s="26"/>
      <x:c r="R608" s="26"/>
      <x:c r="S608" s="26" t="str">
        <x:v>Pending Mapping</x:v>
      </x:c>
      <x:c r="T608" s="26"/>
      <x:c r="U608" s="26"/>
      <x:c r="V608" s="26"/>
      <x:c r="W608" s="32"/>
      <x:c r="X608" s="27" t="b">
        <x:v>1</x:v>
      </x:c>
      <x:c r="Y608" s="34" t="n">
        <x:v>46218.51091435185</x:v>
      </x:c>
      <x:c r="Z608" s="26"/>
      <x:c r="AA608" s="26" t="str"/>
      <x:c r="AB608" s="26" t="str">
        <x:v>Activity name/category not included in contribution response</x:v>
      </x:c>
    </x:row>
    <x:row r="609">
      <x:c r="A609" s="26" t="n">
        <x:v>606</x:v>
      </x:c>
      <x:c r="B609" s="26" t="n">
        <x:v>155</x:v>
      </x:c>
      <x:c r="C609" s="26" t="str">
        <x:v>Kumuram Bheem Asifabad</x:v>
      </x:c>
      <x:c r="D609" s="26" t="n">
        <x:v>3647</x:v>
      </x:c>
      <x:c r="E609" s="26" t="str">
        <x:v>PRJ-2026-0003647</x:v>
      </x:c>
      <x:c r="F609" s="26" t="str">
        <x:v>requirement of anganwadi facilities</x:v>
      </x:c>
      <x:c r="G609" s="26" t="n">
        <x:v>318</x:v>
      </x:c>
      <x:c r="H609" s="26" t="n">
        <x:v>12062</x:v>
      </x:c>
      <x:c r="I609" s="26"/>
      <x:c r="J609" s="26"/>
      <x:c r="K609" s="26"/>
      <x:c r="L609" s="26" t="n">
        <x:v>1</x:v>
      </x:c>
      <x:c r="M609" s="26" t="n">
        <x:v>1</x:v>
      </x:c>
      <x:c r="N609" s="26" t="n">
        <x:v>0</x:v>
      </x:c>
      <x:c r="O609" s="26" t="n">
        <x:f>MAX(M609-N609,0)</x:f>
        <x:v>1</x:v>
      </x:c>
      <x:c r="P609" s="38" t="n">
        <x:f>IFERROR(N609/M609,0)</x:f>
        <x:v>0</x:v>
      </x:c>
      <x:c r="Q609" s="26"/>
      <x:c r="R609" s="26"/>
      <x:c r="S609" s="26" t="str">
        <x:v>Pending Mapping</x:v>
      </x:c>
      <x:c r="T609" s="26"/>
      <x:c r="U609" s="26"/>
      <x:c r="V609" s="26"/>
      <x:c r="W609" s="32"/>
      <x:c r="X609" s="27" t="b">
        <x:v>1</x:v>
      </x:c>
      <x:c r="Y609" s="34" t="n">
        <x:v>46218.51091435185</x:v>
      </x:c>
      <x:c r="Z609" s="26"/>
      <x:c r="AA609" s="26" t="str"/>
      <x:c r="AB609" s="26" t="str">
        <x:v>Activity name/category not included in contribution response</x:v>
      </x:c>
    </x:row>
    <x:row r="610">
      <x:c r="A610" s="26" t="n">
        <x:v>607</x:v>
      </x:c>
      <x:c r="B610" s="26" t="n">
        <x:v>155</x:v>
      </x:c>
      <x:c r="C610" s="26" t="str">
        <x:v>Kumuram Bheem Asifabad</x:v>
      </x:c>
      <x:c r="D610" s="26" t="n">
        <x:v>3647</x:v>
      </x:c>
      <x:c r="E610" s="26" t="str">
        <x:v>PRJ-2026-0003647</x:v>
      </x:c>
      <x:c r="F610" s="26" t="str">
        <x:v>requirement of anganwadi facilities</x:v>
      </x:c>
      <x:c r="G610" s="26" t="n">
        <x:v>319</x:v>
      </x:c>
      <x:c r="H610" s="26" t="n">
        <x:v>12063</x:v>
      </x:c>
      <x:c r="I610" s="26"/>
      <x:c r="J610" s="26"/>
      <x:c r="K610" s="26"/>
      <x:c r="L610" s="26" t="n">
        <x:v>4</x:v>
      </x:c>
      <x:c r="M610" s="26" t="n">
        <x:v>4</x:v>
      </x:c>
      <x:c r="N610" s="26" t="n">
        <x:v>0</x:v>
      </x:c>
      <x:c r="O610" s="26" t="n">
        <x:f>MAX(M610-N610,0)</x:f>
        <x:v>4</x:v>
      </x:c>
      <x:c r="P610" s="38" t="n">
        <x:f>IFERROR(N610/M610,0)</x:f>
        <x:v>0</x:v>
      </x:c>
      <x:c r="Q610" s="26"/>
      <x:c r="R610" s="26"/>
      <x:c r="S610" s="26" t="str">
        <x:v>Pending Mapping</x:v>
      </x:c>
      <x:c r="T610" s="26"/>
      <x:c r="U610" s="26"/>
      <x:c r="V610" s="26"/>
      <x:c r="W610" s="32"/>
      <x:c r="X610" s="27" t="b">
        <x:v>1</x:v>
      </x:c>
      <x:c r="Y610" s="34" t="n">
        <x:v>46218.51091435185</x:v>
      </x:c>
      <x:c r="Z610" s="26"/>
      <x:c r="AA610" s="26" t="str"/>
      <x:c r="AB610" s="26" t="str">
        <x:v>Activity name/category not included in contribution response</x:v>
      </x:c>
    </x:row>
    <x:row r="611">
      <x:c r="A611" s="26" t="n">
        <x:v>608</x:v>
      </x:c>
      <x:c r="B611" s="26" t="n">
        <x:v>155</x:v>
      </x:c>
      <x:c r="C611" s="26" t="str">
        <x:v>Kumuram Bheem Asifabad</x:v>
      </x:c>
      <x:c r="D611" s="26" t="n">
        <x:v>3647</x:v>
      </x:c>
      <x:c r="E611" s="26" t="str">
        <x:v>PRJ-2026-0003647</x:v>
      </x:c>
      <x:c r="F611" s="26" t="str">
        <x:v>requirement of anganwadi facilities</x:v>
      </x:c>
      <x:c r="G611" s="26" t="n">
        <x:v>320</x:v>
      </x:c>
      <x:c r="H611" s="26" t="n">
        <x:v>12064</x:v>
      </x:c>
      <x:c r="I611" s="26"/>
      <x:c r="J611" s="26"/>
      <x:c r="K611" s="26"/>
      <x:c r="L611" s="26" t="n">
        <x:v>1</x:v>
      </x:c>
      <x:c r="M611" s="26" t="n">
        <x:v>1</x:v>
      </x:c>
      <x:c r="N611" s="26" t="n">
        <x:v>0</x:v>
      </x:c>
      <x:c r="O611" s="26" t="n">
        <x:f>MAX(M611-N611,0)</x:f>
        <x:v>1</x:v>
      </x:c>
      <x:c r="P611" s="38" t="n">
        <x:f>IFERROR(N611/M611,0)</x:f>
        <x:v>0</x:v>
      </x:c>
      <x:c r="Q611" s="26"/>
      <x:c r="R611" s="26"/>
      <x:c r="S611" s="26" t="str">
        <x:v>Pending Mapping</x:v>
      </x:c>
      <x:c r="T611" s="26"/>
      <x:c r="U611" s="26"/>
      <x:c r="V611" s="26"/>
      <x:c r="W611" s="32"/>
      <x:c r="X611" s="27" t="b">
        <x:v>1</x:v>
      </x:c>
      <x:c r="Y611" s="34" t="n">
        <x:v>46218.51091435185</x:v>
      </x:c>
      <x:c r="Z611" s="26"/>
      <x:c r="AA611" s="26" t="str"/>
      <x:c r="AB611" s="26" t="str">
        <x:v>Activity name/category not included in contribution response</x:v>
      </x:c>
    </x:row>
    <x:row r="612">
      <x:c r="A612" s="26" t="n">
        <x:v>609</x:v>
      </x:c>
      <x:c r="B612" s="26" t="n">
        <x:v>155</x:v>
      </x:c>
      <x:c r="C612" s="26" t="str">
        <x:v>Kumuram Bheem Asifabad</x:v>
      </x:c>
      <x:c r="D612" s="26" t="n">
        <x:v>3647</x:v>
      </x:c>
      <x:c r="E612" s="26" t="str">
        <x:v>PRJ-2026-0003647</x:v>
      </x:c>
      <x:c r="F612" s="26" t="str">
        <x:v>requirement of anganwadi facilities</x:v>
      </x:c>
      <x:c r="G612" s="26" t="n">
        <x:v>321</x:v>
      </x:c>
      <x:c r="H612" s="26" t="n">
        <x:v>12065</x:v>
      </x:c>
      <x:c r="I612" s="26"/>
      <x:c r="J612" s="26"/>
      <x:c r="K612" s="26"/>
      <x:c r="L612" s="26" t="n">
        <x:v>1</x:v>
      </x:c>
      <x:c r="M612" s="26" t="n">
        <x:v>1</x:v>
      </x:c>
      <x:c r="N612" s="26" t="n">
        <x:v>0</x:v>
      </x:c>
      <x:c r="O612" s="26" t="n">
        <x:f>MAX(M612-N612,0)</x:f>
        <x:v>1</x:v>
      </x:c>
      <x:c r="P612" s="38" t="n">
        <x:f>IFERROR(N612/M612,0)</x:f>
        <x:v>0</x:v>
      </x:c>
      <x:c r="Q612" s="26"/>
      <x:c r="R612" s="26"/>
      <x:c r="S612" s="26" t="str">
        <x:v>Pending Mapping</x:v>
      </x:c>
      <x:c r="T612" s="26"/>
      <x:c r="U612" s="26"/>
      <x:c r="V612" s="26"/>
      <x:c r="W612" s="32"/>
      <x:c r="X612" s="27" t="b">
        <x:v>1</x:v>
      </x:c>
      <x:c r="Y612" s="34" t="n">
        <x:v>46218.51091435185</x:v>
      </x:c>
      <x:c r="Z612" s="26"/>
      <x:c r="AA612" s="26" t="str"/>
      <x:c r="AB612" s="26" t="str">
        <x:v>Activity name/category not included in contribution response</x:v>
      </x:c>
    </x:row>
    <x:row r="613">
      <x:c r="A613" s="26" t="n">
        <x:v>610</x:v>
      </x:c>
      <x:c r="B613" s="26" t="n">
        <x:v>157</x:v>
      </x:c>
      <x:c r="C613" s="26" t="str">
        <x:v>Kumuram Bheem Asifabad</x:v>
      </x:c>
      <x:c r="D613" s="26" t="n">
        <x:v>4085</x:v>
      </x:c>
      <x:c r="E613" s="26" t="str">
        <x:v>PRJ-2026-0004085</x:v>
      </x:c>
      <x:c r="F613" s="26" t="str">
        <x:v>Upgradation of AWCs </x:v>
      </x:c>
      <x:c r="G613" s="26" t="n">
        <x:v>323</x:v>
      </x:c>
      <x:c r="H613" s="26" t="n">
        <x:v>13538</x:v>
      </x:c>
      <x:c r="I613" s="26"/>
      <x:c r="J613" s="26"/>
      <x:c r="K613" s="26"/>
      <x:c r="L613" s="26" t="n">
        <x:v>1</x:v>
      </x:c>
      <x:c r="M613" s="26" t="n">
        <x:v>1</x:v>
      </x:c>
      <x:c r="N613" s="26" t="n">
        <x:v>0</x:v>
      </x:c>
      <x:c r="O613" s="26" t="n">
        <x:f>MAX(M613-N613,0)</x:f>
        <x:v>1</x:v>
      </x:c>
      <x:c r="P613" s="38" t="n">
        <x:f>IFERROR(N613/M613,0)</x:f>
        <x:v>0</x:v>
      </x:c>
      <x:c r="Q613" s="26"/>
      <x:c r="R613" s="26"/>
      <x:c r="S613" s="26" t="str">
        <x:v>Pending Mapping</x:v>
      </x:c>
      <x:c r="T613" s="26"/>
      <x:c r="U613" s="26"/>
      <x:c r="V613" s="26"/>
      <x:c r="W613" s="32"/>
      <x:c r="X613" s="27" t="b">
        <x:v>1</x:v>
      </x:c>
      <x:c r="Y613" s="34" t="n">
        <x:v>46218.51090277778</x:v>
      </x:c>
      <x:c r="Z613" s="26"/>
      <x:c r="AA613" s="26" t="str"/>
      <x:c r="AB613" s="26" t="str">
        <x:v>Activity name/category not included in contribution response</x:v>
      </x:c>
    </x:row>
    <x:row r="614">
      <x:c r="A614" s="26" t="n">
        <x:v>611</x:v>
      </x:c>
      <x:c r="B614" s="26" t="n">
        <x:v>157</x:v>
      </x:c>
      <x:c r="C614" s="26" t="str">
        <x:v>Kumuram Bheem Asifabad</x:v>
      </x:c>
      <x:c r="D614" s="26" t="n">
        <x:v>4085</x:v>
      </x:c>
      <x:c r="E614" s="26" t="str">
        <x:v>PRJ-2026-0004085</x:v>
      </x:c>
      <x:c r="F614" s="26" t="str">
        <x:v>Upgradation of AWCs </x:v>
      </x:c>
      <x:c r="G614" s="26" t="n">
        <x:v>324</x:v>
      </x:c>
      <x:c r="H614" s="26" t="n">
        <x:v>13539</x:v>
      </x:c>
      <x:c r="I614" s="26"/>
      <x:c r="J614" s="26"/>
      <x:c r="K614" s="26"/>
      <x:c r="L614" s="26" t="n">
        <x:v>1</x:v>
      </x:c>
      <x:c r="M614" s="26" t="n">
        <x:v>1</x:v>
      </x:c>
      <x:c r="N614" s="26" t="n">
        <x:v>0</x:v>
      </x:c>
      <x:c r="O614" s="26" t="n">
        <x:f>MAX(M614-N614,0)</x:f>
        <x:v>1</x:v>
      </x:c>
      <x:c r="P614" s="38" t="n">
        <x:f>IFERROR(N614/M614,0)</x:f>
        <x:v>0</x:v>
      </x:c>
      <x:c r="Q614" s="26"/>
      <x:c r="R614" s="26"/>
      <x:c r="S614" s="26" t="str">
        <x:v>Pending Mapping</x:v>
      </x:c>
      <x:c r="T614" s="26"/>
      <x:c r="U614" s="26"/>
      <x:c r="V614" s="26"/>
      <x:c r="W614" s="32"/>
      <x:c r="X614" s="27" t="b">
        <x:v>1</x:v>
      </x:c>
      <x:c r="Y614" s="34" t="n">
        <x:v>46218.51090277778</x:v>
      </x:c>
      <x:c r="Z614" s="26"/>
      <x:c r="AA614" s="26" t="str"/>
      <x:c r="AB614" s="26" t="str">
        <x:v>Activity name/category not included in contribution response</x:v>
      </x:c>
    </x:row>
    <x:row r="615">
      <x:c r="A615" s="26" t="n">
        <x:v>612</x:v>
      </x:c>
      <x:c r="B615" s="26" t="n">
        <x:v>157</x:v>
      </x:c>
      <x:c r="C615" s="26" t="str">
        <x:v>Kumuram Bheem Asifabad</x:v>
      </x:c>
      <x:c r="D615" s="26" t="n">
        <x:v>4085</x:v>
      </x:c>
      <x:c r="E615" s="26" t="str">
        <x:v>PRJ-2026-0004085</x:v>
      </x:c>
      <x:c r="F615" s="26" t="str">
        <x:v>Upgradation of AWCs </x:v>
      </x:c>
      <x:c r="G615" s="26" t="n">
        <x:v>325</x:v>
      </x:c>
      <x:c r="H615" s="26" t="n">
        <x:v>13540</x:v>
      </x:c>
      <x:c r="I615" s="26"/>
      <x:c r="J615" s="26"/>
      <x:c r="K615" s="26"/>
      <x:c r="L615" s="26" t="n">
        <x:v>1</x:v>
      </x:c>
      <x:c r="M615" s="26" t="n">
        <x:v>1</x:v>
      </x:c>
      <x:c r="N615" s="26" t="n">
        <x:v>0</x:v>
      </x:c>
      <x:c r="O615" s="26" t="n">
        <x:f>MAX(M615-N615,0)</x:f>
        <x:v>1</x:v>
      </x:c>
      <x:c r="P615" s="38" t="n">
        <x:f>IFERROR(N615/M615,0)</x:f>
        <x:v>0</x:v>
      </x:c>
      <x:c r="Q615" s="26"/>
      <x:c r="R615" s="26"/>
      <x:c r="S615" s="26" t="str">
        <x:v>Pending Mapping</x:v>
      </x:c>
      <x:c r="T615" s="26"/>
      <x:c r="U615" s="26"/>
      <x:c r="V615" s="26"/>
      <x:c r="W615" s="32"/>
      <x:c r="X615" s="27" t="b">
        <x:v>1</x:v>
      </x:c>
      <x:c r="Y615" s="34" t="n">
        <x:v>46218.51090277778</x:v>
      </x:c>
      <x:c r="Z615" s="26"/>
      <x:c r="AA615" s="26" t="str"/>
      <x:c r="AB615" s="26" t="str">
        <x:v>Activity name/category not included in contribution response</x:v>
      </x:c>
    </x:row>
    <x:row r="616">
      <x:c r="A616" s="26" t="n">
        <x:v>613</x:v>
      </x:c>
      <x:c r="B616" s="26" t="n">
        <x:v>157</x:v>
      </x:c>
      <x:c r="C616" s="26" t="str">
        <x:v>Kumuram Bheem Asifabad</x:v>
      </x:c>
      <x:c r="D616" s="26" t="n">
        <x:v>4085</x:v>
      </x:c>
      <x:c r="E616" s="26" t="str">
        <x:v>PRJ-2026-0004085</x:v>
      </x:c>
      <x:c r="F616" s="26" t="str">
        <x:v>Upgradation of AWCs </x:v>
      </x:c>
      <x:c r="G616" s="26" t="n">
        <x:v>326</x:v>
      </x:c>
      <x:c r="H616" s="26" t="n">
        <x:v>13541</x:v>
      </x:c>
      <x:c r="I616" s="26"/>
      <x:c r="J616" s="26"/>
      <x:c r="K616" s="26"/>
      <x:c r="L616" s="26" t="n">
        <x:v>1</x:v>
      </x:c>
      <x:c r="M616" s="26" t="n">
        <x:v>1</x:v>
      </x:c>
      <x:c r="N616" s="26" t="n">
        <x:v>0</x:v>
      </x:c>
      <x:c r="O616" s="26" t="n">
        <x:f>MAX(M616-N616,0)</x:f>
        <x:v>1</x:v>
      </x:c>
      <x:c r="P616" s="38" t="n">
        <x:f>IFERROR(N616/M616,0)</x:f>
        <x:v>0</x:v>
      </x:c>
      <x:c r="Q616" s="26"/>
      <x:c r="R616" s="26"/>
      <x:c r="S616" s="26" t="str">
        <x:v>Pending Mapping</x:v>
      </x:c>
      <x:c r="T616" s="26"/>
      <x:c r="U616" s="26"/>
      <x:c r="V616" s="26"/>
      <x:c r="W616" s="32"/>
      <x:c r="X616" s="27" t="b">
        <x:v>1</x:v>
      </x:c>
      <x:c r="Y616" s="34" t="n">
        <x:v>46218.51090277778</x:v>
      </x:c>
      <x:c r="Z616" s="26"/>
      <x:c r="AA616" s="26" t="str"/>
      <x:c r="AB616" s="26" t="str">
        <x:v>Activity name/category not included in contribution response</x:v>
      </x:c>
    </x:row>
    <x:row r="617">
      <x:c r="A617" s="26" t="n">
        <x:v>614</x:v>
      </x:c>
      <x:c r="B617" s="26" t="n">
        <x:v>157</x:v>
      </x:c>
      <x:c r="C617" s="26" t="str">
        <x:v>Kumuram Bheem Asifabad</x:v>
      </x:c>
      <x:c r="D617" s="26" t="n">
        <x:v>4085</x:v>
      </x:c>
      <x:c r="E617" s="26" t="str">
        <x:v>PRJ-2026-0004085</x:v>
      </x:c>
      <x:c r="F617" s="26" t="str">
        <x:v>Upgradation of AWCs </x:v>
      </x:c>
      <x:c r="G617" s="26" t="n">
        <x:v>327</x:v>
      </x:c>
      <x:c r="H617" s="26" t="n">
        <x:v>13542</x:v>
      </x:c>
      <x:c r="I617" s="26"/>
      <x:c r="J617" s="26"/>
      <x:c r="K617" s="26"/>
      <x:c r="L617" s="26" t="n">
        <x:v>1</x:v>
      </x:c>
      <x:c r="M617" s="26" t="n">
        <x:v>1</x:v>
      </x:c>
      <x:c r="N617" s="26" t="n">
        <x:v>0</x:v>
      </x:c>
      <x:c r="O617" s="26" t="n">
        <x:f>MAX(M617-N617,0)</x:f>
        <x:v>1</x:v>
      </x:c>
      <x:c r="P617" s="38" t="n">
        <x:f>IFERROR(N617/M617,0)</x:f>
        <x:v>0</x:v>
      </x:c>
      <x:c r="Q617" s="26"/>
      <x:c r="R617" s="26"/>
      <x:c r="S617" s="26" t="str">
        <x:v>Pending Mapping</x:v>
      </x:c>
      <x:c r="T617" s="26"/>
      <x:c r="U617" s="26"/>
      <x:c r="V617" s="26"/>
      <x:c r="W617" s="32"/>
      <x:c r="X617" s="27" t="b">
        <x:v>1</x:v>
      </x:c>
      <x:c r="Y617" s="34" t="n">
        <x:v>46218.51090277778</x:v>
      </x:c>
      <x:c r="Z617" s="26"/>
      <x:c r="AA617" s="26" t="str"/>
      <x:c r="AB617" s="26" t="str">
        <x:v>Activity name/category not included in contribution response</x:v>
      </x:c>
    </x:row>
    <x:row r="618">
      <x:c r="A618" s="26" t="n">
        <x:v>615</x:v>
      </x:c>
      <x:c r="B618" s="26" t="n">
        <x:v>157</x:v>
      </x:c>
      <x:c r="C618" s="26" t="str">
        <x:v>Kumuram Bheem Asifabad</x:v>
      </x:c>
      <x:c r="D618" s="26" t="n">
        <x:v>4085</x:v>
      </x:c>
      <x:c r="E618" s="26" t="str">
        <x:v>PRJ-2026-0004085</x:v>
      </x:c>
      <x:c r="F618" s="26" t="str">
        <x:v>Upgradation of AWCs </x:v>
      </x:c>
      <x:c r="G618" s="26" t="n">
        <x:v>328</x:v>
      </x:c>
      <x:c r="H618" s="26" t="n">
        <x:v>13543</x:v>
      </x:c>
      <x:c r="I618" s="26"/>
      <x:c r="J618" s="26"/>
      <x:c r="K618" s="26"/>
      <x:c r="L618" s="26" t="n">
        <x:v>1</x:v>
      </x:c>
      <x:c r="M618" s="26" t="n">
        <x:v>1</x:v>
      </x:c>
      <x:c r="N618" s="26" t="n">
        <x:v>0</x:v>
      </x:c>
      <x:c r="O618" s="26" t="n">
        <x:f>MAX(M618-N618,0)</x:f>
        <x:v>1</x:v>
      </x:c>
      <x:c r="P618" s="38" t="n">
        <x:f>IFERROR(N618/M618,0)</x:f>
        <x:v>0</x:v>
      </x:c>
      <x:c r="Q618" s="26"/>
      <x:c r="R618" s="26"/>
      <x:c r="S618" s="26" t="str">
        <x:v>Pending Mapping</x:v>
      </x:c>
      <x:c r="T618" s="26"/>
      <x:c r="U618" s="26"/>
      <x:c r="V618" s="26"/>
      <x:c r="W618" s="32"/>
      <x:c r="X618" s="27" t="b">
        <x:v>1</x:v>
      </x:c>
      <x:c r="Y618" s="34" t="n">
        <x:v>46218.51090277778</x:v>
      </x:c>
      <x:c r="Z618" s="26"/>
      <x:c r="AA618" s="26" t="str"/>
      <x:c r="AB618" s="26" t="str">
        <x:v>Activity name/category not included in contribution response</x:v>
      </x:c>
    </x:row>
    <x:row r="619">
      <x:c r="A619" s="26" t="n">
        <x:v>616</x:v>
      </x:c>
      <x:c r="B619" s="26" t="n">
        <x:v>160</x:v>
      </x:c>
      <x:c r="C619" s="26" t="str">
        <x:v>Kumuram Bheem Asifabad</x:v>
      </x:c>
      <x:c r="D619" s="26" t="n">
        <x:v>4275</x:v>
      </x:c>
      <x:c r="E619" s="26" t="str">
        <x:v>PRJ-2026-0004275</x:v>
      </x:c>
      <x:c r="F619" s="26" t="str">
        <x:v>Upgradation of AWCs </x:v>
      </x:c>
      <x:c r="G619" s="26" t="n">
        <x:v>331</x:v>
      </x:c>
      <x:c r="H619" s="26" t="n">
        <x:v>14268</x:v>
      </x:c>
      <x:c r="I619" s="26"/>
      <x:c r="J619" s="26"/>
      <x:c r="K619" s="26"/>
      <x:c r="L619" s="26" t="n">
        <x:v>1</x:v>
      </x:c>
      <x:c r="M619" s="26" t="n">
        <x:v>1</x:v>
      </x:c>
      <x:c r="N619" s="26" t="n">
        <x:v>0</x:v>
      </x:c>
      <x:c r="O619" s="26" t="n">
        <x:f>MAX(M619-N619,0)</x:f>
        <x:v>1</x:v>
      </x:c>
      <x:c r="P619" s="38" t="n">
        <x:f>IFERROR(N619/M619,0)</x:f>
        <x:v>0</x:v>
      </x:c>
      <x:c r="Q619" s="26"/>
      <x:c r="R619" s="26"/>
      <x:c r="S619" s="26" t="str">
        <x:v>Pending Mapping</x:v>
      </x:c>
      <x:c r="T619" s="26"/>
      <x:c r="U619" s="26"/>
      <x:c r="V619" s="26"/>
      <x:c r="W619" s="32"/>
      <x:c r="X619" s="27" t="b">
        <x:v>1</x:v>
      </x:c>
      <x:c r="Y619" s="34" t="n">
        <x:v>46218.51086805556</x:v>
      </x:c>
      <x:c r="Z619" s="26"/>
      <x:c r="AA619" s="26" t="str"/>
      <x:c r="AB619" s="26" t="str">
        <x:v>Activity name/category not included in contribution response</x:v>
      </x:c>
    </x:row>
    <x:row r="620">
      <x:c r="A620" s="26" t="n">
        <x:v>617</x:v>
      </x:c>
      <x:c r="B620" s="26" t="n">
        <x:v>160</x:v>
      </x:c>
      <x:c r="C620" s="26" t="str">
        <x:v>Kumuram Bheem Asifabad</x:v>
      </x:c>
      <x:c r="D620" s="26" t="n">
        <x:v>4275</x:v>
      </x:c>
      <x:c r="E620" s="26" t="str">
        <x:v>PRJ-2026-0004275</x:v>
      </x:c>
      <x:c r="F620" s="26" t="str">
        <x:v>Upgradation of AWCs </x:v>
      </x:c>
      <x:c r="G620" s="26" t="n">
        <x:v>332</x:v>
      </x:c>
      <x:c r="H620" s="26" t="n">
        <x:v>14269</x:v>
      </x:c>
      <x:c r="I620" s="26"/>
      <x:c r="J620" s="26"/>
      <x:c r="K620" s="26"/>
      <x:c r="L620" s="26" t="n">
        <x:v>1</x:v>
      </x:c>
      <x:c r="M620" s="26" t="n">
        <x:v>1</x:v>
      </x:c>
      <x:c r="N620" s="26" t="n">
        <x:v>0</x:v>
      </x:c>
      <x:c r="O620" s="26" t="n">
        <x:f>MAX(M620-N620,0)</x:f>
        <x:v>1</x:v>
      </x:c>
      <x:c r="P620" s="38" t="n">
        <x:f>IFERROR(N620/M620,0)</x:f>
        <x:v>0</x:v>
      </x:c>
      <x:c r="Q620" s="26"/>
      <x:c r="R620" s="26"/>
      <x:c r="S620" s="26" t="str">
        <x:v>Pending Mapping</x:v>
      </x:c>
      <x:c r="T620" s="26"/>
      <x:c r="U620" s="26"/>
      <x:c r="V620" s="26"/>
      <x:c r="W620" s="32"/>
      <x:c r="X620" s="27" t="b">
        <x:v>1</x:v>
      </x:c>
      <x:c r="Y620" s="34" t="n">
        <x:v>46218.51086805556</x:v>
      </x:c>
      <x:c r="Z620" s="26"/>
      <x:c r="AA620" s="26" t="str"/>
      <x:c r="AB620" s="26" t="str">
        <x:v>Activity name/category not included in contribution response</x:v>
      </x:c>
    </x:row>
    <x:row r="621">
      <x:c r="A621" s="26" t="n">
        <x:v>618</x:v>
      </x:c>
      <x:c r="B621" s="26" t="n">
        <x:v>160</x:v>
      </x:c>
      <x:c r="C621" s="26" t="str">
        <x:v>Kumuram Bheem Asifabad</x:v>
      </x:c>
      <x:c r="D621" s="26" t="n">
        <x:v>4275</x:v>
      </x:c>
      <x:c r="E621" s="26" t="str">
        <x:v>PRJ-2026-0004275</x:v>
      </x:c>
      <x:c r="F621" s="26" t="str">
        <x:v>Upgradation of AWCs </x:v>
      </x:c>
      <x:c r="G621" s="26" t="n">
        <x:v>333</x:v>
      </x:c>
      <x:c r="H621" s="26" t="n">
        <x:v>14270</x:v>
      </x:c>
      <x:c r="I621" s="26"/>
      <x:c r="J621" s="26"/>
      <x:c r="K621" s="26"/>
      <x:c r="L621" s="26" t="n">
        <x:v>1</x:v>
      </x:c>
      <x:c r="M621" s="26" t="n">
        <x:v>1</x:v>
      </x:c>
      <x:c r="N621" s="26" t="n">
        <x:v>0</x:v>
      </x:c>
      <x:c r="O621" s="26" t="n">
        <x:f>MAX(M621-N621,0)</x:f>
        <x:v>1</x:v>
      </x:c>
      <x:c r="P621" s="38" t="n">
        <x:f>IFERROR(N621/M621,0)</x:f>
        <x:v>0</x:v>
      </x:c>
      <x:c r="Q621" s="26"/>
      <x:c r="R621" s="26"/>
      <x:c r="S621" s="26" t="str">
        <x:v>Pending Mapping</x:v>
      </x:c>
      <x:c r="T621" s="26"/>
      <x:c r="U621" s="26"/>
      <x:c r="V621" s="26"/>
      <x:c r="W621" s="32"/>
      <x:c r="X621" s="27" t="b">
        <x:v>1</x:v>
      </x:c>
      <x:c r="Y621" s="34" t="n">
        <x:v>46218.51086805556</x:v>
      </x:c>
      <x:c r="Z621" s="26"/>
      <x:c r="AA621" s="26" t="str"/>
      <x:c r="AB621" s="26" t="str">
        <x:v>Activity name/category not included in contribution response</x:v>
      </x:c>
    </x:row>
    <x:row r="622">
      <x:c r="A622" s="26" t="n">
        <x:v>619</x:v>
      </x:c>
      <x:c r="B622" s="26" t="n">
        <x:v>160</x:v>
      </x:c>
      <x:c r="C622" s="26" t="str">
        <x:v>Kumuram Bheem Asifabad</x:v>
      </x:c>
      <x:c r="D622" s="26" t="n">
        <x:v>4275</x:v>
      </x:c>
      <x:c r="E622" s="26" t="str">
        <x:v>PRJ-2026-0004275</x:v>
      </x:c>
      <x:c r="F622" s="26" t="str">
        <x:v>Upgradation of AWCs </x:v>
      </x:c>
      <x:c r="G622" s="26" t="n">
        <x:v>334</x:v>
      </x:c>
      <x:c r="H622" s="26" t="n">
        <x:v>14271</x:v>
      </x:c>
      <x:c r="I622" s="26"/>
      <x:c r="J622" s="26"/>
      <x:c r="K622" s="26"/>
      <x:c r="L622" s="26" t="n">
        <x:v>1</x:v>
      </x:c>
      <x:c r="M622" s="26" t="n">
        <x:v>1</x:v>
      </x:c>
      <x:c r="N622" s="26" t="n">
        <x:v>0</x:v>
      </x:c>
      <x:c r="O622" s="26" t="n">
        <x:f>MAX(M622-N622,0)</x:f>
        <x:v>1</x:v>
      </x:c>
      <x:c r="P622" s="38" t="n">
        <x:f>IFERROR(N622/M622,0)</x:f>
        <x:v>0</x:v>
      </x:c>
      <x:c r="Q622" s="26"/>
      <x:c r="R622" s="26"/>
      <x:c r="S622" s="26" t="str">
        <x:v>Pending Mapping</x:v>
      </x:c>
      <x:c r="T622" s="26"/>
      <x:c r="U622" s="26"/>
      <x:c r="V622" s="26"/>
      <x:c r="W622" s="32"/>
      <x:c r="X622" s="27" t="b">
        <x:v>1</x:v>
      </x:c>
      <x:c r="Y622" s="34" t="n">
        <x:v>46218.51086805556</x:v>
      </x:c>
      <x:c r="Z622" s="26"/>
      <x:c r="AA622" s="26" t="str"/>
      <x:c r="AB622" s="26" t="str">
        <x:v>Activity name/category not included in contribution response</x:v>
      </x:c>
    </x:row>
    <x:row r="623">
      <x:c r="A623" s="26" t="n">
        <x:v>620</x:v>
      </x:c>
      <x:c r="B623" s="26" t="n">
        <x:v>160</x:v>
      </x:c>
      <x:c r="C623" s="26" t="str">
        <x:v>Kumuram Bheem Asifabad</x:v>
      </x:c>
      <x:c r="D623" s="26" t="n">
        <x:v>4275</x:v>
      </x:c>
      <x:c r="E623" s="26" t="str">
        <x:v>PRJ-2026-0004275</x:v>
      </x:c>
      <x:c r="F623" s="26" t="str">
        <x:v>Upgradation of AWCs </x:v>
      </x:c>
      <x:c r="G623" s="26" t="n">
        <x:v>335</x:v>
      </x:c>
      <x:c r="H623" s="26" t="n">
        <x:v>14272</x:v>
      </x:c>
      <x:c r="I623" s="26"/>
      <x:c r="J623" s="26"/>
      <x:c r="K623" s="26"/>
      <x:c r="L623" s="26" t="n">
        <x:v>1</x:v>
      </x:c>
      <x:c r="M623" s="26" t="n">
        <x:v>1</x:v>
      </x:c>
      <x:c r="N623" s="26" t="n">
        <x:v>0</x:v>
      </x:c>
      <x:c r="O623" s="26" t="n">
        <x:f>MAX(M623-N623,0)</x:f>
        <x:v>1</x:v>
      </x:c>
      <x:c r="P623" s="38" t="n">
        <x:f>IFERROR(N623/M623,0)</x:f>
        <x:v>0</x:v>
      </x:c>
      <x:c r="Q623" s="26"/>
      <x:c r="R623" s="26"/>
      <x:c r="S623" s="26" t="str">
        <x:v>Pending Mapping</x:v>
      </x:c>
      <x:c r="T623" s="26"/>
      <x:c r="U623" s="26"/>
      <x:c r="V623" s="26"/>
      <x:c r="W623" s="32"/>
      <x:c r="X623" s="27" t="b">
        <x:v>1</x:v>
      </x:c>
      <x:c r="Y623" s="34" t="n">
        <x:v>46218.51086805556</x:v>
      </x:c>
      <x:c r="Z623" s="26"/>
      <x:c r="AA623" s="26" t="str"/>
      <x:c r="AB623" s="26" t="str">
        <x:v>Activity name/category not included in contribution response</x:v>
      </x:c>
    </x:row>
    <x:row r="624">
      <x:c r="A624" s="26" t="n">
        <x:v>621</x:v>
      </x:c>
      <x:c r="B624" s="26" t="n">
        <x:v>165</x:v>
      </x:c>
      <x:c r="C624" s="26" t="str">
        <x:v>Kumuram Bheem Asifabad</x:v>
      </x:c>
      <x:c r="D624" s="26" t="n">
        <x:v>4650</x:v>
      </x:c>
      <x:c r="E624" s="26" t="str">
        <x:v>PRJ-2026-0004650</x:v>
      </x:c>
      <x:c r="F624" s="26" t="str">
        <x:v>Upgradation of AWCs </x:v>
      </x:c>
      <x:c r="G624" s="26" t="n">
        <x:v>340</x:v>
      </x:c>
      <x:c r="H624" s="26" t="n">
        <x:v>15813</x:v>
      </x:c>
      <x:c r="I624" s="26"/>
      <x:c r="J624" s="26"/>
      <x:c r="K624" s="26"/>
      <x:c r="L624" s="26" t="n">
        <x:v>1</x:v>
      </x:c>
      <x:c r="M624" s="26" t="n">
        <x:v>1</x:v>
      </x:c>
      <x:c r="N624" s="26" t="n">
        <x:v>0</x:v>
      </x:c>
      <x:c r="O624" s="26" t="n">
        <x:f>MAX(M624-N624,0)</x:f>
        <x:v>1</x:v>
      </x:c>
      <x:c r="P624" s="38" t="n">
        <x:f>IFERROR(N624/M624,0)</x:f>
        <x:v>0</x:v>
      </x:c>
      <x:c r="Q624" s="26"/>
      <x:c r="R624" s="26"/>
      <x:c r="S624" s="26" t="str">
        <x:v>Pending Mapping</x:v>
      </x:c>
      <x:c r="T624" s="26"/>
      <x:c r="U624" s="26"/>
      <x:c r="V624" s="26"/>
      <x:c r="W624" s="32"/>
      <x:c r="X624" s="27" t="b">
        <x:v>1</x:v>
      </x:c>
      <x:c r="Y624" s="34" t="n">
        <x:v>46218.51082175926</x:v>
      </x:c>
      <x:c r="Z624" s="26"/>
      <x:c r="AA624" s="26" t="str"/>
      <x:c r="AB624" s="26" t="str">
        <x:v>Activity name/category not included in contribution response</x:v>
      </x:c>
    </x:row>
    <x:row r="625">
      <x:c r="A625" s="26" t="n">
        <x:v>622</x:v>
      </x:c>
      <x:c r="B625" s="26" t="n">
        <x:v>165</x:v>
      </x:c>
      <x:c r="C625" s="26" t="str">
        <x:v>Kumuram Bheem Asifabad</x:v>
      </x:c>
      <x:c r="D625" s="26" t="n">
        <x:v>4650</x:v>
      </x:c>
      <x:c r="E625" s="26" t="str">
        <x:v>PRJ-2026-0004650</x:v>
      </x:c>
      <x:c r="F625" s="26" t="str">
        <x:v>Upgradation of AWCs </x:v>
      </x:c>
      <x:c r="G625" s="26" t="n">
        <x:v>341</x:v>
      </x:c>
      <x:c r="H625" s="26" t="n">
        <x:v>15814</x:v>
      </x:c>
      <x:c r="I625" s="26"/>
      <x:c r="J625" s="26"/>
      <x:c r="K625" s="26"/>
      <x:c r="L625" s="26" t="n">
        <x:v>1</x:v>
      </x:c>
      <x:c r="M625" s="26" t="n">
        <x:v>1</x:v>
      </x:c>
      <x:c r="N625" s="26" t="n">
        <x:v>0</x:v>
      </x:c>
      <x:c r="O625" s="26" t="n">
        <x:f>MAX(M625-N625,0)</x:f>
        <x:v>1</x:v>
      </x:c>
      <x:c r="P625" s="38" t="n">
        <x:f>IFERROR(N625/M625,0)</x:f>
        <x:v>0</x:v>
      </x:c>
      <x:c r="Q625" s="26"/>
      <x:c r="R625" s="26"/>
      <x:c r="S625" s="26" t="str">
        <x:v>Pending Mapping</x:v>
      </x:c>
      <x:c r="T625" s="26"/>
      <x:c r="U625" s="26"/>
      <x:c r="V625" s="26"/>
      <x:c r="W625" s="32"/>
      <x:c r="X625" s="27" t="b">
        <x:v>1</x:v>
      </x:c>
      <x:c r="Y625" s="34" t="n">
        <x:v>46218.51082175926</x:v>
      </x:c>
      <x:c r="Z625" s="26"/>
      <x:c r="AA625" s="26" t="str"/>
      <x:c r="AB625" s="26" t="str">
        <x:v>Activity name/category not included in contribution response</x:v>
      </x:c>
    </x:row>
    <x:row r="626">
      <x:c r="A626" s="26" t="n">
        <x:v>623</x:v>
      </x:c>
      <x:c r="B626" s="26" t="n">
        <x:v>165</x:v>
      </x:c>
      <x:c r="C626" s="26" t="str">
        <x:v>Kumuram Bheem Asifabad</x:v>
      </x:c>
      <x:c r="D626" s="26" t="n">
        <x:v>4650</x:v>
      </x:c>
      <x:c r="E626" s="26" t="str">
        <x:v>PRJ-2026-0004650</x:v>
      </x:c>
      <x:c r="F626" s="26" t="str">
        <x:v>Upgradation of AWCs </x:v>
      </x:c>
      <x:c r="G626" s="26" t="n">
        <x:v>342</x:v>
      </x:c>
      <x:c r="H626" s="26" t="n">
        <x:v>15815</x:v>
      </x:c>
      <x:c r="I626" s="26"/>
      <x:c r="J626" s="26"/>
      <x:c r="K626" s="26"/>
      <x:c r="L626" s="26" t="n">
        <x:v>1</x:v>
      </x:c>
      <x:c r="M626" s="26" t="n">
        <x:v>1</x:v>
      </x:c>
      <x:c r="N626" s="26" t="n">
        <x:v>0</x:v>
      </x:c>
      <x:c r="O626" s="26" t="n">
        <x:f>MAX(M626-N626,0)</x:f>
        <x:v>1</x:v>
      </x:c>
      <x:c r="P626" s="38" t="n">
        <x:f>IFERROR(N626/M626,0)</x:f>
        <x:v>0</x:v>
      </x:c>
      <x:c r="Q626" s="26"/>
      <x:c r="R626" s="26"/>
      <x:c r="S626" s="26" t="str">
        <x:v>Pending Mapping</x:v>
      </x:c>
      <x:c r="T626" s="26"/>
      <x:c r="U626" s="26"/>
      <x:c r="V626" s="26"/>
      <x:c r="W626" s="32"/>
      <x:c r="X626" s="27" t="b">
        <x:v>1</x:v>
      </x:c>
      <x:c r="Y626" s="34" t="n">
        <x:v>46218.51082175926</x:v>
      </x:c>
      <x:c r="Z626" s="26"/>
      <x:c r="AA626" s="26" t="str"/>
      <x:c r="AB626" s="26" t="str">
        <x:v>Activity name/category not included in contribution response</x:v>
      </x:c>
    </x:row>
    <x:row r="627">
      <x:c r="A627" s="26" t="n">
        <x:v>624</x:v>
      </x:c>
      <x:c r="B627" s="26" t="n">
        <x:v>165</x:v>
      </x:c>
      <x:c r="C627" s="26" t="str">
        <x:v>Kumuram Bheem Asifabad</x:v>
      </x:c>
      <x:c r="D627" s="26" t="n">
        <x:v>4650</x:v>
      </x:c>
      <x:c r="E627" s="26" t="str">
        <x:v>PRJ-2026-0004650</x:v>
      </x:c>
      <x:c r="F627" s="26" t="str">
        <x:v>Upgradation of AWCs </x:v>
      </x:c>
      <x:c r="G627" s="26" t="n">
        <x:v>343</x:v>
      </x:c>
      <x:c r="H627" s="26" t="n">
        <x:v>15816</x:v>
      </x:c>
      <x:c r="I627" s="26"/>
      <x:c r="J627" s="26"/>
      <x:c r="K627" s="26"/>
      <x:c r="L627" s="26" t="n">
        <x:v>1</x:v>
      </x:c>
      <x:c r="M627" s="26" t="n">
        <x:v>1</x:v>
      </x:c>
      <x:c r="N627" s="26" t="n">
        <x:v>0</x:v>
      </x:c>
      <x:c r="O627" s="26" t="n">
        <x:f>MAX(M627-N627,0)</x:f>
        <x:v>1</x:v>
      </x:c>
      <x:c r="P627" s="38" t="n">
        <x:f>IFERROR(N627/M627,0)</x:f>
        <x:v>0</x:v>
      </x:c>
      <x:c r="Q627" s="26"/>
      <x:c r="R627" s="26"/>
      <x:c r="S627" s="26" t="str">
        <x:v>Pending Mapping</x:v>
      </x:c>
      <x:c r="T627" s="26"/>
      <x:c r="U627" s="26"/>
      <x:c r="V627" s="26"/>
      <x:c r="W627" s="32"/>
      <x:c r="X627" s="27" t="b">
        <x:v>1</x:v>
      </x:c>
      <x:c r="Y627" s="34" t="n">
        <x:v>46218.51082175926</x:v>
      </x:c>
      <x:c r="Z627" s="26"/>
      <x:c r="AA627" s="26" t="str"/>
      <x:c r="AB627" s="26" t="str">
        <x:v>Activity name/category not included in contribution response</x:v>
      </x:c>
    </x:row>
    <x:row r="628">
      <x:c r="A628" s="26" t="n">
        <x:v>625</x:v>
      </x:c>
      <x:c r="B628" s="26" t="n">
        <x:v>165</x:v>
      </x:c>
      <x:c r="C628" s="26" t="str">
        <x:v>Kumuram Bheem Asifabad</x:v>
      </x:c>
      <x:c r="D628" s="26" t="n">
        <x:v>4650</x:v>
      </x:c>
      <x:c r="E628" s="26" t="str">
        <x:v>PRJ-2026-0004650</x:v>
      </x:c>
      <x:c r="F628" s="26" t="str">
        <x:v>Upgradation of AWCs </x:v>
      </x:c>
      <x:c r="G628" s="26" t="n">
        <x:v>344</x:v>
      </x:c>
      <x:c r="H628" s="26" t="n">
        <x:v>15817</x:v>
      </x:c>
      <x:c r="I628" s="26"/>
      <x:c r="J628" s="26"/>
      <x:c r="K628" s="26"/>
      <x:c r="L628" s="26" t="n">
        <x:v>1</x:v>
      </x:c>
      <x:c r="M628" s="26" t="n">
        <x:v>1</x:v>
      </x:c>
      <x:c r="N628" s="26" t="n">
        <x:v>0</x:v>
      </x:c>
      <x:c r="O628" s="26" t="n">
        <x:f>MAX(M628-N628,0)</x:f>
        <x:v>1</x:v>
      </x:c>
      <x:c r="P628" s="38" t="n">
        <x:f>IFERROR(N628/M628,0)</x:f>
        <x:v>0</x:v>
      </x:c>
      <x:c r="Q628" s="26"/>
      <x:c r="R628" s="26"/>
      <x:c r="S628" s="26" t="str">
        <x:v>Pending Mapping</x:v>
      </x:c>
      <x:c r="T628" s="26"/>
      <x:c r="U628" s="26"/>
      <x:c r="V628" s="26"/>
      <x:c r="W628" s="32"/>
      <x:c r="X628" s="27" t="b">
        <x:v>1</x:v>
      </x:c>
      <x:c r="Y628" s="34" t="n">
        <x:v>46218.51082175926</x:v>
      </x:c>
      <x:c r="Z628" s="26"/>
      <x:c r="AA628" s="26" t="str"/>
      <x:c r="AB628" s="26" t="str">
        <x:v>Activity name/category not included in contribution response</x:v>
      </x:c>
    </x:row>
    <x:row r="629">
      <x:c r="A629" s="26" t="n">
        <x:v>626</x:v>
      </x:c>
      <x:c r="B629" s="26" t="n">
        <x:v>165</x:v>
      </x:c>
      <x:c r="C629" s="26" t="str">
        <x:v>Kumuram Bheem Asifabad</x:v>
      </x:c>
      <x:c r="D629" s="26" t="n">
        <x:v>4650</x:v>
      </x:c>
      <x:c r="E629" s="26" t="str">
        <x:v>PRJ-2026-0004650</x:v>
      </x:c>
      <x:c r="F629" s="26" t="str">
        <x:v>Upgradation of AWCs </x:v>
      </x:c>
      <x:c r="G629" s="26" t="n">
        <x:v>345</x:v>
      </x:c>
      <x:c r="H629" s="26" t="n">
        <x:v>15818</x:v>
      </x:c>
      <x:c r="I629" s="26"/>
      <x:c r="J629" s="26"/>
      <x:c r="K629" s="26"/>
      <x:c r="L629" s="26" t="n">
        <x:v>1</x:v>
      </x:c>
      <x:c r="M629" s="26" t="n">
        <x:v>1</x:v>
      </x:c>
      <x:c r="N629" s="26" t="n">
        <x:v>0</x:v>
      </x:c>
      <x:c r="O629" s="26" t="n">
        <x:f>MAX(M629-N629,0)</x:f>
        <x:v>1</x:v>
      </x:c>
      <x:c r="P629" s="38" t="n">
        <x:f>IFERROR(N629/M629,0)</x:f>
        <x:v>0</x:v>
      </x:c>
      <x:c r="Q629" s="26"/>
      <x:c r="R629" s="26"/>
      <x:c r="S629" s="26" t="str">
        <x:v>Pending Mapping</x:v>
      </x:c>
      <x:c r="T629" s="26"/>
      <x:c r="U629" s="26"/>
      <x:c r="V629" s="26"/>
      <x:c r="W629" s="32"/>
      <x:c r="X629" s="27" t="b">
        <x:v>1</x:v>
      </x:c>
      <x:c r="Y629" s="34" t="n">
        <x:v>46218.51082175926</x:v>
      </x:c>
      <x:c r="Z629" s="26"/>
      <x:c r="AA629" s="26" t="str"/>
      <x:c r="AB629" s="26" t="str">
        <x:v>Activity name/category not included in contribution response</x:v>
      </x:c>
    </x:row>
    <x:row r="630">
      <x:c r="A630" s="26" t="n">
        <x:v>627</x:v>
      </x:c>
      <x:c r="B630" s="26" t="n">
        <x:v>168</x:v>
      </x:c>
      <x:c r="C630" s="26" t="str">
        <x:v>Kumuram Bheem Asifabad</x:v>
      </x:c>
      <x:c r="D630" s="26" t="n">
        <x:v>5917</x:v>
      </x:c>
      <x:c r="E630" s="26" t="str">
        <x:v>PRJ-2026-0005917</x:v>
      </x:c>
      <x:c r="F630" s="26" t="str">
        <x:v>upgradation of anganwadi center</x:v>
      </x:c>
      <x:c r="G630" s="26" t="n">
        <x:v>349</x:v>
      </x:c>
      <x:c r="H630" s="26" t="n">
        <x:v>20587</x:v>
      </x:c>
      <x:c r="I630" s="26"/>
      <x:c r="J630" s="26"/>
      <x:c r="K630" s="26"/>
      <x:c r="L630" s="26" t="n">
        <x:v>1</x:v>
      </x:c>
      <x:c r="M630" s="26" t="n">
        <x:v>1</x:v>
      </x:c>
      <x:c r="N630" s="26" t="n">
        <x:v>0</x:v>
      </x:c>
      <x:c r="O630" s="26" t="n">
        <x:f>MAX(M630-N630,0)</x:f>
        <x:v>1</x:v>
      </x:c>
      <x:c r="P630" s="38" t="n">
        <x:f>IFERROR(N630/M630,0)</x:f>
        <x:v>0</x:v>
      </x:c>
      <x:c r="Q630" s="26"/>
      <x:c r="R630" s="26"/>
      <x:c r="S630" s="26" t="str">
        <x:v>Pending Mapping</x:v>
      </x:c>
      <x:c r="T630" s="26"/>
      <x:c r="U630" s="26"/>
      <x:c r="V630" s="26"/>
      <x:c r="W630" s="32"/>
      <x:c r="X630" s="27" t="b">
        <x:v>1</x:v>
      </x:c>
      <x:c r="Y630" s="34" t="n">
        <x:v>46218.51079861111</x:v>
      </x:c>
      <x:c r="Z630" s="26"/>
      <x:c r="AA630" s="26" t="str"/>
      <x:c r="AB630" s="26" t="str">
        <x:v>Activity name/category not included in contribution response</x:v>
      </x:c>
    </x:row>
    <x:row r="631">
      <x:c r="A631" s="26" t="n">
        <x:v>628</x:v>
      </x:c>
      <x:c r="B631" s="26" t="n">
        <x:v>168</x:v>
      </x:c>
      <x:c r="C631" s="26" t="str">
        <x:v>Kumuram Bheem Asifabad</x:v>
      </x:c>
      <x:c r="D631" s="26" t="n">
        <x:v>5917</x:v>
      </x:c>
      <x:c r="E631" s="26" t="str">
        <x:v>PRJ-2026-0005917</x:v>
      </x:c>
      <x:c r="F631" s="26" t="str">
        <x:v>upgradation of anganwadi center</x:v>
      </x:c>
      <x:c r="G631" s="26" t="n">
        <x:v>350</x:v>
      </x:c>
      <x:c r="H631" s="26" t="n">
        <x:v>20588</x:v>
      </x:c>
      <x:c r="I631" s="26"/>
      <x:c r="J631" s="26"/>
      <x:c r="K631" s="26"/>
      <x:c r="L631" s="26" t="n">
        <x:v>5</x:v>
      </x:c>
      <x:c r="M631" s="26" t="n">
        <x:v>5</x:v>
      </x:c>
      <x:c r="N631" s="26" t="n">
        <x:v>0</x:v>
      </x:c>
      <x:c r="O631" s="26" t="n">
        <x:f>MAX(M631-N631,0)</x:f>
        <x:v>5</x:v>
      </x:c>
      <x:c r="P631" s="38" t="n">
        <x:f>IFERROR(N631/M631,0)</x:f>
        <x:v>0</x:v>
      </x:c>
      <x:c r="Q631" s="26"/>
      <x:c r="R631" s="26"/>
      <x:c r="S631" s="26" t="str">
        <x:v>Pending Mapping</x:v>
      </x:c>
      <x:c r="T631" s="26"/>
      <x:c r="U631" s="26"/>
      <x:c r="V631" s="26"/>
      <x:c r="W631" s="32"/>
      <x:c r="X631" s="27" t="b">
        <x:v>1</x:v>
      </x:c>
      <x:c r="Y631" s="34" t="n">
        <x:v>46218.51079861111</x:v>
      </x:c>
      <x:c r="Z631" s="26"/>
      <x:c r="AA631" s="26" t="str"/>
      <x:c r="AB631" s="26" t="str">
        <x:v>Activity name/category not included in contribution response</x:v>
      </x:c>
    </x:row>
    <x:row r="632">
      <x:c r="A632" s="26" t="n">
        <x:v>629</x:v>
      </x:c>
      <x:c r="B632" s="26" t="n">
        <x:v>168</x:v>
      </x:c>
      <x:c r="C632" s="26" t="str">
        <x:v>Kumuram Bheem Asifabad</x:v>
      </x:c>
      <x:c r="D632" s="26" t="n">
        <x:v>5917</x:v>
      </x:c>
      <x:c r="E632" s="26" t="str">
        <x:v>PRJ-2026-0005917</x:v>
      </x:c>
      <x:c r="F632" s="26" t="str">
        <x:v>upgradation of anganwadi center</x:v>
      </x:c>
      <x:c r="G632" s="26" t="n">
        <x:v>351</x:v>
      </x:c>
      <x:c r="H632" s="26" t="n">
        <x:v>20589</x:v>
      </x:c>
      <x:c r="I632" s="26"/>
      <x:c r="J632" s="26"/>
      <x:c r="K632" s="26"/>
      <x:c r="L632" s="26" t="n">
        <x:v>1</x:v>
      </x:c>
      <x:c r="M632" s="26" t="n">
        <x:v>1</x:v>
      </x:c>
      <x:c r="N632" s="26" t="n">
        <x:v>0</x:v>
      </x:c>
      <x:c r="O632" s="26" t="n">
        <x:f>MAX(M632-N632,0)</x:f>
        <x:v>1</x:v>
      </x:c>
      <x:c r="P632" s="38" t="n">
        <x:f>IFERROR(N632/M632,0)</x:f>
        <x:v>0</x:v>
      </x:c>
      <x:c r="Q632" s="26"/>
      <x:c r="R632" s="26"/>
      <x:c r="S632" s="26" t="str">
        <x:v>Pending Mapping</x:v>
      </x:c>
      <x:c r="T632" s="26"/>
      <x:c r="U632" s="26"/>
      <x:c r="V632" s="26"/>
      <x:c r="W632" s="32"/>
      <x:c r="X632" s="27" t="b">
        <x:v>1</x:v>
      </x:c>
      <x:c r="Y632" s="34" t="n">
        <x:v>46218.51079861111</x:v>
      </x:c>
      <x:c r="Z632" s="26"/>
      <x:c r="AA632" s="26" t="str"/>
      <x:c r="AB632" s="26" t="str">
        <x:v>Activity name/category not included in contribution response</x:v>
      </x:c>
    </x:row>
    <x:row r="633">
      <x:c r="A633" s="26" t="n">
        <x:v>630</x:v>
      </x:c>
      <x:c r="B633" s="26" t="n">
        <x:v>168</x:v>
      </x:c>
      <x:c r="C633" s="26" t="str">
        <x:v>Kumuram Bheem Asifabad</x:v>
      </x:c>
      <x:c r="D633" s="26" t="n">
        <x:v>5917</x:v>
      </x:c>
      <x:c r="E633" s="26" t="str">
        <x:v>PRJ-2026-0005917</x:v>
      </x:c>
      <x:c r="F633" s="26" t="str">
        <x:v>upgradation of anganwadi center</x:v>
      </x:c>
      <x:c r="G633" s="26" t="n">
        <x:v>352</x:v>
      </x:c>
      <x:c r="H633" s="26" t="n">
        <x:v>20590</x:v>
      </x:c>
      <x:c r="I633" s="26"/>
      <x:c r="J633" s="26"/>
      <x:c r="K633" s="26"/>
      <x:c r="L633" s="26" t="n">
        <x:v>2</x:v>
      </x:c>
      <x:c r="M633" s="26" t="n">
        <x:v>2</x:v>
      </x:c>
      <x:c r="N633" s="26" t="n">
        <x:v>0</x:v>
      </x:c>
      <x:c r="O633" s="26" t="n">
        <x:f>MAX(M633-N633,0)</x:f>
        <x:v>2</x:v>
      </x:c>
      <x:c r="P633" s="38" t="n">
        <x:f>IFERROR(N633/M633,0)</x:f>
        <x:v>0</x:v>
      </x:c>
      <x:c r="Q633" s="26"/>
      <x:c r="R633" s="26"/>
      <x:c r="S633" s="26" t="str">
        <x:v>Pending Mapping</x:v>
      </x:c>
      <x:c r="T633" s="26"/>
      <x:c r="U633" s="26"/>
      <x:c r="V633" s="26"/>
      <x:c r="W633" s="32"/>
      <x:c r="X633" s="27" t="b">
        <x:v>1</x:v>
      </x:c>
      <x:c r="Y633" s="34" t="n">
        <x:v>46218.51079861111</x:v>
      </x:c>
      <x:c r="Z633" s="26"/>
      <x:c r="AA633" s="26" t="str"/>
      <x:c r="AB633" s="26" t="str">
        <x:v>Activity name/category not included in contribution response</x:v>
      </x:c>
    </x:row>
    <x:row r="634">
      <x:c r="A634" s="26" t="n">
        <x:v>631</x:v>
      </x:c>
      <x:c r="B634" s="26" t="n">
        <x:v>169</x:v>
      </x:c>
      <x:c r="C634" s="26" t="str">
        <x:v>Kumuram Bheem Asifabad</x:v>
      </x:c>
      <x:c r="D634" s="26" t="n">
        <x:v>6699</x:v>
      </x:c>
      <x:c r="E634" s="26" t="str">
        <x:v>PRJ-2026-0006699</x:v>
      </x:c>
      <x:c r="F634" s="26" t="str">
        <x:v>Proposal for upgradation of AWC</x:v>
      </x:c>
      <x:c r="G634" s="26" t="n">
        <x:v>353</x:v>
      </x:c>
      <x:c r="H634" s="26" t="n">
        <x:v>23936</x:v>
      </x:c>
      <x:c r="I634" s="26"/>
      <x:c r="J634" s="26"/>
      <x:c r="K634" s="26"/>
      <x:c r="L634" s="26" t="n">
        <x:v>1</x:v>
      </x:c>
      <x:c r="M634" s="26" t="n">
        <x:v>1</x:v>
      </x:c>
      <x:c r="N634" s="26" t="n">
        <x:v>0</x:v>
      </x:c>
      <x:c r="O634" s="26" t="n">
        <x:f>MAX(M634-N634,0)</x:f>
        <x:v>1</x:v>
      </x:c>
      <x:c r="P634" s="38" t="n">
        <x:f>IFERROR(N634/M634,0)</x:f>
        <x:v>0</x:v>
      </x:c>
      <x:c r="Q634" s="26"/>
      <x:c r="R634" s="26"/>
      <x:c r="S634" s="26" t="str">
        <x:v>Pending Mapping</x:v>
      </x:c>
      <x:c r="T634" s="26"/>
      <x:c r="U634" s="26"/>
      <x:c r="V634" s="26"/>
      <x:c r="W634" s="32"/>
      <x:c r="X634" s="27" t="b">
        <x:v>1</x:v>
      </x:c>
      <x:c r="Y634" s="34" t="n">
        <x:v>46218.510787037034</x:v>
      </x:c>
      <x:c r="Z634" s="26"/>
      <x:c r="AA634" s="26" t="str"/>
      <x:c r="AB634" s="26" t="str">
        <x:v>Activity name/category not included in contribution response</x:v>
      </x:c>
    </x:row>
    <x:row r="635">
      <x:c r="A635" s="26" t="n">
        <x:v>632</x:v>
      </x:c>
      <x:c r="B635" s="26" t="n">
        <x:v>169</x:v>
      </x:c>
      <x:c r="C635" s="26" t="str">
        <x:v>Kumuram Bheem Asifabad</x:v>
      </x:c>
      <x:c r="D635" s="26" t="n">
        <x:v>6699</x:v>
      </x:c>
      <x:c r="E635" s="26" t="str">
        <x:v>PRJ-2026-0006699</x:v>
      </x:c>
      <x:c r="F635" s="26" t="str">
        <x:v>Proposal for upgradation of AWC</x:v>
      </x:c>
      <x:c r="G635" s="26" t="n">
        <x:v>354</x:v>
      </x:c>
      <x:c r="H635" s="26" t="n">
        <x:v>23937</x:v>
      </x:c>
      <x:c r="I635" s="26"/>
      <x:c r="J635" s="26"/>
      <x:c r="K635" s="26"/>
      <x:c r="L635" s="26" t="n">
        <x:v>15</x:v>
      </x:c>
      <x:c r="M635" s="26" t="n">
        <x:v>15</x:v>
      </x:c>
      <x:c r="N635" s="26" t="n">
        <x:v>0</x:v>
      </x:c>
      <x:c r="O635" s="26" t="n">
        <x:f>MAX(M635-N635,0)</x:f>
        <x:v>15</x:v>
      </x:c>
      <x:c r="P635" s="38" t="n">
        <x:f>IFERROR(N635/M635,0)</x:f>
        <x:v>0</x:v>
      </x:c>
      <x:c r="Q635" s="26"/>
      <x:c r="R635" s="26"/>
      <x:c r="S635" s="26" t="str">
        <x:v>Pending Mapping</x:v>
      </x:c>
      <x:c r="T635" s="26"/>
      <x:c r="U635" s="26"/>
      <x:c r="V635" s="26"/>
      <x:c r="W635" s="32"/>
      <x:c r="X635" s="27" t="b">
        <x:v>1</x:v>
      </x:c>
      <x:c r="Y635" s="34" t="n">
        <x:v>46218.510787037034</x:v>
      </x:c>
      <x:c r="Z635" s="26"/>
      <x:c r="AA635" s="26" t="str"/>
      <x:c r="AB635" s="26" t="str">
        <x:v>Activity name/category not included in contribution response</x:v>
      </x:c>
    </x:row>
    <x:row r="636">
      <x:c r="A636" s="26" t="n">
        <x:v>633</x:v>
      </x:c>
      <x:c r="B636" s="26" t="n">
        <x:v>169</x:v>
      </x:c>
      <x:c r="C636" s="26" t="str">
        <x:v>Kumuram Bheem Asifabad</x:v>
      </x:c>
      <x:c r="D636" s="26" t="n">
        <x:v>6699</x:v>
      </x:c>
      <x:c r="E636" s="26" t="str">
        <x:v>PRJ-2026-0006699</x:v>
      </x:c>
      <x:c r="F636" s="26" t="str">
        <x:v>Proposal for upgradation of AWC</x:v>
      </x:c>
      <x:c r="G636" s="26" t="n">
        <x:v>355</x:v>
      </x:c>
      <x:c r="H636" s="26" t="n">
        <x:v>23938</x:v>
      </x:c>
      <x:c r="I636" s="26"/>
      <x:c r="J636" s="26"/>
      <x:c r="K636" s="26"/>
      <x:c r="L636" s="26" t="n">
        <x:v>5</x:v>
      </x:c>
      <x:c r="M636" s="26" t="n">
        <x:v>5</x:v>
      </x:c>
      <x:c r="N636" s="26" t="n">
        <x:v>0</x:v>
      </x:c>
      <x:c r="O636" s="26" t="n">
        <x:f>MAX(M636-N636,0)</x:f>
        <x:v>5</x:v>
      </x:c>
      <x:c r="P636" s="38" t="n">
        <x:f>IFERROR(N636/M636,0)</x:f>
        <x:v>0</x:v>
      </x:c>
      <x:c r="Q636" s="26"/>
      <x:c r="R636" s="26"/>
      <x:c r="S636" s="26" t="str">
        <x:v>Pending Mapping</x:v>
      </x:c>
      <x:c r="T636" s="26"/>
      <x:c r="U636" s="26"/>
      <x:c r="V636" s="26"/>
      <x:c r="W636" s="32"/>
      <x:c r="X636" s="27" t="b">
        <x:v>1</x:v>
      </x:c>
      <x:c r="Y636" s="34" t="n">
        <x:v>46218.510787037034</x:v>
      </x:c>
      <x:c r="Z636" s="26"/>
      <x:c r="AA636" s="26" t="str"/>
      <x:c r="AB636" s="26" t="str">
        <x:v>Activity name/category not included in contribution response</x:v>
      </x:c>
    </x:row>
    <x:row r="637">
      <x:c r="A637" s="26" t="n">
        <x:v>634</x:v>
      </x:c>
      <x:c r="B637" s="26" t="n">
        <x:v>169</x:v>
      </x:c>
      <x:c r="C637" s="26" t="str">
        <x:v>Kumuram Bheem Asifabad</x:v>
      </x:c>
      <x:c r="D637" s="26" t="n">
        <x:v>6699</x:v>
      </x:c>
      <x:c r="E637" s="26" t="str">
        <x:v>PRJ-2026-0006699</x:v>
      </x:c>
      <x:c r="F637" s="26" t="str">
        <x:v>Proposal for upgradation of AWC</x:v>
      </x:c>
      <x:c r="G637" s="26" t="n">
        <x:v>356</x:v>
      </x:c>
      <x:c r="H637" s="26" t="n">
        <x:v>23939</x:v>
      </x:c>
      <x:c r="I637" s="26"/>
      <x:c r="J637" s="26"/>
      <x:c r="K637" s="26"/>
      <x:c r="L637" s="26" t="n">
        <x:v>1</x:v>
      </x:c>
      <x:c r="M637" s="26" t="n">
        <x:v>1</x:v>
      </x:c>
      <x:c r="N637" s="26" t="n">
        <x:v>0</x:v>
      </x:c>
      <x:c r="O637" s="26" t="n">
        <x:f>MAX(M637-N637,0)</x:f>
        <x:v>1</x:v>
      </x:c>
      <x:c r="P637" s="38" t="n">
        <x:f>IFERROR(N637/M637,0)</x:f>
        <x:v>0</x:v>
      </x:c>
      <x:c r="Q637" s="26"/>
      <x:c r="R637" s="26"/>
      <x:c r="S637" s="26" t="str">
        <x:v>Pending Mapping</x:v>
      </x:c>
      <x:c r="T637" s="26"/>
      <x:c r="U637" s="26"/>
      <x:c r="V637" s="26"/>
      <x:c r="W637" s="32"/>
      <x:c r="X637" s="27" t="b">
        <x:v>1</x:v>
      </x:c>
      <x:c r="Y637" s="34" t="n">
        <x:v>46218.510787037034</x:v>
      </x:c>
      <x:c r="Z637" s="26"/>
      <x:c r="AA637" s="26" t="str"/>
      <x:c r="AB637" s="26" t="str">
        <x:v>Activity name/category not included in contribution response</x:v>
      </x:c>
    </x:row>
    <x:row r="638">
      <x:c r="A638" s="26" t="n">
        <x:v>635</x:v>
      </x:c>
      <x:c r="B638" s="26" t="n">
        <x:v>169</x:v>
      </x:c>
      <x:c r="C638" s="26" t="str">
        <x:v>Kumuram Bheem Asifabad</x:v>
      </x:c>
      <x:c r="D638" s="26" t="n">
        <x:v>6699</x:v>
      </x:c>
      <x:c r="E638" s="26" t="str">
        <x:v>PRJ-2026-0006699</x:v>
      </x:c>
      <x:c r="F638" s="26" t="str">
        <x:v>Proposal for upgradation of AWC</x:v>
      </x:c>
      <x:c r="G638" s="26" t="n">
        <x:v>357</x:v>
      </x:c>
      <x:c r="H638" s="26" t="n">
        <x:v>23940</x:v>
      </x:c>
      <x:c r="I638" s="26"/>
      <x:c r="J638" s="26"/>
      <x:c r="K638" s="26"/>
      <x:c r="L638" s="26" t="n">
        <x:v>1</x:v>
      </x:c>
      <x:c r="M638" s="26" t="n">
        <x:v>1</x:v>
      </x:c>
      <x:c r="N638" s="26" t="n">
        <x:v>0</x:v>
      </x:c>
      <x:c r="O638" s="26" t="n">
        <x:f>MAX(M638-N638,0)</x:f>
        <x:v>1</x:v>
      </x:c>
      <x:c r="P638" s="38" t="n">
        <x:f>IFERROR(N638/M638,0)</x:f>
        <x:v>0</x:v>
      </x:c>
      <x:c r="Q638" s="26"/>
      <x:c r="R638" s="26"/>
      <x:c r="S638" s="26" t="str">
        <x:v>Pending Mapping</x:v>
      </x:c>
      <x:c r="T638" s="26"/>
      <x:c r="U638" s="26"/>
      <x:c r="V638" s="26"/>
      <x:c r="W638" s="32"/>
      <x:c r="X638" s="27" t="b">
        <x:v>1</x:v>
      </x:c>
      <x:c r="Y638" s="34" t="n">
        <x:v>46218.510787037034</x:v>
      </x:c>
      <x:c r="Z638" s="26"/>
      <x:c r="AA638" s="26" t="str"/>
      <x:c r="AB638" s="26" t="str">
        <x:v>Activity name/category not included in contribution response</x:v>
      </x:c>
    </x:row>
    <x:row r="639">
      <x:c r="A639" s="26" t="n">
        <x:v>636</x:v>
      </x:c>
      <x:c r="B639" s="26" t="n">
        <x:v>170</x:v>
      </x:c>
      <x:c r="C639" s="26" t="str">
        <x:v>Kumuram Bheem Asifabad</x:v>
      </x:c>
      <x:c r="D639" s="26" t="n">
        <x:v>6705</x:v>
      </x:c>
      <x:c r="E639" s="26" t="str">
        <x:v>PRJ-2026-0006705</x:v>
      </x:c>
      <x:c r="F639" s="26" t="str">
        <x:v>AWC Upgradation</x:v>
      </x:c>
      <x:c r="G639" s="26" t="n">
        <x:v>358</x:v>
      </x:c>
      <x:c r="H639" s="26" t="n">
        <x:v>23967</x:v>
      </x:c>
      <x:c r="I639" s="26"/>
      <x:c r="J639" s="26"/>
      <x:c r="K639" s="26"/>
      <x:c r="L639" s="26" t="n">
        <x:v>1</x:v>
      </x:c>
      <x:c r="M639" s="26" t="n">
        <x:v>1</x:v>
      </x:c>
      <x:c r="N639" s="26" t="n">
        <x:v>0</x:v>
      </x:c>
      <x:c r="O639" s="26" t="n">
        <x:f>MAX(M639-N639,0)</x:f>
        <x:v>1</x:v>
      </x:c>
      <x:c r="P639" s="38" t="n">
        <x:f>IFERROR(N639/M639,0)</x:f>
        <x:v>0</x:v>
      </x:c>
      <x:c r="Q639" s="26"/>
      <x:c r="R639" s="26"/>
      <x:c r="S639" s="26" t="str">
        <x:v>Pending Mapping</x:v>
      </x:c>
      <x:c r="T639" s="26"/>
      <x:c r="U639" s="26"/>
      <x:c r="V639" s="26"/>
      <x:c r="W639" s="32"/>
      <x:c r="X639" s="27" t="b">
        <x:v>1</x:v>
      </x:c>
      <x:c r="Y639" s="34" t="n">
        <x:v>46218.510787037034</x:v>
      </x:c>
      <x:c r="Z639" s="26"/>
      <x:c r="AA639" s="26" t="str"/>
      <x:c r="AB639" s="26" t="str">
        <x:v>Activity name/category not included in contribution response</x:v>
      </x:c>
    </x:row>
    <x:row r="640">
      <x:c r="A640" s="26" t="n">
        <x:v>637</x:v>
      </x:c>
      <x:c r="B640" s="26" t="n">
        <x:v>170</x:v>
      </x:c>
      <x:c r="C640" s="26" t="str">
        <x:v>Kumuram Bheem Asifabad</x:v>
      </x:c>
      <x:c r="D640" s="26" t="n">
        <x:v>6705</x:v>
      </x:c>
      <x:c r="E640" s="26" t="str">
        <x:v>PRJ-2026-0006705</x:v>
      </x:c>
      <x:c r="F640" s="26" t="str">
        <x:v>AWC Upgradation</x:v>
      </x:c>
      <x:c r="G640" s="26" t="n">
        <x:v>359</x:v>
      </x:c>
      <x:c r="H640" s="26" t="n">
        <x:v>23968</x:v>
      </x:c>
      <x:c r="I640" s="26"/>
      <x:c r="J640" s="26"/>
      <x:c r="K640" s="26"/>
      <x:c r="L640" s="26" t="n">
        <x:v>2</x:v>
      </x:c>
      <x:c r="M640" s="26" t="n">
        <x:v>2</x:v>
      </x:c>
      <x:c r="N640" s="26" t="n">
        <x:v>0</x:v>
      </x:c>
      <x:c r="O640" s="26" t="n">
        <x:f>MAX(M640-N640,0)</x:f>
        <x:v>2</x:v>
      </x:c>
      <x:c r="P640" s="38" t="n">
        <x:f>IFERROR(N640/M640,0)</x:f>
        <x:v>0</x:v>
      </x:c>
      <x:c r="Q640" s="26"/>
      <x:c r="R640" s="26"/>
      <x:c r="S640" s="26" t="str">
        <x:v>Pending Mapping</x:v>
      </x:c>
      <x:c r="T640" s="26"/>
      <x:c r="U640" s="26"/>
      <x:c r="V640" s="26"/>
      <x:c r="W640" s="32"/>
      <x:c r="X640" s="27" t="b">
        <x:v>1</x:v>
      </x:c>
      <x:c r="Y640" s="34" t="n">
        <x:v>46218.510787037034</x:v>
      </x:c>
      <x:c r="Z640" s="26"/>
      <x:c r="AA640" s="26" t="str"/>
      <x:c r="AB640" s="26" t="str">
        <x:v>Activity name/category not included in contribution response</x:v>
      </x:c>
    </x:row>
    <x:row r="641">
      <x:c r="A641" s="26" t="n">
        <x:v>638</x:v>
      </x:c>
      <x:c r="B641" s="26" t="n">
        <x:v>170</x:v>
      </x:c>
      <x:c r="C641" s="26" t="str">
        <x:v>Kumuram Bheem Asifabad</x:v>
      </x:c>
      <x:c r="D641" s="26" t="n">
        <x:v>6705</x:v>
      </x:c>
      <x:c r="E641" s="26" t="str">
        <x:v>PRJ-2026-0006705</x:v>
      </x:c>
      <x:c r="F641" s="26" t="str">
        <x:v>AWC Upgradation</x:v>
      </x:c>
      <x:c r="G641" s="26" t="n">
        <x:v>360</x:v>
      </x:c>
      <x:c r="H641" s="26" t="n">
        <x:v>23969</x:v>
      </x:c>
      <x:c r="I641" s="26"/>
      <x:c r="J641" s="26"/>
      <x:c r="K641" s="26"/>
      <x:c r="L641" s="26" t="n">
        <x:v>5</x:v>
      </x:c>
      <x:c r="M641" s="26" t="n">
        <x:v>5</x:v>
      </x:c>
      <x:c r="N641" s="26" t="n">
        <x:v>0</x:v>
      </x:c>
      <x:c r="O641" s="26" t="n">
        <x:f>MAX(M641-N641,0)</x:f>
        <x:v>5</x:v>
      </x:c>
      <x:c r="P641" s="38" t="n">
        <x:f>IFERROR(N641/M641,0)</x:f>
        <x:v>0</x:v>
      </x:c>
      <x:c r="Q641" s="26"/>
      <x:c r="R641" s="26"/>
      <x:c r="S641" s="26" t="str">
        <x:v>Pending Mapping</x:v>
      </x:c>
      <x:c r="T641" s="26"/>
      <x:c r="U641" s="26"/>
      <x:c r="V641" s="26"/>
      <x:c r="W641" s="32"/>
      <x:c r="X641" s="27" t="b">
        <x:v>1</x:v>
      </x:c>
      <x:c r="Y641" s="34" t="n">
        <x:v>46218.510787037034</x:v>
      </x:c>
      <x:c r="Z641" s="26"/>
      <x:c r="AA641" s="26" t="str"/>
      <x:c r="AB641" s="26" t="str">
        <x:v>Activity name/category not included in contribution response</x:v>
      </x:c>
    </x:row>
    <x:row r="642">
      <x:c r="A642" s="26" t="n">
        <x:v>639</x:v>
      </x:c>
      <x:c r="B642" s="26" t="n">
        <x:v>170</x:v>
      </x:c>
      <x:c r="C642" s="26" t="str">
        <x:v>Kumuram Bheem Asifabad</x:v>
      </x:c>
      <x:c r="D642" s="26" t="n">
        <x:v>6705</x:v>
      </x:c>
      <x:c r="E642" s="26" t="str">
        <x:v>PRJ-2026-0006705</x:v>
      </x:c>
      <x:c r="F642" s="26" t="str">
        <x:v>AWC Upgradation</x:v>
      </x:c>
      <x:c r="G642" s="26" t="n">
        <x:v>361</x:v>
      </x:c>
      <x:c r="H642" s="26" t="n">
        <x:v>23970</x:v>
      </x:c>
      <x:c r="I642" s="26"/>
      <x:c r="J642" s="26"/>
      <x:c r="K642" s="26"/>
      <x:c r="L642" s="26" t="n">
        <x:v>10</x:v>
      </x:c>
      <x:c r="M642" s="26" t="n">
        <x:v>10</x:v>
      </x:c>
      <x:c r="N642" s="26" t="n">
        <x:v>0</x:v>
      </x:c>
      <x:c r="O642" s="26" t="n">
        <x:f>MAX(M642-N642,0)</x:f>
        <x:v>10</x:v>
      </x:c>
      <x:c r="P642" s="38" t="n">
        <x:f>IFERROR(N642/M642,0)</x:f>
        <x:v>0</x:v>
      </x:c>
      <x:c r="Q642" s="26"/>
      <x:c r="R642" s="26"/>
      <x:c r="S642" s="26" t="str">
        <x:v>Pending Mapping</x:v>
      </x:c>
      <x:c r="T642" s="26"/>
      <x:c r="U642" s="26"/>
      <x:c r="V642" s="26"/>
      <x:c r="W642" s="32"/>
      <x:c r="X642" s="27" t="b">
        <x:v>1</x:v>
      </x:c>
      <x:c r="Y642" s="34" t="n">
        <x:v>46218.510787037034</x:v>
      </x:c>
      <x:c r="Z642" s="26"/>
      <x:c r="AA642" s="26" t="str"/>
      <x:c r="AB642" s="26" t="str">
        <x:v>Activity name/category not included in contribution response</x:v>
      </x:c>
    </x:row>
    <x:row r="643">
      <x:c r="A643" s="26" t="n">
        <x:v>640</x:v>
      </x:c>
      <x:c r="B643" s="26" t="n">
        <x:v>170</x:v>
      </x:c>
      <x:c r="C643" s="26" t="str">
        <x:v>Kumuram Bheem Asifabad</x:v>
      </x:c>
      <x:c r="D643" s="26" t="n">
        <x:v>6705</x:v>
      </x:c>
      <x:c r="E643" s="26" t="str">
        <x:v>PRJ-2026-0006705</x:v>
      </x:c>
      <x:c r="F643" s="26" t="str">
        <x:v>AWC Upgradation</x:v>
      </x:c>
      <x:c r="G643" s="26" t="n">
        <x:v>362</x:v>
      </x:c>
      <x:c r="H643" s="26" t="n">
        <x:v>23971</x:v>
      </x:c>
      <x:c r="I643" s="26"/>
      <x:c r="J643" s="26"/>
      <x:c r="K643" s="26"/>
      <x:c r="L643" s="26" t="n">
        <x:v>10</x:v>
      </x:c>
      <x:c r="M643" s="26" t="n">
        <x:v>10</x:v>
      </x:c>
      <x:c r="N643" s="26" t="n">
        <x:v>0</x:v>
      </x:c>
      <x:c r="O643" s="26" t="n">
        <x:f>MAX(M643-N643,0)</x:f>
        <x:v>10</x:v>
      </x:c>
      <x:c r="P643" s="38" t="n">
        <x:f>IFERROR(N643/M643,0)</x:f>
        <x:v>0</x:v>
      </x:c>
      <x:c r="Q643" s="26"/>
      <x:c r="R643" s="26"/>
      <x:c r="S643" s="26" t="str">
        <x:v>Pending Mapping</x:v>
      </x:c>
      <x:c r="T643" s="26"/>
      <x:c r="U643" s="26"/>
      <x:c r="V643" s="26"/>
      <x:c r="W643" s="32"/>
      <x:c r="X643" s="27" t="b">
        <x:v>1</x:v>
      </x:c>
      <x:c r="Y643" s="34" t="n">
        <x:v>46218.510787037034</x:v>
      </x:c>
      <x:c r="Z643" s="26"/>
      <x:c r="AA643" s="26" t="str"/>
      <x:c r="AB643" s="26" t="str">
        <x:v>Activity name/category not included in contribution response</x:v>
      </x:c>
    </x:row>
    <x:row r="644">
      <x:c r="A644" s="26" t="n">
        <x:v>641</x:v>
      </x:c>
      <x:c r="B644" s="26" t="n">
        <x:v>170</x:v>
      </x:c>
      <x:c r="C644" s="26" t="str">
        <x:v>Kumuram Bheem Asifabad</x:v>
      </x:c>
      <x:c r="D644" s="26" t="n">
        <x:v>6705</x:v>
      </x:c>
      <x:c r="E644" s="26" t="str">
        <x:v>PRJ-2026-0006705</x:v>
      </x:c>
      <x:c r="F644" s="26" t="str">
        <x:v>AWC Upgradation</x:v>
      </x:c>
      <x:c r="G644" s="26" t="n">
        <x:v>363</x:v>
      </x:c>
      <x:c r="H644" s="26" t="n">
        <x:v>23972</x:v>
      </x:c>
      <x:c r="I644" s="26"/>
      <x:c r="J644" s="26"/>
      <x:c r="K644" s="26"/>
      <x:c r="L644" s="26" t="n">
        <x:v>10</x:v>
      </x:c>
      <x:c r="M644" s="26" t="n">
        <x:v>10</x:v>
      </x:c>
      <x:c r="N644" s="26" t="n">
        <x:v>0</x:v>
      </x:c>
      <x:c r="O644" s="26" t="n">
        <x:f>MAX(M644-N644,0)</x:f>
        <x:v>10</x:v>
      </x:c>
      <x:c r="P644" s="38" t="n">
        <x:f>IFERROR(N644/M644,0)</x:f>
        <x:v>0</x:v>
      </x:c>
      <x:c r="Q644" s="26"/>
      <x:c r="R644" s="26"/>
      <x:c r="S644" s="26" t="str">
        <x:v>Pending Mapping</x:v>
      </x:c>
      <x:c r="T644" s="26"/>
      <x:c r="U644" s="26"/>
      <x:c r="V644" s="26"/>
      <x:c r="W644" s="32"/>
      <x:c r="X644" s="27" t="b">
        <x:v>1</x:v>
      </x:c>
      <x:c r="Y644" s="34" t="n">
        <x:v>46218.510787037034</x:v>
      </x:c>
      <x:c r="Z644" s="26"/>
      <x:c r="AA644" s="26" t="str"/>
      <x:c r="AB644" s="26" t="str">
        <x:v>Activity name/category not included in contribution response</x:v>
      </x:c>
    </x:row>
    <x:row r="645">
      <x:c r="A645" s="26" t="n">
        <x:v>642</x:v>
      </x:c>
      <x:c r="B645" s="26" t="n">
        <x:v>171</x:v>
      </x:c>
      <x:c r="C645" s="26" t="str">
        <x:v>Kumuram Bheem Asifabad</x:v>
      </x:c>
      <x:c r="D645" s="26" t="n">
        <x:v>6718</x:v>
      </x:c>
      <x:c r="E645" s="26" t="str">
        <x:v>PRJ-2026-0006718</x:v>
      </x:c>
      <x:c r="F645" s="26" t="str">
        <x:v>Proposal for upgradation of AWC</x:v>
      </x:c>
      <x:c r="G645" s="26" t="n">
        <x:v>364</x:v>
      </x:c>
      <x:c r="H645" s="26" t="n">
        <x:v>24042</x:v>
      </x:c>
      <x:c r="I645" s="26"/>
      <x:c r="J645" s="26"/>
      <x:c r="K645" s="26"/>
      <x:c r="L645" s="26" t="n">
        <x:v>5</x:v>
      </x:c>
      <x:c r="M645" s="26" t="n">
        <x:v>5</x:v>
      </x:c>
      <x:c r="N645" s="26" t="n">
        <x:v>0</x:v>
      </x:c>
      <x:c r="O645" s="26" t="n">
        <x:f>MAX(M645-N645,0)</x:f>
        <x:v>5</x:v>
      </x:c>
      <x:c r="P645" s="38" t="n">
        <x:f>IFERROR(N645/M645,0)</x:f>
        <x:v>0</x:v>
      </x:c>
      <x:c r="Q645" s="26"/>
      <x:c r="R645" s="26"/>
      <x:c r="S645" s="26" t="str">
        <x:v>Pending Mapping</x:v>
      </x:c>
      <x:c r="T645" s="26"/>
      <x:c r="U645" s="26"/>
      <x:c r="V645" s="26"/>
      <x:c r="W645" s="32"/>
      <x:c r="X645" s="27" t="b">
        <x:v>1</x:v>
      </x:c>
      <x:c r="Y645" s="34" t="n">
        <x:v>46218.510775462964</x:v>
      </x:c>
      <x:c r="Z645" s="26"/>
      <x:c r="AA645" s="26" t="str"/>
      <x:c r="AB645" s="26" t="str">
        <x:v>Activity name/category not included in contribution response</x:v>
      </x:c>
    </x:row>
    <x:row r="646">
      <x:c r="A646" s="26" t="n">
        <x:v>643</x:v>
      </x:c>
      <x:c r="B646" s="26" t="n">
        <x:v>171</x:v>
      </x:c>
      <x:c r="C646" s="26" t="str">
        <x:v>Kumuram Bheem Asifabad</x:v>
      </x:c>
      <x:c r="D646" s="26" t="n">
        <x:v>6718</x:v>
      </x:c>
      <x:c r="E646" s="26" t="str">
        <x:v>PRJ-2026-0006718</x:v>
      </x:c>
      <x:c r="F646" s="26" t="str">
        <x:v>Proposal for upgradation of AWC</x:v>
      </x:c>
      <x:c r="G646" s="26" t="n">
        <x:v>365</x:v>
      </x:c>
      <x:c r="H646" s="26" t="n">
        <x:v>24043</x:v>
      </x:c>
      <x:c r="I646" s="26"/>
      <x:c r="J646" s="26"/>
      <x:c r="K646" s="26"/>
      <x:c r="L646" s="26" t="n">
        <x:v>15</x:v>
      </x:c>
      <x:c r="M646" s="26" t="n">
        <x:v>15</x:v>
      </x:c>
      <x:c r="N646" s="26" t="n">
        <x:v>0</x:v>
      </x:c>
      <x:c r="O646" s="26" t="n">
        <x:f>MAX(M646-N646,0)</x:f>
        <x:v>15</x:v>
      </x:c>
      <x:c r="P646" s="38" t="n">
        <x:f>IFERROR(N646/M646,0)</x:f>
        <x:v>0</x:v>
      </x:c>
      <x:c r="Q646" s="26"/>
      <x:c r="R646" s="26"/>
      <x:c r="S646" s="26" t="str">
        <x:v>Pending Mapping</x:v>
      </x:c>
      <x:c r="T646" s="26"/>
      <x:c r="U646" s="26"/>
      <x:c r="V646" s="26"/>
      <x:c r="W646" s="32"/>
      <x:c r="X646" s="27" t="b">
        <x:v>1</x:v>
      </x:c>
      <x:c r="Y646" s="34" t="n">
        <x:v>46218.510775462964</x:v>
      </x:c>
      <x:c r="Z646" s="26"/>
      <x:c r="AA646" s="26" t="str"/>
      <x:c r="AB646" s="26" t="str">
        <x:v>Activity name/category not included in contribution response</x:v>
      </x:c>
    </x:row>
    <x:row r="647">
      <x:c r="A647" s="26" t="n">
        <x:v>644</x:v>
      </x:c>
      <x:c r="B647" s="26" t="n">
        <x:v>171</x:v>
      </x:c>
      <x:c r="C647" s="26" t="str">
        <x:v>Kumuram Bheem Asifabad</x:v>
      </x:c>
      <x:c r="D647" s="26" t="n">
        <x:v>6718</x:v>
      </x:c>
      <x:c r="E647" s="26" t="str">
        <x:v>PRJ-2026-0006718</x:v>
      </x:c>
      <x:c r="F647" s="26" t="str">
        <x:v>Proposal for upgradation of AWC</x:v>
      </x:c>
      <x:c r="G647" s="26" t="n">
        <x:v>366</x:v>
      </x:c>
      <x:c r="H647" s="26" t="n">
        <x:v>24044</x:v>
      </x:c>
      <x:c r="I647" s="26"/>
      <x:c r="J647" s="26"/>
      <x:c r="K647" s="26"/>
      <x:c r="L647" s="26" t="n">
        <x:v>1</x:v>
      </x:c>
      <x:c r="M647" s="26" t="n">
        <x:v>1</x:v>
      </x:c>
      <x:c r="N647" s="26" t="n">
        <x:v>0</x:v>
      </x:c>
      <x:c r="O647" s="26" t="n">
        <x:f>MAX(M647-N647,0)</x:f>
        <x:v>1</x:v>
      </x:c>
      <x:c r="P647" s="38" t="n">
        <x:f>IFERROR(N647/M647,0)</x:f>
        <x:v>0</x:v>
      </x:c>
      <x:c r="Q647" s="26"/>
      <x:c r="R647" s="26"/>
      <x:c r="S647" s="26" t="str">
        <x:v>Pending Mapping</x:v>
      </x:c>
      <x:c r="T647" s="26"/>
      <x:c r="U647" s="26"/>
      <x:c r="V647" s="26"/>
      <x:c r="W647" s="32"/>
      <x:c r="X647" s="27" t="b">
        <x:v>1</x:v>
      </x:c>
      <x:c r="Y647" s="34" t="n">
        <x:v>46218.510775462964</x:v>
      </x:c>
      <x:c r="Z647" s="26"/>
      <x:c r="AA647" s="26" t="str"/>
      <x:c r="AB647" s="26" t="str">
        <x:v>Activity name/category not included in contribution response</x:v>
      </x:c>
    </x:row>
    <x:row r="648">
      <x:c r="A648" s="26" t="n">
        <x:v>645</x:v>
      </x:c>
      <x:c r="B648" s="26" t="n">
        <x:v>171</x:v>
      </x:c>
      <x:c r="C648" s="26" t="str">
        <x:v>Kumuram Bheem Asifabad</x:v>
      </x:c>
      <x:c r="D648" s="26" t="n">
        <x:v>6718</x:v>
      </x:c>
      <x:c r="E648" s="26" t="str">
        <x:v>PRJ-2026-0006718</x:v>
      </x:c>
      <x:c r="F648" s="26" t="str">
        <x:v>Proposal for upgradation of AWC</x:v>
      </x:c>
      <x:c r="G648" s="26" t="n">
        <x:v>367</x:v>
      </x:c>
      <x:c r="H648" s="26" t="n">
        <x:v>24045</x:v>
      </x:c>
      <x:c r="I648" s="26"/>
      <x:c r="J648" s="26"/>
      <x:c r="K648" s="26"/>
      <x:c r="L648" s="26" t="n">
        <x:v>1</x:v>
      </x:c>
      <x:c r="M648" s="26" t="n">
        <x:v>1</x:v>
      </x:c>
      <x:c r="N648" s="26" t="n">
        <x:v>0</x:v>
      </x:c>
      <x:c r="O648" s="26" t="n">
        <x:f>MAX(M648-N648,0)</x:f>
        <x:v>1</x:v>
      </x:c>
      <x:c r="P648" s="38" t="n">
        <x:f>IFERROR(N648/M648,0)</x:f>
        <x:v>0</x:v>
      </x:c>
      <x:c r="Q648" s="26"/>
      <x:c r="R648" s="26"/>
      <x:c r="S648" s="26" t="str">
        <x:v>Pending Mapping</x:v>
      </x:c>
      <x:c r="T648" s="26"/>
      <x:c r="U648" s="26"/>
      <x:c r="V648" s="26"/>
      <x:c r="W648" s="32"/>
      <x:c r="X648" s="27" t="b">
        <x:v>1</x:v>
      </x:c>
      <x:c r="Y648" s="34" t="n">
        <x:v>46218.510775462964</x:v>
      </x:c>
      <x:c r="Z648" s="26"/>
      <x:c r="AA648" s="26" t="str"/>
      <x:c r="AB648" s="26" t="str">
        <x:v>Activity name/category not included in contribution response</x:v>
      </x:c>
    </x:row>
    <x:row r="649">
      <x:c r="A649" s="26" t="n">
        <x:v>646</x:v>
      </x:c>
      <x:c r="B649" s="26" t="n">
        <x:v>171</x:v>
      </x:c>
      <x:c r="C649" s="26" t="str">
        <x:v>Kumuram Bheem Asifabad</x:v>
      </x:c>
      <x:c r="D649" s="26" t="n">
        <x:v>6718</x:v>
      </x:c>
      <x:c r="E649" s="26" t="str">
        <x:v>PRJ-2026-0006718</x:v>
      </x:c>
      <x:c r="F649" s="26" t="str">
        <x:v>Proposal for upgradation of AWC</x:v>
      </x:c>
      <x:c r="G649" s="26" t="n">
        <x:v>368</x:v>
      </x:c>
      <x:c r="H649" s="26" t="n">
        <x:v>24046</x:v>
      </x:c>
      <x:c r="I649" s="26"/>
      <x:c r="J649" s="26"/>
      <x:c r="K649" s="26"/>
      <x:c r="L649" s="26" t="n">
        <x:v>1</x:v>
      </x:c>
      <x:c r="M649" s="26" t="n">
        <x:v>1</x:v>
      </x:c>
      <x:c r="N649" s="26" t="n">
        <x:v>0</x:v>
      </x:c>
      <x:c r="O649" s="26" t="n">
        <x:f>MAX(M649-N649,0)</x:f>
        <x:v>1</x:v>
      </x:c>
      <x:c r="P649" s="38" t="n">
        <x:f>IFERROR(N649/M649,0)</x:f>
        <x:v>0</x:v>
      </x:c>
      <x:c r="Q649" s="26"/>
      <x:c r="R649" s="26"/>
      <x:c r="S649" s="26" t="str">
        <x:v>Pending Mapping</x:v>
      </x:c>
      <x:c r="T649" s="26"/>
      <x:c r="U649" s="26"/>
      <x:c r="V649" s="26"/>
      <x:c r="W649" s="32"/>
      <x:c r="X649" s="27" t="b">
        <x:v>1</x:v>
      </x:c>
      <x:c r="Y649" s="34" t="n">
        <x:v>46218.510775462964</x:v>
      </x:c>
      <x:c r="Z649" s="26"/>
      <x:c r="AA649" s="26" t="str"/>
      <x:c r="AB649" s="26" t="str">
        <x:v>Activity name/category not included in contribution response</x:v>
      </x:c>
    </x:row>
    <x:row r="650">
      <x:c r="A650" s="26" t="n">
        <x:v>647</x:v>
      </x:c>
      <x:c r="B650" s="26" t="n">
        <x:v>172</x:v>
      </x:c>
      <x:c r="C650" s="26" t="str">
        <x:v>Kumuram Bheem Asifabad</x:v>
      </x:c>
      <x:c r="D650" s="26" t="n">
        <x:v>6727</x:v>
      </x:c>
      <x:c r="E650" s="26" t="str">
        <x:v>PRJ-2026-0006727</x:v>
      </x:c>
      <x:c r="F650" s="26" t="str">
        <x:v>AWC Upgradation</x:v>
      </x:c>
      <x:c r="G650" s="26" t="n">
        <x:v>369</x:v>
      </x:c>
      <x:c r="H650" s="26" t="n">
        <x:v>24102</x:v>
      </x:c>
      <x:c r="I650" s="26"/>
      <x:c r="J650" s="26"/>
      <x:c r="K650" s="26"/>
      <x:c r="L650" s="26" t="n">
        <x:v>1</x:v>
      </x:c>
      <x:c r="M650" s="26" t="n">
        <x:v>1</x:v>
      </x:c>
      <x:c r="N650" s="26" t="n">
        <x:v>0</x:v>
      </x:c>
      <x:c r="O650" s="26" t="n">
        <x:f>MAX(M650-N650,0)</x:f>
        <x:v>1</x:v>
      </x:c>
      <x:c r="P650" s="38" t="n">
        <x:f>IFERROR(N650/M650,0)</x:f>
        <x:v>0</x:v>
      </x:c>
      <x:c r="Q650" s="26"/>
      <x:c r="R650" s="26"/>
      <x:c r="S650" s="26" t="str">
        <x:v>Pending Mapping</x:v>
      </x:c>
      <x:c r="T650" s="26"/>
      <x:c r="U650" s="26"/>
      <x:c r="V650" s="26"/>
      <x:c r="W650" s="32"/>
      <x:c r="X650" s="27" t="b">
        <x:v>1</x:v>
      </x:c>
      <x:c r="Y650" s="34" t="n">
        <x:v>46218.51076388889</x:v>
      </x:c>
      <x:c r="Z650" s="26"/>
      <x:c r="AA650" s="26" t="str"/>
      <x:c r="AB650" s="26" t="str">
        <x:v>Activity name/category not included in contribution response</x:v>
      </x:c>
    </x:row>
    <x:row r="651">
      <x:c r="A651" s="26" t="n">
        <x:v>648</x:v>
      </x:c>
      <x:c r="B651" s="26" t="n">
        <x:v>172</x:v>
      </x:c>
      <x:c r="C651" s="26" t="str">
        <x:v>Kumuram Bheem Asifabad</x:v>
      </x:c>
      <x:c r="D651" s="26" t="n">
        <x:v>6727</x:v>
      </x:c>
      <x:c r="E651" s="26" t="str">
        <x:v>PRJ-2026-0006727</x:v>
      </x:c>
      <x:c r="F651" s="26" t="str">
        <x:v>AWC Upgradation</x:v>
      </x:c>
      <x:c r="G651" s="26" t="n">
        <x:v>370</x:v>
      </x:c>
      <x:c r="H651" s="26" t="n">
        <x:v>24103</x:v>
      </x:c>
      <x:c r="I651" s="26"/>
      <x:c r="J651" s="26"/>
      <x:c r="K651" s="26"/>
      <x:c r="L651" s="26" t="n">
        <x:v>5</x:v>
      </x:c>
      <x:c r="M651" s="26" t="n">
        <x:v>5</x:v>
      </x:c>
      <x:c r="N651" s="26" t="n">
        <x:v>0</x:v>
      </x:c>
      <x:c r="O651" s="26" t="n">
        <x:f>MAX(M651-N651,0)</x:f>
        <x:v>5</x:v>
      </x:c>
      <x:c r="P651" s="38" t="n">
        <x:f>IFERROR(N651/M651,0)</x:f>
        <x:v>0</x:v>
      </x:c>
      <x:c r="Q651" s="26"/>
      <x:c r="R651" s="26"/>
      <x:c r="S651" s="26" t="str">
        <x:v>Pending Mapping</x:v>
      </x:c>
      <x:c r="T651" s="26"/>
      <x:c r="U651" s="26"/>
      <x:c r="V651" s="26"/>
      <x:c r="W651" s="32"/>
      <x:c r="X651" s="27" t="b">
        <x:v>1</x:v>
      </x:c>
      <x:c r="Y651" s="34" t="n">
        <x:v>46218.51076388889</x:v>
      </x:c>
      <x:c r="Z651" s="26"/>
      <x:c r="AA651" s="26" t="str"/>
      <x:c r="AB651" s="26" t="str">
        <x:v>Activity name/category not included in contribution response</x:v>
      </x:c>
    </x:row>
    <x:row r="652">
      <x:c r="A652" s="26" t="n">
        <x:v>649</x:v>
      </x:c>
      <x:c r="B652" s="26" t="n">
        <x:v>172</x:v>
      </x:c>
      <x:c r="C652" s="26" t="str">
        <x:v>Kumuram Bheem Asifabad</x:v>
      </x:c>
      <x:c r="D652" s="26" t="n">
        <x:v>6727</x:v>
      </x:c>
      <x:c r="E652" s="26" t="str">
        <x:v>PRJ-2026-0006727</x:v>
      </x:c>
      <x:c r="F652" s="26" t="str">
        <x:v>AWC Upgradation</x:v>
      </x:c>
      <x:c r="G652" s="26" t="n">
        <x:v>371</x:v>
      </x:c>
      <x:c r="H652" s="26" t="n">
        <x:v>24104</x:v>
      </x:c>
      <x:c r="I652" s="26"/>
      <x:c r="J652" s="26"/>
      <x:c r="K652" s="26"/>
      <x:c r="L652" s="26" t="n">
        <x:v>2</x:v>
      </x:c>
      <x:c r="M652" s="26" t="n">
        <x:v>2</x:v>
      </x:c>
      <x:c r="N652" s="26" t="n">
        <x:v>0</x:v>
      </x:c>
      <x:c r="O652" s="26" t="n">
        <x:f>MAX(M652-N652,0)</x:f>
        <x:v>2</x:v>
      </x:c>
      <x:c r="P652" s="38" t="n">
        <x:f>IFERROR(N652/M652,0)</x:f>
        <x:v>0</x:v>
      </x:c>
      <x:c r="Q652" s="26"/>
      <x:c r="R652" s="26"/>
      <x:c r="S652" s="26" t="str">
        <x:v>Pending Mapping</x:v>
      </x:c>
      <x:c r="T652" s="26"/>
      <x:c r="U652" s="26"/>
      <x:c r="V652" s="26"/>
      <x:c r="W652" s="32"/>
      <x:c r="X652" s="27" t="b">
        <x:v>1</x:v>
      </x:c>
      <x:c r="Y652" s="34" t="n">
        <x:v>46218.51076388889</x:v>
      </x:c>
      <x:c r="Z652" s="26"/>
      <x:c r="AA652" s="26" t="str"/>
      <x:c r="AB652" s="26" t="str">
        <x:v>Activity name/category not included in contribution response</x:v>
      </x:c>
    </x:row>
    <x:row r="653">
      <x:c r="A653" s="26" t="n">
        <x:v>650</x:v>
      </x:c>
      <x:c r="B653" s="26" t="n">
        <x:v>172</x:v>
      </x:c>
      <x:c r="C653" s="26" t="str">
        <x:v>Kumuram Bheem Asifabad</x:v>
      </x:c>
      <x:c r="D653" s="26" t="n">
        <x:v>6727</x:v>
      </x:c>
      <x:c r="E653" s="26" t="str">
        <x:v>PRJ-2026-0006727</x:v>
      </x:c>
      <x:c r="F653" s="26" t="str">
        <x:v>AWC Upgradation</x:v>
      </x:c>
      <x:c r="G653" s="26" t="n">
        <x:v>372</x:v>
      </x:c>
      <x:c r="H653" s="26" t="n">
        <x:v>24105</x:v>
      </x:c>
      <x:c r="I653" s="26"/>
      <x:c r="J653" s="26"/>
      <x:c r="K653" s="26"/>
      <x:c r="L653" s="26" t="n">
        <x:v>1</x:v>
      </x:c>
      <x:c r="M653" s="26" t="n">
        <x:v>1</x:v>
      </x:c>
      <x:c r="N653" s="26" t="n">
        <x:v>0</x:v>
      </x:c>
      <x:c r="O653" s="26" t="n">
        <x:f>MAX(M653-N653,0)</x:f>
        <x:v>1</x:v>
      </x:c>
      <x:c r="P653" s="38" t="n">
        <x:f>IFERROR(N653/M653,0)</x:f>
        <x:v>0</x:v>
      </x:c>
      <x:c r="Q653" s="26"/>
      <x:c r="R653" s="26"/>
      <x:c r="S653" s="26" t="str">
        <x:v>Pending Mapping</x:v>
      </x:c>
      <x:c r="T653" s="26"/>
      <x:c r="U653" s="26"/>
      <x:c r="V653" s="26"/>
      <x:c r="W653" s="32"/>
      <x:c r="X653" s="27" t="b">
        <x:v>1</x:v>
      </x:c>
      <x:c r="Y653" s="34" t="n">
        <x:v>46218.51076388889</x:v>
      </x:c>
      <x:c r="Z653" s="26"/>
      <x:c r="AA653" s="26" t="str"/>
      <x:c r="AB653" s="26" t="str">
        <x:v>Activity name/category not included in contribution response</x:v>
      </x:c>
    </x:row>
    <x:row r="654">
      <x:c r="A654" s="26" t="n">
        <x:v>651</x:v>
      </x:c>
      <x:c r="B654" s="26" t="n">
        <x:v>174</x:v>
      </x:c>
      <x:c r="C654" s="26" t="str">
        <x:v>Kumuram Bheem Asifabad</x:v>
      </x:c>
      <x:c r="D654" s="26" t="n">
        <x:v>8217</x:v>
      </x:c>
      <x:c r="E654" s="26" t="str">
        <x:v>PRJ-2026-0008217</x:v>
      </x:c>
      <x:c r="F654" s="26" t="str">
        <x:v>Proposal for upgradation of anganwadi centre</x:v>
      </x:c>
      <x:c r="G654" s="26" t="n">
        <x:v>374</x:v>
      </x:c>
      <x:c r="H654" s="26" t="n">
        <x:v>30252</x:v>
      </x:c>
      <x:c r="I654" s="26"/>
      <x:c r="J654" s="26"/>
      <x:c r="K654" s="26"/>
      <x:c r="L654" s="26" t="n">
        <x:v>15</x:v>
      </x:c>
      <x:c r="M654" s="26" t="n">
        <x:v>15</x:v>
      </x:c>
      <x:c r="N654" s="26" t="n">
        <x:v>0</x:v>
      </x:c>
      <x:c r="O654" s="26" t="n">
        <x:f>MAX(M654-N654,0)</x:f>
        <x:v>15</x:v>
      </x:c>
      <x:c r="P654" s="38" t="n">
        <x:f>IFERROR(N654/M654,0)</x:f>
        <x:v>0</x:v>
      </x:c>
      <x:c r="Q654" s="26"/>
      <x:c r="R654" s="26"/>
      <x:c r="S654" s="26" t="str">
        <x:v>Pending Mapping</x:v>
      </x:c>
      <x:c r="T654" s="26"/>
      <x:c r="U654" s="26"/>
      <x:c r="V654" s="26"/>
      <x:c r="W654" s="32"/>
      <x:c r="X654" s="27" t="b">
        <x:v>1</x:v>
      </x:c>
      <x:c r="Y654" s="34" t="n">
        <x:v>46218.51075231482</x:v>
      </x:c>
      <x:c r="Z654" s="26"/>
      <x:c r="AA654" s="26" t="str"/>
      <x:c r="AB654" s="26" t="str">
        <x:v>Activity name/category not included in contribution response</x:v>
      </x:c>
    </x:row>
    <x:row r="655">
      <x:c r="A655" s="26" t="n">
        <x:v>652</x:v>
      </x:c>
      <x:c r="B655" s="26" t="n">
        <x:v>174</x:v>
      </x:c>
      <x:c r="C655" s="26" t="str">
        <x:v>Kumuram Bheem Asifabad</x:v>
      </x:c>
      <x:c r="D655" s="26" t="n">
        <x:v>8217</x:v>
      </x:c>
      <x:c r="E655" s="26" t="str">
        <x:v>PRJ-2026-0008217</x:v>
      </x:c>
      <x:c r="F655" s="26" t="str">
        <x:v>Proposal for upgradation of anganwadi centre</x:v>
      </x:c>
      <x:c r="G655" s="26" t="n">
        <x:v>375</x:v>
      </x:c>
      <x:c r="H655" s="26" t="n">
        <x:v>30253</x:v>
      </x:c>
      <x:c r="I655" s="26"/>
      <x:c r="J655" s="26"/>
      <x:c r="K655" s="26"/>
      <x:c r="L655" s="26" t="n">
        <x:v>1</x:v>
      </x:c>
      <x:c r="M655" s="26" t="n">
        <x:v>1</x:v>
      </x:c>
      <x:c r="N655" s="26" t="n">
        <x:v>0</x:v>
      </x:c>
      <x:c r="O655" s="26" t="n">
        <x:f>MAX(M655-N655,0)</x:f>
        <x:v>1</x:v>
      </x:c>
      <x:c r="P655" s="38" t="n">
        <x:f>IFERROR(N655/M655,0)</x:f>
        <x:v>0</x:v>
      </x:c>
      <x:c r="Q655" s="26"/>
      <x:c r="R655" s="26"/>
      <x:c r="S655" s="26" t="str">
        <x:v>Pending Mapping</x:v>
      </x:c>
      <x:c r="T655" s="26"/>
      <x:c r="U655" s="26"/>
      <x:c r="V655" s="26"/>
      <x:c r="W655" s="32"/>
      <x:c r="X655" s="27" t="b">
        <x:v>1</x:v>
      </x:c>
      <x:c r="Y655" s="34" t="n">
        <x:v>46218.51075231482</x:v>
      </x:c>
      <x:c r="Z655" s="26"/>
      <x:c r="AA655" s="26" t="str"/>
      <x:c r="AB655" s="26" t="str">
        <x:v>Activity name/category not included in contribution response</x:v>
      </x:c>
    </x:row>
    <x:row r="656">
      <x:c r="A656" s="26" t="n">
        <x:v>653</x:v>
      </x:c>
      <x:c r="B656" s="26" t="n">
        <x:v>174</x:v>
      </x:c>
      <x:c r="C656" s="26" t="str">
        <x:v>Kumuram Bheem Asifabad</x:v>
      </x:c>
      <x:c r="D656" s="26" t="n">
        <x:v>8217</x:v>
      </x:c>
      <x:c r="E656" s="26" t="str">
        <x:v>PRJ-2026-0008217</x:v>
      </x:c>
      <x:c r="F656" s="26" t="str">
        <x:v>Proposal for upgradation of anganwadi centre</x:v>
      </x:c>
      <x:c r="G656" s="26" t="n">
        <x:v>376</x:v>
      </x:c>
      <x:c r="H656" s="26" t="n">
        <x:v>30254</x:v>
      </x:c>
      <x:c r="I656" s="26"/>
      <x:c r="J656" s="26"/>
      <x:c r="K656" s="26"/>
      <x:c r="L656" s="26" t="n">
        <x:v>5</x:v>
      </x:c>
      <x:c r="M656" s="26" t="n">
        <x:v>5</x:v>
      </x:c>
      <x:c r="N656" s="26" t="n">
        <x:v>0</x:v>
      </x:c>
      <x:c r="O656" s="26" t="n">
        <x:f>MAX(M656-N656,0)</x:f>
        <x:v>5</x:v>
      </x:c>
      <x:c r="P656" s="38" t="n">
        <x:f>IFERROR(N656/M656,0)</x:f>
        <x:v>0</x:v>
      </x:c>
      <x:c r="Q656" s="26"/>
      <x:c r="R656" s="26"/>
      <x:c r="S656" s="26" t="str">
        <x:v>Pending Mapping</x:v>
      </x:c>
      <x:c r="T656" s="26"/>
      <x:c r="U656" s="26"/>
      <x:c r="V656" s="26"/>
      <x:c r="W656" s="32"/>
      <x:c r="X656" s="27" t="b">
        <x:v>1</x:v>
      </x:c>
      <x:c r="Y656" s="34" t="n">
        <x:v>46218.51075231482</x:v>
      </x:c>
      <x:c r="Z656" s="26"/>
      <x:c r="AA656" s="26" t="str"/>
      <x:c r="AB656" s="26" t="str">
        <x:v>Activity name/category not included in contribution response</x:v>
      </x:c>
    </x:row>
    <x:row r="657">
      <x:c r="A657" s="26" t="n">
        <x:v>654</x:v>
      </x:c>
      <x:c r="B657" s="26" t="n">
        <x:v>174</x:v>
      </x:c>
      <x:c r="C657" s="26" t="str">
        <x:v>Kumuram Bheem Asifabad</x:v>
      </x:c>
      <x:c r="D657" s="26" t="n">
        <x:v>8217</x:v>
      </x:c>
      <x:c r="E657" s="26" t="str">
        <x:v>PRJ-2026-0008217</x:v>
      </x:c>
      <x:c r="F657" s="26" t="str">
        <x:v>Proposal for upgradation of anganwadi centre</x:v>
      </x:c>
      <x:c r="G657" s="26" t="n">
        <x:v>377</x:v>
      </x:c>
      <x:c r="H657" s="26" t="n">
        <x:v>30255</x:v>
      </x:c>
      <x:c r="I657" s="26"/>
      <x:c r="J657" s="26"/>
      <x:c r="K657" s="26"/>
      <x:c r="L657" s="26" t="n">
        <x:v>1</x:v>
      </x:c>
      <x:c r="M657" s="26" t="n">
        <x:v>1</x:v>
      </x:c>
      <x:c r="N657" s="26" t="n">
        <x:v>0</x:v>
      </x:c>
      <x:c r="O657" s="26" t="n">
        <x:f>MAX(M657-N657,0)</x:f>
        <x:v>1</x:v>
      </x:c>
      <x:c r="P657" s="38" t="n">
        <x:f>IFERROR(N657/M657,0)</x:f>
        <x:v>0</x:v>
      </x:c>
      <x:c r="Q657" s="26"/>
      <x:c r="R657" s="26"/>
      <x:c r="S657" s="26" t="str">
        <x:v>Pending Mapping</x:v>
      </x:c>
      <x:c r="T657" s="26"/>
      <x:c r="U657" s="26"/>
      <x:c r="V657" s="26"/>
      <x:c r="W657" s="32"/>
      <x:c r="X657" s="27" t="b">
        <x:v>1</x:v>
      </x:c>
      <x:c r="Y657" s="34" t="n">
        <x:v>46218.51075231482</x:v>
      </x:c>
      <x:c r="Z657" s="26"/>
      <x:c r="AA657" s="26" t="str"/>
      <x:c r="AB657" s="26" t="str">
        <x:v>Activity name/category not included in contribution response</x:v>
      </x:c>
    </x:row>
    <x:row r="658">
      <x:c r="A658" s="26" t="n">
        <x:v>655</x:v>
      </x:c>
      <x:c r="B658" s="26" t="n">
        <x:v>174</x:v>
      </x:c>
      <x:c r="C658" s="26" t="str">
        <x:v>Kumuram Bheem Asifabad</x:v>
      </x:c>
      <x:c r="D658" s="26" t="n">
        <x:v>8217</x:v>
      </x:c>
      <x:c r="E658" s="26" t="str">
        <x:v>PRJ-2026-0008217</x:v>
      </x:c>
      <x:c r="F658" s="26" t="str">
        <x:v>Proposal for upgradation of anganwadi centre</x:v>
      </x:c>
      <x:c r="G658" s="26" t="n">
        <x:v>378</x:v>
      </x:c>
      <x:c r="H658" s="26" t="n">
        <x:v>30256</x:v>
      </x:c>
      <x:c r="I658" s="26"/>
      <x:c r="J658" s="26"/>
      <x:c r="K658" s="26"/>
      <x:c r="L658" s="26" t="n">
        <x:v>1</x:v>
      </x:c>
      <x:c r="M658" s="26" t="n">
        <x:v>1</x:v>
      </x:c>
      <x:c r="N658" s="26" t="n">
        <x:v>0</x:v>
      </x:c>
      <x:c r="O658" s="26" t="n">
        <x:f>MAX(M658-N658,0)</x:f>
        <x:v>1</x:v>
      </x:c>
      <x:c r="P658" s="38" t="n">
        <x:f>IFERROR(N658/M658,0)</x:f>
        <x:v>0</x:v>
      </x:c>
      <x:c r="Q658" s="26"/>
      <x:c r="R658" s="26"/>
      <x:c r="S658" s="26" t="str">
        <x:v>Pending Mapping</x:v>
      </x:c>
      <x:c r="T658" s="26"/>
      <x:c r="U658" s="26"/>
      <x:c r="V658" s="26"/>
      <x:c r="W658" s="32"/>
      <x:c r="X658" s="27" t="b">
        <x:v>1</x:v>
      </x:c>
      <x:c r="Y658" s="34" t="n">
        <x:v>46218.51075231482</x:v>
      </x:c>
      <x:c r="Z658" s="26"/>
      <x:c r="AA658" s="26" t="str"/>
      <x:c r="AB658" s="26" t="str">
        <x:v>Activity name/category not included in contribution response</x:v>
      </x:c>
    </x:row>
    <x:row r="659">
      <x:c r="A659" s="26" t="n">
        <x:v>656</x:v>
      </x:c>
      <x:c r="B659" s="26" t="n">
        <x:v>175</x:v>
      </x:c>
      <x:c r="C659" s="26" t="str">
        <x:v>Kumuram Bheem Asifabad</x:v>
      </x:c>
      <x:c r="D659" s="26" t="n">
        <x:v>8702</x:v>
      </x:c>
      <x:c r="E659" s="26" t="str">
        <x:v>PRJ-2026-0008702</x:v>
      </x:c>
      <x:c r="F659" s="26" t="str">
        <x:v>Proposal for Anganwadi centre upgradation</x:v>
      </x:c>
      <x:c r="G659" s="26" t="n">
        <x:v>379</x:v>
      </x:c>
      <x:c r="H659" s="26" t="n">
        <x:v>32377</x:v>
      </x:c>
      <x:c r="I659" s="26"/>
      <x:c r="J659" s="26"/>
      <x:c r="K659" s="26"/>
      <x:c r="L659" s="26" t="n">
        <x:v>15</x:v>
      </x:c>
      <x:c r="M659" s="26" t="n">
        <x:v>15</x:v>
      </x:c>
      <x:c r="N659" s="26" t="n">
        <x:v>0</x:v>
      </x:c>
      <x:c r="O659" s="26" t="n">
        <x:f>MAX(M659-N659,0)</x:f>
        <x:v>15</x:v>
      </x:c>
      <x:c r="P659" s="38" t="n">
        <x:f>IFERROR(N659/M659,0)</x:f>
        <x:v>0</x:v>
      </x:c>
      <x:c r="Q659" s="26"/>
      <x:c r="R659" s="26"/>
      <x:c r="S659" s="26" t="str">
        <x:v>Pending Mapping</x:v>
      </x:c>
      <x:c r="T659" s="26"/>
      <x:c r="U659" s="26"/>
      <x:c r="V659" s="26"/>
      <x:c r="W659" s="32"/>
      <x:c r="X659" s="27" t="b">
        <x:v>1</x:v>
      </x:c>
      <x:c r="Y659" s="34" t="n">
        <x:v>46218.51074074074</x:v>
      </x:c>
      <x:c r="Z659" s="26"/>
      <x:c r="AA659" s="26" t="str"/>
      <x:c r="AB659" s="26" t="str">
        <x:v>Activity name/category not included in contribution response</x:v>
      </x:c>
    </x:row>
    <x:row r="660">
      <x:c r="A660" s="26" t="n">
        <x:v>657</x:v>
      </x:c>
      <x:c r="B660" s="26" t="n">
        <x:v>175</x:v>
      </x:c>
      <x:c r="C660" s="26" t="str">
        <x:v>Kumuram Bheem Asifabad</x:v>
      </x:c>
      <x:c r="D660" s="26" t="n">
        <x:v>8702</x:v>
      </x:c>
      <x:c r="E660" s="26" t="str">
        <x:v>PRJ-2026-0008702</x:v>
      </x:c>
      <x:c r="F660" s="26" t="str">
        <x:v>Proposal for Anganwadi centre upgradation</x:v>
      </x:c>
      <x:c r="G660" s="26" t="n">
        <x:v>380</x:v>
      </x:c>
      <x:c r="H660" s="26" t="n">
        <x:v>32378</x:v>
      </x:c>
      <x:c r="I660" s="26"/>
      <x:c r="J660" s="26"/>
      <x:c r="K660" s="26"/>
      <x:c r="L660" s="26" t="n">
        <x:v>1</x:v>
      </x:c>
      <x:c r="M660" s="26" t="n">
        <x:v>1</x:v>
      </x:c>
      <x:c r="N660" s="26" t="n">
        <x:v>0</x:v>
      </x:c>
      <x:c r="O660" s="26" t="n">
        <x:f>MAX(M660-N660,0)</x:f>
        <x:v>1</x:v>
      </x:c>
      <x:c r="P660" s="38" t="n">
        <x:f>IFERROR(N660/M660,0)</x:f>
        <x:v>0</x:v>
      </x:c>
      <x:c r="Q660" s="26"/>
      <x:c r="R660" s="26"/>
      <x:c r="S660" s="26" t="str">
        <x:v>Pending Mapping</x:v>
      </x:c>
      <x:c r="T660" s="26"/>
      <x:c r="U660" s="26"/>
      <x:c r="V660" s="26"/>
      <x:c r="W660" s="32"/>
      <x:c r="X660" s="27" t="b">
        <x:v>1</x:v>
      </x:c>
      <x:c r="Y660" s="34" t="n">
        <x:v>46218.51074074074</x:v>
      </x:c>
      <x:c r="Z660" s="26"/>
      <x:c r="AA660" s="26" t="str"/>
      <x:c r="AB660" s="26" t="str">
        <x:v>Activity name/category not included in contribution response</x:v>
      </x:c>
    </x:row>
    <x:row r="661">
      <x:c r="A661" s="26" t="n">
        <x:v>658</x:v>
      </x:c>
      <x:c r="B661" s="26" t="n">
        <x:v>175</x:v>
      </x:c>
      <x:c r="C661" s="26" t="str">
        <x:v>Kumuram Bheem Asifabad</x:v>
      </x:c>
      <x:c r="D661" s="26" t="n">
        <x:v>8702</x:v>
      </x:c>
      <x:c r="E661" s="26" t="str">
        <x:v>PRJ-2026-0008702</x:v>
      </x:c>
      <x:c r="F661" s="26" t="str">
        <x:v>Proposal for Anganwadi centre upgradation</x:v>
      </x:c>
      <x:c r="G661" s="26" t="n">
        <x:v>381</x:v>
      </x:c>
      <x:c r="H661" s="26" t="n">
        <x:v>32379</x:v>
      </x:c>
      <x:c r="I661" s="26"/>
      <x:c r="J661" s="26"/>
      <x:c r="K661" s="26"/>
      <x:c r="L661" s="26" t="n">
        <x:v>1</x:v>
      </x:c>
      <x:c r="M661" s="26" t="n">
        <x:v>1</x:v>
      </x:c>
      <x:c r="N661" s="26" t="n">
        <x:v>0</x:v>
      </x:c>
      <x:c r="O661" s="26" t="n">
        <x:f>MAX(M661-N661,0)</x:f>
        <x:v>1</x:v>
      </x:c>
      <x:c r="P661" s="38" t="n">
        <x:f>IFERROR(N661/M661,0)</x:f>
        <x:v>0</x:v>
      </x:c>
      <x:c r="Q661" s="26"/>
      <x:c r="R661" s="26"/>
      <x:c r="S661" s="26" t="str">
        <x:v>Pending Mapping</x:v>
      </x:c>
      <x:c r="T661" s="26"/>
      <x:c r="U661" s="26"/>
      <x:c r="V661" s="26"/>
      <x:c r="W661" s="32"/>
      <x:c r="X661" s="27" t="b">
        <x:v>1</x:v>
      </x:c>
      <x:c r="Y661" s="34" t="n">
        <x:v>46218.51074074074</x:v>
      </x:c>
      <x:c r="Z661" s="26"/>
      <x:c r="AA661" s="26" t="str"/>
      <x:c r="AB661" s="26" t="str">
        <x:v>Activity name/category not included in contribution response</x:v>
      </x:c>
    </x:row>
    <x:row r="662">
      <x:c r="A662" s="26" t="n">
        <x:v>659</x:v>
      </x:c>
      <x:c r="B662" s="26" t="n">
        <x:v>175</x:v>
      </x:c>
      <x:c r="C662" s="26" t="str">
        <x:v>Kumuram Bheem Asifabad</x:v>
      </x:c>
      <x:c r="D662" s="26" t="n">
        <x:v>8702</x:v>
      </x:c>
      <x:c r="E662" s="26" t="str">
        <x:v>PRJ-2026-0008702</x:v>
      </x:c>
      <x:c r="F662" s="26" t="str">
        <x:v>Proposal for Anganwadi centre upgradation</x:v>
      </x:c>
      <x:c r="G662" s="26" t="n">
        <x:v>382</x:v>
      </x:c>
      <x:c r="H662" s="26" t="n">
        <x:v>32380</x:v>
      </x:c>
      <x:c r="I662" s="26"/>
      <x:c r="J662" s="26"/>
      <x:c r="K662" s="26"/>
      <x:c r="L662" s="26" t="n">
        <x:v>1</x:v>
      </x:c>
      <x:c r="M662" s="26" t="n">
        <x:v>1</x:v>
      </x:c>
      <x:c r="N662" s="26" t="n">
        <x:v>0</x:v>
      </x:c>
      <x:c r="O662" s="26" t="n">
        <x:f>MAX(M662-N662,0)</x:f>
        <x:v>1</x:v>
      </x:c>
      <x:c r="P662" s="38" t="n">
        <x:f>IFERROR(N662/M662,0)</x:f>
        <x:v>0</x:v>
      </x:c>
      <x:c r="Q662" s="26"/>
      <x:c r="R662" s="26"/>
      <x:c r="S662" s="26" t="str">
        <x:v>Pending Mapping</x:v>
      </x:c>
      <x:c r="T662" s="26"/>
      <x:c r="U662" s="26"/>
      <x:c r="V662" s="26"/>
      <x:c r="W662" s="32"/>
      <x:c r="X662" s="27" t="b">
        <x:v>1</x:v>
      </x:c>
      <x:c r="Y662" s="34" t="n">
        <x:v>46218.51074074074</x:v>
      </x:c>
      <x:c r="Z662" s="26"/>
      <x:c r="AA662" s="26" t="str"/>
      <x:c r="AB662" s="26" t="str">
        <x:v>Activity name/category not included in contribution response</x:v>
      </x:c>
    </x:row>
    <x:row r="663">
      <x:c r="A663" s="26" t="n">
        <x:v>660</x:v>
      </x:c>
      <x:c r="B663" s="26" t="n">
        <x:v>175</x:v>
      </x:c>
      <x:c r="C663" s="26" t="str">
        <x:v>Kumuram Bheem Asifabad</x:v>
      </x:c>
      <x:c r="D663" s="26" t="n">
        <x:v>8702</x:v>
      </x:c>
      <x:c r="E663" s="26" t="str">
        <x:v>PRJ-2026-0008702</x:v>
      </x:c>
      <x:c r="F663" s="26" t="str">
        <x:v>Proposal for Anganwadi centre upgradation</x:v>
      </x:c>
      <x:c r="G663" s="26" t="n">
        <x:v>383</x:v>
      </x:c>
      <x:c r="H663" s="26" t="n">
        <x:v>32381</x:v>
      </x:c>
      <x:c r="I663" s="26"/>
      <x:c r="J663" s="26"/>
      <x:c r="K663" s="26"/>
      <x:c r="L663" s="26" t="n">
        <x:v>5</x:v>
      </x:c>
      <x:c r="M663" s="26" t="n">
        <x:v>5</x:v>
      </x:c>
      <x:c r="N663" s="26" t="n">
        <x:v>0</x:v>
      </x:c>
      <x:c r="O663" s="26" t="n">
        <x:f>MAX(M663-N663,0)</x:f>
        <x:v>5</x:v>
      </x:c>
      <x:c r="P663" s="38" t="n">
        <x:f>IFERROR(N663/M663,0)</x:f>
        <x:v>0</x:v>
      </x:c>
      <x:c r="Q663" s="26"/>
      <x:c r="R663" s="26"/>
      <x:c r="S663" s="26" t="str">
        <x:v>Pending Mapping</x:v>
      </x:c>
      <x:c r="T663" s="26"/>
      <x:c r="U663" s="26"/>
      <x:c r="V663" s="26"/>
      <x:c r="W663" s="32"/>
      <x:c r="X663" s="27" t="b">
        <x:v>1</x:v>
      </x:c>
      <x:c r="Y663" s="34" t="n">
        <x:v>46218.51074074074</x:v>
      </x:c>
      <x:c r="Z663" s="26"/>
      <x:c r="AA663" s="26" t="str"/>
      <x:c r="AB663" s="26" t="str">
        <x:v>Activity name/category not included in contribution response</x:v>
      </x:c>
    </x:row>
    <x:row r="664">
      <x:c r="A664" s="26" t="n">
        <x:v>661</x:v>
      </x:c>
      <x:c r="B664" s="26" t="n">
        <x:v>176</x:v>
      </x:c>
      <x:c r="C664" s="26" t="str">
        <x:v>Kumuram Bheem Asifabad</x:v>
      </x:c>
      <x:c r="D664" s="26" t="n">
        <x:v>8770</x:v>
      </x:c>
      <x:c r="E664" s="26" t="str">
        <x:v>PRJ-2026-0008770</x:v>
      </x:c>
      <x:c r="F664" s="26" t="str">
        <x:v>Proposal for upgradation of Anganwadi centre</x:v>
      </x:c>
      <x:c r="G664" s="26" t="n">
        <x:v>384</x:v>
      </x:c>
      <x:c r="H664" s="26" t="n">
        <x:v>32699</x:v>
      </x:c>
      <x:c r="I664" s="26"/>
      <x:c r="J664" s="26"/>
      <x:c r="K664" s="26"/>
      <x:c r="L664" s="26" t="n">
        <x:v>15</x:v>
      </x:c>
      <x:c r="M664" s="26" t="n">
        <x:v>15</x:v>
      </x:c>
      <x:c r="N664" s="26" t="n">
        <x:v>0</x:v>
      </x:c>
      <x:c r="O664" s="26" t="n">
        <x:f>MAX(M664-N664,0)</x:f>
        <x:v>15</x:v>
      </x:c>
      <x:c r="P664" s="38" t="n">
        <x:f>IFERROR(N664/M664,0)</x:f>
        <x:v>0</x:v>
      </x:c>
      <x:c r="Q664" s="26"/>
      <x:c r="R664" s="26"/>
      <x:c r="S664" s="26" t="str">
        <x:v>Pending Mapping</x:v>
      </x:c>
      <x:c r="T664" s="26"/>
      <x:c r="U664" s="26"/>
      <x:c r="V664" s="26"/>
      <x:c r="W664" s="32"/>
      <x:c r="X664" s="27" t="b">
        <x:v>1</x:v>
      </x:c>
      <x:c r="Y664" s="34" t="n">
        <x:v>46218.51074074074</x:v>
      </x:c>
      <x:c r="Z664" s="26"/>
      <x:c r="AA664" s="26" t="str"/>
      <x:c r="AB664" s="26" t="str">
        <x:v>Activity name/category not included in contribution response</x:v>
      </x:c>
    </x:row>
    <x:row r="665">
      <x:c r="A665" s="26" t="n">
        <x:v>662</x:v>
      </x:c>
      <x:c r="B665" s="26" t="n">
        <x:v>176</x:v>
      </x:c>
      <x:c r="C665" s="26" t="str">
        <x:v>Kumuram Bheem Asifabad</x:v>
      </x:c>
      <x:c r="D665" s="26" t="n">
        <x:v>8770</x:v>
      </x:c>
      <x:c r="E665" s="26" t="str">
        <x:v>PRJ-2026-0008770</x:v>
      </x:c>
      <x:c r="F665" s="26" t="str">
        <x:v>Proposal for upgradation of Anganwadi centre</x:v>
      </x:c>
      <x:c r="G665" s="26" t="n">
        <x:v>385</x:v>
      </x:c>
      <x:c r="H665" s="26" t="n">
        <x:v>32700</x:v>
      </x:c>
      <x:c r="I665" s="26"/>
      <x:c r="J665" s="26"/>
      <x:c r="K665" s="26"/>
      <x:c r="L665" s="26" t="n">
        <x:v>1</x:v>
      </x:c>
      <x:c r="M665" s="26" t="n">
        <x:v>1</x:v>
      </x:c>
      <x:c r="N665" s="26" t="n">
        <x:v>0</x:v>
      </x:c>
      <x:c r="O665" s="26" t="n">
        <x:f>MAX(M665-N665,0)</x:f>
        <x:v>1</x:v>
      </x:c>
      <x:c r="P665" s="38" t="n">
        <x:f>IFERROR(N665/M665,0)</x:f>
        <x:v>0</x:v>
      </x:c>
      <x:c r="Q665" s="26"/>
      <x:c r="R665" s="26"/>
      <x:c r="S665" s="26" t="str">
        <x:v>Pending Mapping</x:v>
      </x:c>
      <x:c r="T665" s="26"/>
      <x:c r="U665" s="26"/>
      <x:c r="V665" s="26"/>
      <x:c r="W665" s="32"/>
      <x:c r="X665" s="27" t="b">
        <x:v>1</x:v>
      </x:c>
      <x:c r="Y665" s="34" t="n">
        <x:v>46218.51074074074</x:v>
      </x:c>
      <x:c r="Z665" s="26"/>
      <x:c r="AA665" s="26" t="str"/>
      <x:c r="AB665" s="26" t="str">
        <x:v>Activity name/category not included in contribution response</x:v>
      </x:c>
    </x:row>
    <x:row r="666">
      <x:c r="A666" s="26" t="n">
        <x:v>663</x:v>
      </x:c>
      <x:c r="B666" s="26" t="n">
        <x:v>176</x:v>
      </x:c>
      <x:c r="C666" s="26" t="str">
        <x:v>Kumuram Bheem Asifabad</x:v>
      </x:c>
      <x:c r="D666" s="26" t="n">
        <x:v>8770</x:v>
      </x:c>
      <x:c r="E666" s="26" t="str">
        <x:v>PRJ-2026-0008770</x:v>
      </x:c>
      <x:c r="F666" s="26" t="str">
        <x:v>Proposal for upgradation of Anganwadi centre</x:v>
      </x:c>
      <x:c r="G666" s="26" t="n">
        <x:v>386</x:v>
      </x:c>
      <x:c r="H666" s="26" t="n">
        <x:v>32701</x:v>
      </x:c>
      <x:c r="I666" s="26"/>
      <x:c r="J666" s="26"/>
      <x:c r="K666" s="26"/>
      <x:c r="L666" s="26" t="n">
        <x:v>1</x:v>
      </x:c>
      <x:c r="M666" s="26" t="n">
        <x:v>1</x:v>
      </x:c>
      <x:c r="N666" s="26" t="n">
        <x:v>0</x:v>
      </x:c>
      <x:c r="O666" s="26" t="n">
        <x:f>MAX(M666-N666,0)</x:f>
        <x:v>1</x:v>
      </x:c>
      <x:c r="P666" s="38" t="n">
        <x:f>IFERROR(N666/M666,0)</x:f>
        <x:v>0</x:v>
      </x:c>
      <x:c r="Q666" s="26"/>
      <x:c r="R666" s="26"/>
      <x:c r="S666" s="26" t="str">
        <x:v>Pending Mapping</x:v>
      </x:c>
      <x:c r="T666" s="26"/>
      <x:c r="U666" s="26"/>
      <x:c r="V666" s="26"/>
      <x:c r="W666" s="32"/>
      <x:c r="X666" s="27" t="b">
        <x:v>1</x:v>
      </x:c>
      <x:c r="Y666" s="34" t="n">
        <x:v>46218.51074074074</x:v>
      </x:c>
      <x:c r="Z666" s="26"/>
      <x:c r="AA666" s="26" t="str"/>
      <x:c r="AB666" s="26" t="str">
        <x:v>Activity name/category not included in contribution response</x:v>
      </x:c>
    </x:row>
    <x:row r="667">
      <x:c r="A667" s="26" t="n">
        <x:v>664</x:v>
      </x:c>
      <x:c r="B667" s="26" t="n">
        <x:v>176</x:v>
      </x:c>
      <x:c r="C667" s="26" t="str">
        <x:v>Kumuram Bheem Asifabad</x:v>
      </x:c>
      <x:c r="D667" s="26" t="n">
        <x:v>8770</x:v>
      </x:c>
      <x:c r="E667" s="26" t="str">
        <x:v>PRJ-2026-0008770</x:v>
      </x:c>
      <x:c r="F667" s="26" t="str">
        <x:v>Proposal for upgradation of Anganwadi centre</x:v>
      </x:c>
      <x:c r="G667" s="26" t="n">
        <x:v>387</x:v>
      </x:c>
      <x:c r="H667" s="26" t="n">
        <x:v>32702</x:v>
      </x:c>
      <x:c r="I667" s="26"/>
      <x:c r="J667" s="26"/>
      <x:c r="K667" s="26"/>
      <x:c r="L667" s="26" t="n">
        <x:v>1</x:v>
      </x:c>
      <x:c r="M667" s="26" t="n">
        <x:v>1</x:v>
      </x:c>
      <x:c r="N667" s="26" t="n">
        <x:v>0</x:v>
      </x:c>
      <x:c r="O667" s="26" t="n">
        <x:f>MAX(M667-N667,0)</x:f>
        <x:v>1</x:v>
      </x:c>
      <x:c r="P667" s="38" t="n">
        <x:f>IFERROR(N667/M667,0)</x:f>
        <x:v>0</x:v>
      </x:c>
      <x:c r="Q667" s="26"/>
      <x:c r="R667" s="26"/>
      <x:c r="S667" s="26" t="str">
        <x:v>Pending Mapping</x:v>
      </x:c>
      <x:c r="T667" s="26"/>
      <x:c r="U667" s="26"/>
      <x:c r="V667" s="26"/>
      <x:c r="W667" s="32"/>
      <x:c r="X667" s="27" t="b">
        <x:v>1</x:v>
      </x:c>
      <x:c r="Y667" s="34" t="n">
        <x:v>46218.51074074074</x:v>
      </x:c>
      <x:c r="Z667" s="26"/>
      <x:c r="AA667" s="26" t="str"/>
      <x:c r="AB667" s="26" t="str">
        <x:v>Activity name/category not included in contribution response</x:v>
      </x:c>
    </x:row>
    <x:row r="668">
      <x:c r="A668" s="26" t="n">
        <x:v>665</x:v>
      </x:c>
      <x:c r="B668" s="26" t="n">
        <x:v>176</x:v>
      </x:c>
      <x:c r="C668" s="26" t="str">
        <x:v>Kumuram Bheem Asifabad</x:v>
      </x:c>
      <x:c r="D668" s="26" t="n">
        <x:v>8770</x:v>
      </x:c>
      <x:c r="E668" s="26" t="str">
        <x:v>PRJ-2026-0008770</x:v>
      </x:c>
      <x:c r="F668" s="26" t="str">
        <x:v>Proposal for upgradation of Anganwadi centre</x:v>
      </x:c>
      <x:c r="G668" s="26" t="n">
        <x:v>388</x:v>
      </x:c>
      <x:c r="H668" s="26" t="n">
        <x:v>32703</x:v>
      </x:c>
      <x:c r="I668" s="26"/>
      <x:c r="J668" s="26"/>
      <x:c r="K668" s="26"/>
      <x:c r="L668" s="26" t="n">
        <x:v>5</x:v>
      </x:c>
      <x:c r="M668" s="26" t="n">
        <x:v>5</x:v>
      </x:c>
      <x:c r="N668" s="26" t="n">
        <x:v>0</x:v>
      </x:c>
      <x:c r="O668" s="26" t="n">
        <x:f>MAX(M668-N668,0)</x:f>
        <x:v>5</x:v>
      </x:c>
      <x:c r="P668" s="38" t="n">
        <x:f>IFERROR(N668/M668,0)</x:f>
        <x:v>0</x:v>
      </x:c>
      <x:c r="Q668" s="26"/>
      <x:c r="R668" s="26"/>
      <x:c r="S668" s="26" t="str">
        <x:v>Pending Mapping</x:v>
      </x:c>
      <x:c r="T668" s="26"/>
      <x:c r="U668" s="26"/>
      <x:c r="V668" s="26"/>
      <x:c r="W668" s="32"/>
      <x:c r="X668" s="27" t="b">
        <x:v>1</x:v>
      </x:c>
      <x:c r="Y668" s="34" t="n">
        <x:v>46218.51074074074</x:v>
      </x:c>
      <x:c r="Z668" s="26"/>
      <x:c r="AA668" s="26" t="str"/>
      <x:c r="AB668" s="26" t="str">
        <x:v>Activity name/category not included in contribution response</x:v>
      </x:c>
    </x:row>
    <x:row r="669">
      <x:c r="A669" s="26" t="n">
        <x:v>666</x:v>
      </x:c>
      <x:c r="B669" s="26" t="n">
        <x:v>177</x:v>
      </x:c>
      <x:c r="C669" s="26" t="str">
        <x:v>Kumuram Bheem Asifabad</x:v>
      </x:c>
      <x:c r="D669" s="26" t="n">
        <x:v>8926</x:v>
      </x:c>
      <x:c r="E669" s="26" t="str">
        <x:v>PRJ-2026-0008926</x:v>
      </x:c>
      <x:c r="F669" s="26" t="str">
        <x:v>Proposal for upgradation of Anganwadi centre</x:v>
      </x:c>
      <x:c r="G669" s="26" t="n">
        <x:v>389</x:v>
      </x:c>
      <x:c r="H669" s="26" t="n">
        <x:v>33371</x:v>
      </x:c>
      <x:c r="I669" s="26"/>
      <x:c r="J669" s="26"/>
      <x:c r="K669" s="26"/>
      <x:c r="L669" s="26" t="n">
        <x:v>15</x:v>
      </x:c>
      <x:c r="M669" s="26" t="n">
        <x:v>15</x:v>
      </x:c>
      <x:c r="N669" s="26" t="n">
        <x:v>0</x:v>
      </x:c>
      <x:c r="O669" s="26" t="n">
        <x:f>MAX(M669-N669,0)</x:f>
        <x:v>15</x:v>
      </x:c>
      <x:c r="P669" s="38" t="n">
        <x:f>IFERROR(N669/M669,0)</x:f>
        <x:v>0</x:v>
      </x:c>
      <x:c r="Q669" s="26"/>
      <x:c r="R669" s="26"/>
      <x:c r="S669" s="26" t="str">
        <x:v>Pending Mapping</x:v>
      </x:c>
      <x:c r="T669" s="26"/>
      <x:c r="U669" s="26"/>
      <x:c r="V669" s="26"/>
      <x:c r="W669" s="32"/>
      <x:c r="X669" s="27" t="b">
        <x:v>1</x:v>
      </x:c>
      <x:c r="Y669" s="34" t="n">
        <x:v>46218.510729166665</x:v>
      </x:c>
      <x:c r="Z669" s="26"/>
      <x:c r="AA669" s="26" t="str"/>
      <x:c r="AB669" s="26" t="str">
        <x:v>Activity name/category not included in contribution response</x:v>
      </x:c>
    </x:row>
    <x:row r="670">
      <x:c r="A670" s="26" t="n">
        <x:v>667</x:v>
      </x:c>
      <x:c r="B670" s="26" t="n">
        <x:v>177</x:v>
      </x:c>
      <x:c r="C670" s="26" t="str">
        <x:v>Kumuram Bheem Asifabad</x:v>
      </x:c>
      <x:c r="D670" s="26" t="n">
        <x:v>8926</x:v>
      </x:c>
      <x:c r="E670" s="26" t="str">
        <x:v>PRJ-2026-0008926</x:v>
      </x:c>
      <x:c r="F670" s="26" t="str">
        <x:v>Proposal for upgradation of Anganwadi centre</x:v>
      </x:c>
      <x:c r="G670" s="26" t="n">
        <x:v>390</x:v>
      </x:c>
      <x:c r="H670" s="26" t="n">
        <x:v>33372</x:v>
      </x:c>
      <x:c r="I670" s="26"/>
      <x:c r="J670" s="26"/>
      <x:c r="K670" s="26"/>
      <x:c r="L670" s="26" t="n">
        <x:v>1</x:v>
      </x:c>
      <x:c r="M670" s="26" t="n">
        <x:v>1</x:v>
      </x:c>
      <x:c r="N670" s="26" t="n">
        <x:v>0</x:v>
      </x:c>
      <x:c r="O670" s="26" t="n">
        <x:f>MAX(M670-N670,0)</x:f>
        <x:v>1</x:v>
      </x:c>
      <x:c r="P670" s="38" t="n">
        <x:f>IFERROR(N670/M670,0)</x:f>
        <x:v>0</x:v>
      </x:c>
      <x:c r="Q670" s="26"/>
      <x:c r="R670" s="26"/>
      <x:c r="S670" s="26" t="str">
        <x:v>Pending Mapping</x:v>
      </x:c>
      <x:c r="T670" s="26"/>
      <x:c r="U670" s="26"/>
      <x:c r="V670" s="26"/>
      <x:c r="W670" s="32"/>
      <x:c r="X670" s="27" t="b">
        <x:v>1</x:v>
      </x:c>
      <x:c r="Y670" s="34" t="n">
        <x:v>46218.510729166665</x:v>
      </x:c>
      <x:c r="Z670" s="26"/>
      <x:c r="AA670" s="26" t="str"/>
      <x:c r="AB670" s="26" t="str">
        <x:v>Activity name/category not included in contribution response</x:v>
      </x:c>
    </x:row>
    <x:row r="671">
      <x:c r="A671" s="26" t="n">
        <x:v>668</x:v>
      </x:c>
      <x:c r="B671" s="26" t="n">
        <x:v>177</x:v>
      </x:c>
      <x:c r="C671" s="26" t="str">
        <x:v>Kumuram Bheem Asifabad</x:v>
      </x:c>
      <x:c r="D671" s="26" t="n">
        <x:v>8926</x:v>
      </x:c>
      <x:c r="E671" s="26" t="str">
        <x:v>PRJ-2026-0008926</x:v>
      </x:c>
      <x:c r="F671" s="26" t="str">
        <x:v>Proposal for upgradation of Anganwadi centre</x:v>
      </x:c>
      <x:c r="G671" s="26" t="n">
        <x:v>391</x:v>
      </x:c>
      <x:c r="H671" s="26" t="n">
        <x:v>33373</x:v>
      </x:c>
      <x:c r="I671" s="26"/>
      <x:c r="J671" s="26"/>
      <x:c r="K671" s="26"/>
      <x:c r="L671" s="26" t="n">
        <x:v>5</x:v>
      </x:c>
      <x:c r="M671" s="26" t="n">
        <x:v>5</x:v>
      </x:c>
      <x:c r="N671" s="26" t="n">
        <x:v>0</x:v>
      </x:c>
      <x:c r="O671" s="26" t="n">
        <x:f>MAX(M671-N671,0)</x:f>
        <x:v>5</x:v>
      </x:c>
      <x:c r="P671" s="38" t="n">
        <x:f>IFERROR(N671/M671,0)</x:f>
        <x:v>0</x:v>
      </x:c>
      <x:c r="Q671" s="26"/>
      <x:c r="R671" s="26"/>
      <x:c r="S671" s="26" t="str">
        <x:v>Pending Mapping</x:v>
      </x:c>
      <x:c r="T671" s="26"/>
      <x:c r="U671" s="26"/>
      <x:c r="V671" s="26"/>
      <x:c r="W671" s="32"/>
      <x:c r="X671" s="27" t="b">
        <x:v>1</x:v>
      </x:c>
      <x:c r="Y671" s="34" t="n">
        <x:v>46218.510729166665</x:v>
      </x:c>
      <x:c r="Z671" s="26"/>
      <x:c r="AA671" s="26" t="str"/>
      <x:c r="AB671" s="26" t="str">
        <x:v>Activity name/category not included in contribution response</x:v>
      </x:c>
    </x:row>
    <x:row r="672">
      <x:c r="A672" s="26" t="n">
        <x:v>669</x:v>
      </x:c>
      <x:c r="B672" s="26" t="n">
        <x:v>177</x:v>
      </x:c>
      <x:c r="C672" s="26" t="str">
        <x:v>Kumuram Bheem Asifabad</x:v>
      </x:c>
      <x:c r="D672" s="26" t="n">
        <x:v>8926</x:v>
      </x:c>
      <x:c r="E672" s="26" t="str">
        <x:v>PRJ-2026-0008926</x:v>
      </x:c>
      <x:c r="F672" s="26" t="str">
        <x:v>Proposal for upgradation of Anganwadi centre</x:v>
      </x:c>
      <x:c r="G672" s="26" t="n">
        <x:v>392</x:v>
      </x:c>
      <x:c r="H672" s="26" t="n">
        <x:v>33374</x:v>
      </x:c>
      <x:c r="I672" s="26"/>
      <x:c r="J672" s="26"/>
      <x:c r="K672" s="26"/>
      <x:c r="L672" s="26" t="n">
        <x:v>1</x:v>
      </x:c>
      <x:c r="M672" s="26" t="n">
        <x:v>1</x:v>
      </x:c>
      <x:c r="N672" s="26" t="n">
        <x:v>0</x:v>
      </x:c>
      <x:c r="O672" s="26" t="n">
        <x:f>MAX(M672-N672,0)</x:f>
        <x:v>1</x:v>
      </x:c>
      <x:c r="P672" s="38" t="n">
        <x:f>IFERROR(N672/M672,0)</x:f>
        <x:v>0</x:v>
      </x:c>
      <x:c r="Q672" s="26"/>
      <x:c r="R672" s="26"/>
      <x:c r="S672" s="26" t="str">
        <x:v>Pending Mapping</x:v>
      </x:c>
      <x:c r="T672" s="26"/>
      <x:c r="U672" s="26"/>
      <x:c r="V672" s="26"/>
      <x:c r="W672" s="32"/>
      <x:c r="X672" s="27" t="b">
        <x:v>1</x:v>
      </x:c>
      <x:c r="Y672" s="34" t="n">
        <x:v>46218.510729166665</x:v>
      </x:c>
      <x:c r="Z672" s="26"/>
      <x:c r="AA672" s="26" t="str"/>
      <x:c r="AB672" s="26" t="str">
        <x:v>Activity name/category not included in contribution response</x:v>
      </x:c>
    </x:row>
    <x:row r="673">
      <x:c r="A673" s="26" t="n">
        <x:v>670</x:v>
      </x:c>
      <x:c r="B673" s="26" t="n">
        <x:v>177</x:v>
      </x:c>
      <x:c r="C673" s="26" t="str">
        <x:v>Kumuram Bheem Asifabad</x:v>
      </x:c>
      <x:c r="D673" s="26" t="n">
        <x:v>8926</x:v>
      </x:c>
      <x:c r="E673" s="26" t="str">
        <x:v>PRJ-2026-0008926</x:v>
      </x:c>
      <x:c r="F673" s="26" t="str">
        <x:v>Proposal for upgradation of Anganwadi centre</x:v>
      </x:c>
      <x:c r="G673" s="26" t="n">
        <x:v>393</x:v>
      </x:c>
      <x:c r="H673" s="26" t="n">
        <x:v>33375</x:v>
      </x:c>
      <x:c r="I673" s="26"/>
      <x:c r="J673" s="26"/>
      <x:c r="K673" s="26"/>
      <x:c r="L673" s="26" t="n">
        <x:v>1</x:v>
      </x:c>
      <x:c r="M673" s="26" t="n">
        <x:v>1</x:v>
      </x:c>
      <x:c r="N673" s="26" t="n">
        <x:v>0</x:v>
      </x:c>
      <x:c r="O673" s="26" t="n">
        <x:f>MAX(M673-N673,0)</x:f>
        <x:v>1</x:v>
      </x:c>
      <x:c r="P673" s="38" t="n">
        <x:f>IFERROR(N673/M673,0)</x:f>
        <x:v>0</x:v>
      </x:c>
      <x:c r="Q673" s="26"/>
      <x:c r="R673" s="26"/>
      <x:c r="S673" s="26" t="str">
        <x:v>Pending Mapping</x:v>
      </x:c>
      <x:c r="T673" s="26"/>
      <x:c r="U673" s="26"/>
      <x:c r="V673" s="26"/>
      <x:c r="W673" s="32"/>
      <x:c r="X673" s="27" t="b">
        <x:v>1</x:v>
      </x:c>
      <x:c r="Y673" s="34" t="n">
        <x:v>46218.510729166665</x:v>
      </x:c>
      <x:c r="Z673" s="26"/>
      <x:c r="AA673" s="26" t="str"/>
      <x:c r="AB673" s="26" t="str">
        <x:v>Activity name/category not included in contribution response</x:v>
      </x:c>
    </x:row>
    <x:row r="674">
      <x:c r="A674" s="26" t="n">
        <x:v>671</x:v>
      </x:c>
      <x:c r="B674" s="26" t="n">
        <x:v>178</x:v>
      </x:c>
      <x:c r="C674" s="26" t="str">
        <x:v>Kumuram Bheem Asifabad</x:v>
      </x:c>
      <x:c r="D674" s="26" t="n">
        <x:v>9007</x:v>
      </x:c>
      <x:c r="E674" s="26" t="str">
        <x:v>PRJ-2026-0009007</x:v>
      </x:c>
      <x:c r="F674" s="26" t="str">
        <x:v>Proposal for upgradation of Anganwadi centre</x:v>
      </x:c>
      <x:c r="G674" s="26" t="n">
        <x:v>394</x:v>
      </x:c>
      <x:c r="H674" s="26" t="n">
        <x:v>33712</x:v>
      </x:c>
      <x:c r="I674" s="26"/>
      <x:c r="J674" s="26"/>
      <x:c r="K674" s="26"/>
      <x:c r="L674" s="26" t="n">
        <x:v>1</x:v>
      </x:c>
      <x:c r="M674" s="26" t="n">
        <x:v>1</x:v>
      </x:c>
      <x:c r="N674" s="26" t="n">
        <x:v>0</x:v>
      </x:c>
      <x:c r="O674" s="26" t="n">
        <x:f>MAX(M674-N674,0)</x:f>
        <x:v>1</x:v>
      </x:c>
      <x:c r="P674" s="38" t="n">
        <x:f>IFERROR(N674/M674,0)</x:f>
        <x:v>0</x:v>
      </x:c>
      <x:c r="Q674" s="26"/>
      <x:c r="R674" s="26"/>
      <x:c r="S674" s="26" t="str">
        <x:v>Pending Mapping</x:v>
      </x:c>
      <x:c r="T674" s="26"/>
      <x:c r="U674" s="26"/>
      <x:c r="V674" s="26"/>
      <x:c r="W674" s="32"/>
      <x:c r="X674" s="27" t="b">
        <x:v>1</x:v>
      </x:c>
      <x:c r="Y674" s="34" t="n">
        <x:v>46218.510717592595</x:v>
      </x:c>
      <x:c r="Z674" s="26"/>
      <x:c r="AA674" s="26" t="str"/>
      <x:c r="AB674" s="26" t="str">
        <x:v>Activity name/category not included in contribution response</x:v>
      </x:c>
    </x:row>
    <x:row r="675">
      <x:c r="A675" s="26" t="n">
        <x:v>672</x:v>
      </x:c>
      <x:c r="B675" s="26" t="n">
        <x:v>178</x:v>
      </x:c>
      <x:c r="C675" s="26" t="str">
        <x:v>Kumuram Bheem Asifabad</x:v>
      </x:c>
      <x:c r="D675" s="26" t="n">
        <x:v>9007</x:v>
      </x:c>
      <x:c r="E675" s="26" t="str">
        <x:v>PRJ-2026-0009007</x:v>
      </x:c>
      <x:c r="F675" s="26" t="str">
        <x:v>Proposal for upgradation of Anganwadi centre</x:v>
      </x:c>
      <x:c r="G675" s="26" t="n">
        <x:v>395</x:v>
      </x:c>
      <x:c r="H675" s="26" t="n">
        <x:v>33713</x:v>
      </x:c>
      <x:c r="I675" s="26"/>
      <x:c r="J675" s="26"/>
      <x:c r="K675" s="26"/>
      <x:c r="L675" s="26" t="n">
        <x:v>1</x:v>
      </x:c>
      <x:c r="M675" s="26" t="n">
        <x:v>1</x:v>
      </x:c>
      <x:c r="N675" s="26" t="n">
        <x:v>0</x:v>
      </x:c>
      <x:c r="O675" s="26" t="n">
        <x:f>MAX(M675-N675,0)</x:f>
        <x:v>1</x:v>
      </x:c>
      <x:c r="P675" s="38" t="n">
        <x:f>IFERROR(N675/M675,0)</x:f>
        <x:v>0</x:v>
      </x:c>
      <x:c r="Q675" s="26"/>
      <x:c r="R675" s="26"/>
      <x:c r="S675" s="26" t="str">
        <x:v>Pending Mapping</x:v>
      </x:c>
      <x:c r="T675" s="26"/>
      <x:c r="U675" s="26"/>
      <x:c r="V675" s="26"/>
      <x:c r="W675" s="32"/>
      <x:c r="X675" s="27" t="b">
        <x:v>1</x:v>
      </x:c>
      <x:c r="Y675" s="34" t="n">
        <x:v>46218.510717592595</x:v>
      </x:c>
      <x:c r="Z675" s="26"/>
      <x:c r="AA675" s="26" t="str"/>
      <x:c r="AB675" s="26" t="str">
        <x:v>Activity name/category not included in contribution response</x:v>
      </x:c>
    </x:row>
    <x:row r="676">
      <x:c r="A676" s="26" t="n">
        <x:v>673</x:v>
      </x:c>
      <x:c r="B676" s="26" t="n">
        <x:v>178</x:v>
      </x:c>
      <x:c r="C676" s="26" t="str">
        <x:v>Kumuram Bheem Asifabad</x:v>
      </x:c>
      <x:c r="D676" s="26" t="n">
        <x:v>9007</x:v>
      </x:c>
      <x:c r="E676" s="26" t="str">
        <x:v>PRJ-2026-0009007</x:v>
      </x:c>
      <x:c r="F676" s="26" t="str">
        <x:v>Proposal for upgradation of Anganwadi centre</x:v>
      </x:c>
      <x:c r="G676" s="26" t="n">
        <x:v>396</x:v>
      </x:c>
      <x:c r="H676" s="26" t="n">
        <x:v>33714</x:v>
      </x:c>
      <x:c r="I676" s="26"/>
      <x:c r="J676" s="26"/>
      <x:c r="K676" s="26"/>
      <x:c r="L676" s="26" t="n">
        <x:v>1</x:v>
      </x:c>
      <x:c r="M676" s="26" t="n">
        <x:v>1</x:v>
      </x:c>
      <x:c r="N676" s="26" t="n">
        <x:v>0</x:v>
      </x:c>
      <x:c r="O676" s="26" t="n">
        <x:f>MAX(M676-N676,0)</x:f>
        <x:v>1</x:v>
      </x:c>
      <x:c r="P676" s="38" t="n">
        <x:f>IFERROR(N676/M676,0)</x:f>
        <x:v>0</x:v>
      </x:c>
      <x:c r="Q676" s="26"/>
      <x:c r="R676" s="26"/>
      <x:c r="S676" s="26" t="str">
        <x:v>Pending Mapping</x:v>
      </x:c>
      <x:c r="T676" s="26"/>
      <x:c r="U676" s="26"/>
      <x:c r="V676" s="26"/>
      <x:c r="W676" s="32"/>
      <x:c r="X676" s="27" t="b">
        <x:v>1</x:v>
      </x:c>
      <x:c r="Y676" s="34" t="n">
        <x:v>46218.510717592595</x:v>
      </x:c>
      <x:c r="Z676" s="26"/>
      <x:c r="AA676" s="26" t="str"/>
      <x:c r="AB676" s="26" t="str">
        <x:v>Activity name/category not included in contribution response</x:v>
      </x:c>
    </x:row>
    <x:row r="677">
      <x:c r="A677" s="26" t="n">
        <x:v>674</x:v>
      </x:c>
      <x:c r="B677" s="26" t="n">
        <x:v>178</x:v>
      </x:c>
      <x:c r="C677" s="26" t="str">
        <x:v>Kumuram Bheem Asifabad</x:v>
      </x:c>
      <x:c r="D677" s="26" t="n">
        <x:v>9007</x:v>
      </x:c>
      <x:c r="E677" s="26" t="str">
        <x:v>PRJ-2026-0009007</x:v>
      </x:c>
      <x:c r="F677" s="26" t="str">
        <x:v>Proposal for upgradation of Anganwadi centre</x:v>
      </x:c>
      <x:c r="G677" s="26" t="n">
        <x:v>397</x:v>
      </x:c>
      <x:c r="H677" s="26" t="n">
        <x:v>33715</x:v>
      </x:c>
      <x:c r="I677" s="26"/>
      <x:c r="J677" s="26"/>
      <x:c r="K677" s="26"/>
      <x:c r="L677" s="26" t="n">
        <x:v>1</x:v>
      </x:c>
      <x:c r="M677" s="26" t="n">
        <x:v>1</x:v>
      </x:c>
      <x:c r="N677" s="26" t="n">
        <x:v>0</x:v>
      </x:c>
      <x:c r="O677" s="26" t="n">
        <x:f>MAX(M677-N677,0)</x:f>
        <x:v>1</x:v>
      </x:c>
      <x:c r="P677" s="38" t="n">
        <x:f>IFERROR(N677/M677,0)</x:f>
        <x:v>0</x:v>
      </x:c>
      <x:c r="Q677" s="26"/>
      <x:c r="R677" s="26"/>
      <x:c r="S677" s="26" t="str">
        <x:v>Pending Mapping</x:v>
      </x:c>
      <x:c r="T677" s="26"/>
      <x:c r="U677" s="26"/>
      <x:c r="V677" s="26"/>
      <x:c r="W677" s="32"/>
      <x:c r="X677" s="27" t="b">
        <x:v>1</x:v>
      </x:c>
      <x:c r="Y677" s="34" t="n">
        <x:v>46218.510717592595</x:v>
      </x:c>
      <x:c r="Z677" s="26"/>
      <x:c r="AA677" s="26" t="str"/>
      <x:c r="AB677" s="26" t="str">
        <x:v>Activity name/category not included in contribution response</x:v>
      </x:c>
    </x:row>
    <x:row r="678">
      <x:c r="A678" s="26" t="n">
        <x:v>675</x:v>
      </x:c>
      <x:c r="B678" s="26" t="n">
        <x:v>178</x:v>
      </x:c>
      <x:c r="C678" s="26" t="str">
        <x:v>Kumuram Bheem Asifabad</x:v>
      </x:c>
      <x:c r="D678" s="26" t="n">
        <x:v>9007</x:v>
      </x:c>
      <x:c r="E678" s="26" t="str">
        <x:v>PRJ-2026-0009007</x:v>
      </x:c>
      <x:c r="F678" s="26" t="str">
        <x:v>Proposal for upgradation of Anganwadi centre</x:v>
      </x:c>
      <x:c r="G678" s="26" t="n">
        <x:v>398</x:v>
      </x:c>
      <x:c r="H678" s="26" t="n">
        <x:v>33716</x:v>
      </x:c>
      <x:c r="I678" s="26"/>
      <x:c r="J678" s="26"/>
      <x:c r="K678" s="26"/>
      <x:c r="L678" s="26" t="n">
        <x:v>15</x:v>
      </x:c>
      <x:c r="M678" s="26" t="n">
        <x:v>15</x:v>
      </x:c>
      <x:c r="N678" s="26" t="n">
        <x:v>0</x:v>
      </x:c>
      <x:c r="O678" s="26" t="n">
        <x:f>MAX(M678-N678,0)</x:f>
        <x:v>15</x:v>
      </x:c>
      <x:c r="P678" s="38" t="n">
        <x:f>IFERROR(N678/M678,0)</x:f>
        <x:v>0</x:v>
      </x:c>
      <x:c r="Q678" s="26"/>
      <x:c r="R678" s="26"/>
      <x:c r="S678" s="26" t="str">
        <x:v>Pending Mapping</x:v>
      </x:c>
      <x:c r="T678" s="26"/>
      <x:c r="U678" s="26"/>
      <x:c r="V678" s="26"/>
      <x:c r="W678" s="32"/>
      <x:c r="X678" s="27" t="b">
        <x:v>1</x:v>
      </x:c>
      <x:c r="Y678" s="34" t="n">
        <x:v>46218.510717592595</x:v>
      </x:c>
      <x:c r="Z678" s="26"/>
      <x:c r="AA678" s="26" t="str"/>
      <x:c r="AB678" s="26" t="str">
        <x:v>Activity name/category not included in contribution response</x:v>
      </x:c>
    </x:row>
    <x:row r="679">
      <x:c r="A679" s="26" t="n">
        <x:v>676</x:v>
      </x:c>
      <x:c r="B679" s="26" t="n">
        <x:v>179</x:v>
      </x:c>
      <x:c r="C679" s="26" t="str">
        <x:v>Kumuram Bheem Asifabad</x:v>
      </x:c>
      <x:c r="D679" s="26" t="n">
        <x:v>9085</x:v>
      </x:c>
      <x:c r="E679" s="26" t="str">
        <x:v>PRJ-2026-0009085</x:v>
      </x:c>
      <x:c r="F679" s="26" t="str">
        <x:v>Proposal for upgradation of Anganwadi centre</x:v>
      </x:c>
      <x:c r="G679" s="26" t="n">
        <x:v>399</x:v>
      </x:c>
      <x:c r="H679" s="26" t="n">
        <x:v>34056</x:v>
      </x:c>
      <x:c r="I679" s="26"/>
      <x:c r="J679" s="26"/>
      <x:c r="K679" s="26"/>
      <x:c r="L679" s="26" t="n">
        <x:v>1</x:v>
      </x:c>
      <x:c r="M679" s="26" t="n">
        <x:v>1</x:v>
      </x:c>
      <x:c r="N679" s="26" t="n">
        <x:v>0</x:v>
      </x:c>
      <x:c r="O679" s="26" t="n">
        <x:f>MAX(M679-N679,0)</x:f>
        <x:v>1</x:v>
      </x:c>
      <x:c r="P679" s="38" t="n">
        <x:f>IFERROR(N679/M679,0)</x:f>
        <x:v>0</x:v>
      </x:c>
      <x:c r="Q679" s="26"/>
      <x:c r="R679" s="26"/>
      <x:c r="S679" s="26" t="str">
        <x:v>Pending Mapping</x:v>
      </x:c>
      <x:c r="T679" s="26"/>
      <x:c r="U679" s="26"/>
      <x:c r="V679" s="26"/>
      <x:c r="W679" s="32"/>
      <x:c r="X679" s="27" t="b">
        <x:v>1</x:v>
      </x:c>
      <x:c r="Y679" s="34" t="n">
        <x:v>46218.51070601852</x:v>
      </x:c>
      <x:c r="Z679" s="26"/>
      <x:c r="AA679" s="26" t="str"/>
      <x:c r="AB679" s="26" t="str">
        <x:v>Activity name/category not included in contribution response</x:v>
      </x:c>
    </x:row>
    <x:row r="680">
      <x:c r="A680" s="26" t="n">
        <x:v>677</x:v>
      </x:c>
      <x:c r="B680" s="26" t="n">
        <x:v>179</x:v>
      </x:c>
      <x:c r="C680" s="26" t="str">
        <x:v>Kumuram Bheem Asifabad</x:v>
      </x:c>
      <x:c r="D680" s="26" t="n">
        <x:v>9085</x:v>
      </x:c>
      <x:c r="E680" s="26" t="str">
        <x:v>PRJ-2026-0009085</x:v>
      </x:c>
      <x:c r="F680" s="26" t="str">
        <x:v>Proposal for upgradation of Anganwadi centre</x:v>
      </x:c>
      <x:c r="G680" s="26" t="n">
        <x:v>400</x:v>
      </x:c>
      <x:c r="H680" s="26" t="n">
        <x:v>34057</x:v>
      </x:c>
      <x:c r="I680" s="26"/>
      <x:c r="J680" s="26"/>
      <x:c r="K680" s="26"/>
      <x:c r="L680" s="26" t="n">
        <x:v>5</x:v>
      </x:c>
      <x:c r="M680" s="26" t="n">
        <x:v>5</x:v>
      </x:c>
      <x:c r="N680" s="26" t="n">
        <x:v>0</x:v>
      </x:c>
      <x:c r="O680" s="26" t="n">
        <x:f>MAX(M680-N680,0)</x:f>
        <x:v>5</x:v>
      </x:c>
      <x:c r="P680" s="38" t="n">
        <x:f>IFERROR(N680/M680,0)</x:f>
        <x:v>0</x:v>
      </x:c>
      <x:c r="Q680" s="26"/>
      <x:c r="R680" s="26"/>
      <x:c r="S680" s="26" t="str">
        <x:v>Pending Mapping</x:v>
      </x:c>
      <x:c r="T680" s="26"/>
      <x:c r="U680" s="26"/>
      <x:c r="V680" s="26"/>
      <x:c r="W680" s="32"/>
      <x:c r="X680" s="27" t="b">
        <x:v>1</x:v>
      </x:c>
      <x:c r="Y680" s="34" t="n">
        <x:v>46218.51070601852</x:v>
      </x:c>
      <x:c r="Z680" s="26"/>
      <x:c r="AA680" s="26" t="str"/>
      <x:c r="AB680" s="26" t="str">
        <x:v>Activity name/category not included in contribution response</x:v>
      </x:c>
    </x:row>
    <x:row r="681">
      <x:c r="A681" s="26" t="n">
        <x:v>678</x:v>
      </x:c>
      <x:c r="B681" s="26" t="n">
        <x:v>179</x:v>
      </x:c>
      <x:c r="C681" s="26" t="str">
        <x:v>Kumuram Bheem Asifabad</x:v>
      </x:c>
      <x:c r="D681" s="26" t="n">
        <x:v>9085</x:v>
      </x:c>
      <x:c r="E681" s="26" t="str">
        <x:v>PRJ-2026-0009085</x:v>
      </x:c>
      <x:c r="F681" s="26" t="str">
        <x:v>Proposal for upgradation of Anganwadi centre</x:v>
      </x:c>
      <x:c r="G681" s="26" t="n">
        <x:v>401</x:v>
      </x:c>
      <x:c r="H681" s="26" t="n">
        <x:v>34058</x:v>
      </x:c>
      <x:c r="I681" s="26"/>
      <x:c r="J681" s="26"/>
      <x:c r="K681" s="26"/>
      <x:c r="L681" s="26" t="n">
        <x:v>1</x:v>
      </x:c>
      <x:c r="M681" s="26" t="n">
        <x:v>1</x:v>
      </x:c>
      <x:c r="N681" s="26" t="n">
        <x:v>0</x:v>
      </x:c>
      <x:c r="O681" s="26" t="n">
        <x:f>MAX(M681-N681,0)</x:f>
        <x:v>1</x:v>
      </x:c>
      <x:c r="P681" s="38" t="n">
        <x:f>IFERROR(N681/M681,0)</x:f>
        <x:v>0</x:v>
      </x:c>
      <x:c r="Q681" s="26"/>
      <x:c r="R681" s="26"/>
      <x:c r="S681" s="26" t="str">
        <x:v>Pending Mapping</x:v>
      </x:c>
      <x:c r="T681" s="26"/>
      <x:c r="U681" s="26"/>
      <x:c r="V681" s="26"/>
      <x:c r="W681" s="32"/>
      <x:c r="X681" s="27" t="b">
        <x:v>1</x:v>
      </x:c>
      <x:c r="Y681" s="34" t="n">
        <x:v>46218.51070601852</x:v>
      </x:c>
      <x:c r="Z681" s="26"/>
      <x:c r="AA681" s="26" t="str"/>
      <x:c r="AB681" s="26" t="str">
        <x:v>Activity name/category not included in contribution response</x:v>
      </x:c>
    </x:row>
    <x:row r="682">
      <x:c r="A682" s="26" t="n">
        <x:v>679</x:v>
      </x:c>
      <x:c r="B682" s="26" t="n">
        <x:v>179</x:v>
      </x:c>
      <x:c r="C682" s="26" t="str">
        <x:v>Kumuram Bheem Asifabad</x:v>
      </x:c>
      <x:c r="D682" s="26" t="n">
        <x:v>9085</x:v>
      </x:c>
      <x:c r="E682" s="26" t="str">
        <x:v>PRJ-2026-0009085</x:v>
      </x:c>
      <x:c r="F682" s="26" t="str">
        <x:v>Proposal for upgradation of Anganwadi centre</x:v>
      </x:c>
      <x:c r="G682" s="26" t="n">
        <x:v>402</x:v>
      </x:c>
      <x:c r="H682" s="26" t="n">
        <x:v>34059</x:v>
      </x:c>
      <x:c r="I682" s="26"/>
      <x:c r="J682" s="26"/>
      <x:c r="K682" s="26"/>
      <x:c r="L682" s="26" t="n">
        <x:v>1</x:v>
      </x:c>
      <x:c r="M682" s="26" t="n">
        <x:v>1</x:v>
      </x:c>
      <x:c r="N682" s="26" t="n">
        <x:v>0</x:v>
      </x:c>
      <x:c r="O682" s="26" t="n">
        <x:f>MAX(M682-N682,0)</x:f>
        <x:v>1</x:v>
      </x:c>
      <x:c r="P682" s="38" t="n">
        <x:f>IFERROR(N682/M682,0)</x:f>
        <x:v>0</x:v>
      </x:c>
      <x:c r="Q682" s="26"/>
      <x:c r="R682" s="26"/>
      <x:c r="S682" s="26" t="str">
        <x:v>Pending Mapping</x:v>
      </x:c>
      <x:c r="T682" s="26"/>
      <x:c r="U682" s="26"/>
      <x:c r="V682" s="26"/>
      <x:c r="W682" s="32"/>
      <x:c r="X682" s="27" t="b">
        <x:v>1</x:v>
      </x:c>
      <x:c r="Y682" s="34" t="n">
        <x:v>46218.51070601852</x:v>
      </x:c>
      <x:c r="Z682" s="26"/>
      <x:c r="AA682" s="26" t="str"/>
      <x:c r="AB682" s="26" t="str">
        <x:v>Activity name/category not included in contribution response</x:v>
      </x:c>
    </x:row>
    <x:row r="683">
      <x:c r="A683" s="26" t="n">
        <x:v>680</x:v>
      </x:c>
      <x:c r="B683" s="26" t="n">
        <x:v>127</x:v>
      </x:c>
      <x:c r="C683" s="26" t="str">
        <x:v>Kumuram Bheem Asifabad</x:v>
      </x:c>
      <x:c r="D683" s="26" t="n">
        <x:v>6307</x:v>
      </x:c>
      <x:c r="E683" s="26" t="str">
        <x:v>PRJ-2026-0006307</x:v>
      </x:c>
      <x:c r="F683" s="26" t="str">
        <x:v>Rain Water Harvesting System : Water Filter Kitchen Construction : Poshan Vatika  kitchen Shelves : Gas stove, regulator : Solar Panel : Civil Repair : Toilet</x:v>
      </x:c>
      <x:c r="G683" s="26" t="n">
        <x:v>245</x:v>
      </x:c>
      <x:c r="H683" s="26" t="n">
        <x:v>22111</x:v>
      </x:c>
      <x:c r="I683" s="26"/>
      <x:c r="J683" s="26"/>
      <x:c r="K683" s="26"/>
      <x:c r="L683" s="26" t="n">
        <x:v>1</x:v>
      </x:c>
      <x:c r="M683" s="26" t="n">
        <x:v>1</x:v>
      </x:c>
      <x:c r="N683" s="26" t="n">
        <x:v>0</x:v>
      </x:c>
      <x:c r="O683" s="26" t="n">
        <x:f>MAX(M683-N683,0)</x:f>
        <x:v>1</x:v>
      </x:c>
      <x:c r="P683" s="38" t="n">
        <x:f>IFERROR(N683/M683,0)</x:f>
        <x:v>0</x:v>
      </x:c>
      <x:c r="Q683" s="26"/>
      <x:c r="R683" s="26"/>
      <x:c r="S683" s="26" t="str">
        <x:v>Pending Mapping</x:v>
      </x:c>
      <x:c r="T683" s="26"/>
      <x:c r="U683" s="26"/>
      <x:c r="V683" s="26"/>
      <x:c r="W683" s="32"/>
      <x:c r="X683" s="27" t="b">
        <x:v>1</x:v>
      </x:c>
      <x:c r="Y683" s="34" t="n">
        <x:v>46218.41637731482</x:v>
      </x:c>
      <x:c r="Z683" s="26"/>
      <x:c r="AA683" s="26" t="str"/>
      <x:c r="AB683" s="26" t="str">
        <x:v>Activity name/category not included in contribution response</x:v>
      </x:c>
    </x:row>
    <x:row r="684">
      <x:c r="A684" s="26" t="n">
        <x:v>681</x:v>
      </x:c>
      <x:c r="B684" s="26" t="n">
        <x:v>127</x:v>
      </x:c>
      <x:c r="C684" s="26" t="str">
        <x:v>Kumuram Bheem Asifabad</x:v>
      </x:c>
      <x:c r="D684" s="26" t="n">
        <x:v>6307</x:v>
      </x:c>
      <x:c r="E684" s="26" t="str">
        <x:v>PRJ-2026-0006307</x:v>
      </x:c>
      <x:c r="F684" s="26" t="str">
        <x:v>Rain Water Harvesting System : Water Filter Kitchen Construction : Poshan Vatika  kitchen Shelves : Gas stove, regulator : Solar Panel : Civil Repair : Toilet</x:v>
      </x:c>
      <x:c r="G684" s="26" t="n">
        <x:v>246</x:v>
      </x:c>
      <x:c r="H684" s="26" t="n">
        <x:v>22112</x:v>
      </x:c>
      <x:c r="I684" s="26"/>
      <x:c r="J684" s="26"/>
      <x:c r="K684" s="26"/>
      <x:c r="L684" s="26" t="n">
        <x:v>1</x:v>
      </x:c>
      <x:c r="M684" s="26" t="n">
        <x:v>1</x:v>
      </x:c>
      <x:c r="N684" s="26" t="n">
        <x:v>0</x:v>
      </x:c>
      <x:c r="O684" s="26" t="n">
        <x:f>MAX(M684-N684,0)</x:f>
        <x:v>1</x:v>
      </x:c>
      <x:c r="P684" s="38" t="n">
        <x:f>IFERROR(N684/M684,0)</x:f>
        <x:v>0</x:v>
      </x:c>
      <x:c r="Q684" s="26"/>
      <x:c r="R684" s="26"/>
      <x:c r="S684" s="26" t="str">
        <x:v>Pending Mapping</x:v>
      </x:c>
      <x:c r="T684" s="26"/>
      <x:c r="U684" s="26"/>
      <x:c r="V684" s="26"/>
      <x:c r="W684" s="32"/>
      <x:c r="X684" s="27" t="b">
        <x:v>1</x:v>
      </x:c>
      <x:c r="Y684" s="34" t="n">
        <x:v>46218.41637731482</x:v>
      </x:c>
      <x:c r="Z684" s="26"/>
      <x:c r="AA684" s="26" t="str"/>
      <x:c r="AB684" s="26" t="str">
        <x:v>Activity name/category not included in contribution response</x:v>
      </x:c>
    </x:row>
    <x:row r="685">
      <x:c r="A685" s="26" t="n">
        <x:v>682</x:v>
      </x:c>
      <x:c r="B685" s="26" t="n">
        <x:v>127</x:v>
      </x:c>
      <x:c r="C685" s="26" t="str">
        <x:v>Kumuram Bheem Asifabad</x:v>
      </x:c>
      <x:c r="D685" s="26" t="n">
        <x:v>6307</x:v>
      </x:c>
      <x:c r="E685" s="26" t="str">
        <x:v>PRJ-2026-0006307</x:v>
      </x:c>
      <x:c r="F685" s="26" t="str">
        <x:v>Rain Water Harvesting System : Water Filter Kitchen Construction : Poshan Vatika  kitchen Shelves : Gas stove, regulator : Solar Panel : Civil Repair : Toilet</x:v>
      </x:c>
      <x:c r="G685" s="26" t="n">
        <x:v>247</x:v>
      </x:c>
      <x:c r="H685" s="26" t="n">
        <x:v>22113</x:v>
      </x:c>
      <x:c r="I685" s="26"/>
      <x:c r="J685" s="26"/>
      <x:c r="K685" s="26"/>
      <x:c r="L685" s="26" t="n">
        <x:v>1</x:v>
      </x:c>
      <x:c r="M685" s="26" t="n">
        <x:v>1</x:v>
      </x:c>
      <x:c r="N685" s="26" t="n">
        <x:v>0</x:v>
      </x:c>
      <x:c r="O685" s="26" t="n">
        <x:f>MAX(M685-N685,0)</x:f>
        <x:v>1</x:v>
      </x:c>
      <x:c r="P685" s="38" t="n">
        <x:f>IFERROR(N685/M685,0)</x:f>
        <x:v>0</x:v>
      </x:c>
      <x:c r="Q685" s="26"/>
      <x:c r="R685" s="26"/>
      <x:c r="S685" s="26" t="str">
        <x:v>Pending Mapping</x:v>
      </x:c>
      <x:c r="T685" s="26"/>
      <x:c r="U685" s="26"/>
      <x:c r="V685" s="26"/>
      <x:c r="W685" s="32"/>
      <x:c r="X685" s="27" t="b">
        <x:v>1</x:v>
      </x:c>
      <x:c r="Y685" s="34" t="n">
        <x:v>46218.41637731482</x:v>
      </x:c>
      <x:c r="Z685" s="26"/>
      <x:c r="AA685" s="26" t="str"/>
      <x:c r="AB685" s="26" t="str">
        <x:v>Activity name/category not included in contribution response</x:v>
      </x:c>
    </x:row>
    <x:row r="686">
      <x:c r="A686" s="26" t="n">
        <x:v>683</x:v>
      </x:c>
      <x:c r="B686" s="26" t="n">
        <x:v>127</x:v>
      </x:c>
      <x:c r="C686" s="26" t="str">
        <x:v>Kumuram Bheem Asifabad</x:v>
      </x:c>
      <x:c r="D686" s="26" t="n">
        <x:v>6307</x:v>
      </x:c>
      <x:c r="E686" s="26" t="str">
        <x:v>PRJ-2026-0006307</x:v>
      </x:c>
      <x:c r="F686" s="26" t="str">
        <x:v>Rain Water Harvesting System : Water Filter Kitchen Construction : Poshan Vatika  kitchen Shelves : Gas stove, regulator : Solar Panel : Civil Repair : Toilet</x:v>
      </x:c>
      <x:c r="G686" s="26" t="n">
        <x:v>248</x:v>
      </x:c>
      <x:c r="H686" s="26" t="n">
        <x:v>22114</x:v>
      </x:c>
      <x:c r="I686" s="26"/>
      <x:c r="J686" s="26"/>
      <x:c r="K686" s="26"/>
      <x:c r="L686" s="26" t="n">
        <x:v>1</x:v>
      </x:c>
      <x:c r="M686" s="26" t="n">
        <x:v>1</x:v>
      </x:c>
      <x:c r="N686" s="26" t="n">
        <x:v>0</x:v>
      </x:c>
      <x:c r="O686" s="26" t="n">
        <x:f>MAX(M686-N686,0)</x:f>
        <x:v>1</x:v>
      </x:c>
      <x:c r="P686" s="38" t="n">
        <x:f>IFERROR(N686/M686,0)</x:f>
        <x:v>0</x:v>
      </x:c>
      <x:c r="Q686" s="26"/>
      <x:c r="R686" s="26"/>
      <x:c r="S686" s="26" t="str">
        <x:v>Pending Mapping</x:v>
      </x:c>
      <x:c r="T686" s="26"/>
      <x:c r="U686" s="26"/>
      <x:c r="V686" s="26"/>
      <x:c r="W686" s="32"/>
      <x:c r="X686" s="27" t="b">
        <x:v>1</x:v>
      </x:c>
      <x:c r="Y686" s="34" t="n">
        <x:v>46218.41637731482</x:v>
      </x:c>
      <x:c r="Z686" s="26"/>
      <x:c r="AA686" s="26" t="str"/>
      <x:c r="AB686" s="26" t="str">
        <x:v>Activity name/category not included in contribution response</x:v>
      </x:c>
    </x:row>
    <x:row r="687">
      <x:c r="A687" s="26" t="n">
        <x:v>684</x:v>
      </x:c>
      <x:c r="B687" s="26" t="n">
        <x:v>126</x:v>
      </x:c>
      <x:c r="C687" s="26" t="str">
        <x:v>Kumuram Bheem Asifabad</x:v>
      </x:c>
      <x:c r="D687" s="26" t="n">
        <x:v>10339</x:v>
      </x:c>
      <x:c r="E687" s="26" t="str">
        <x:v>PRJ-2026-0010339</x:v>
      </x:c>
      <x:c r="F687" s="26" t="str">
        <x:v>Water filter, gas stove </x:v>
      </x:c>
      <x:c r="G687" s="26" t="n">
        <x:v>243</x:v>
      </x:c>
      <x:c r="H687" s="26" t="n">
        <x:v>39479</x:v>
      </x:c>
      <x:c r="I687" s="26"/>
      <x:c r="J687" s="26"/>
      <x:c r="K687" s="26"/>
      <x:c r="L687" s="26" t="n">
        <x:v>1</x:v>
      </x:c>
      <x:c r="M687" s="26" t="n">
        <x:v>1</x:v>
      </x:c>
      <x:c r="N687" s="26" t="n">
        <x:v>0</x:v>
      </x:c>
      <x:c r="O687" s="26" t="n">
        <x:f>MAX(M687-N687,0)</x:f>
        <x:v>1</x:v>
      </x:c>
      <x:c r="P687" s="38" t="n">
        <x:f>IFERROR(N687/M687,0)</x:f>
        <x:v>0</x:v>
      </x:c>
      <x:c r="Q687" s="26"/>
      <x:c r="R687" s="26"/>
      <x:c r="S687" s="26" t="str">
        <x:v>Pending Mapping</x:v>
      </x:c>
      <x:c r="T687" s="26"/>
      <x:c r="U687" s="26"/>
      <x:c r="V687" s="26"/>
      <x:c r="W687" s="32"/>
      <x:c r="X687" s="27" t="b">
        <x:v>1</x:v>
      </x:c>
      <x:c r="Y687" s="34" t="n">
        <x:v>46218.411516203705</x:v>
      </x:c>
      <x:c r="Z687" s="26"/>
      <x:c r="AA687" s="26" t="str"/>
      <x:c r="AB687" s="26" t="str">
        <x:v>Activity name/category not included in contribution response</x:v>
      </x:c>
    </x:row>
    <x:row r="688">
      <x:c r="A688" s="26" t="n">
        <x:v>685</x:v>
      </x:c>
      <x:c r="B688" s="26" t="n">
        <x:v>126</x:v>
      </x:c>
      <x:c r="C688" s="26" t="str">
        <x:v>Kumuram Bheem Asifabad</x:v>
      </x:c>
      <x:c r="D688" s="26" t="n">
        <x:v>10339</x:v>
      </x:c>
      <x:c r="E688" s="26" t="str">
        <x:v>PRJ-2026-0010339</x:v>
      </x:c>
      <x:c r="F688" s="26" t="str">
        <x:v>Water filter, gas stove </x:v>
      </x:c>
      <x:c r="G688" s="26" t="n">
        <x:v>244</x:v>
      </x:c>
      <x:c r="H688" s="26" t="n">
        <x:v>39480</x:v>
      </x:c>
      <x:c r="I688" s="26"/>
      <x:c r="J688" s="26"/>
      <x:c r="K688" s="26"/>
      <x:c r="L688" s="26" t="n">
        <x:v>1</x:v>
      </x:c>
      <x:c r="M688" s="26" t="n">
        <x:v>1</x:v>
      </x:c>
      <x:c r="N688" s="26" t="n">
        <x:v>0</x:v>
      </x:c>
      <x:c r="O688" s="26" t="n">
        <x:f>MAX(M688-N688,0)</x:f>
        <x:v>1</x:v>
      </x:c>
      <x:c r="P688" s="38" t="n">
        <x:f>IFERROR(N688/M688,0)</x:f>
        <x:v>0</x:v>
      </x:c>
      <x:c r="Q688" s="26"/>
      <x:c r="R688" s="26"/>
      <x:c r="S688" s="26" t="str">
        <x:v>Pending Mapping</x:v>
      </x:c>
      <x:c r="T688" s="26"/>
      <x:c r="U688" s="26"/>
      <x:c r="V688" s="26"/>
      <x:c r="W688" s="32"/>
      <x:c r="X688" s="27" t="b">
        <x:v>1</x:v>
      </x:c>
      <x:c r="Y688" s="34" t="n">
        <x:v>46218.411516203705</x:v>
      </x:c>
      <x:c r="Z688" s="26"/>
      <x:c r="AA688" s="26" t="str"/>
      <x:c r="AB688" s="26" t="str">
        <x:v>Activity name/category not included in contribution response</x:v>
      </x:c>
    </x:row>
    <x:row r="689">
      <x:c r="A689" s="26" t="n">
        <x:v>686</x:v>
      </x:c>
      <x:c r="B689" s="26" t="n">
        <x:v>125</x:v>
      </x:c>
      <x:c r="C689" s="26" t="str">
        <x:v>Kumuram Bheem Asifabad</x:v>
      </x:c>
      <x:c r="D689" s="26" t="n">
        <x:v>10748</x:v>
      </x:c>
      <x:c r="E689" s="26" t="str">
        <x:v>PRJ-2026-0010748</x:v>
      </x:c>
      <x:c r="F689" s="26" t="str">
        <x:v>Water filter </x:v>
      </x:c>
      <x:c r="G689" s="26" t="n">
        <x:v>236</x:v>
      </x:c>
      <x:c r="H689" s="26" t="n">
        <x:v>41128</x:v>
      </x:c>
      <x:c r="I689" s="26"/>
      <x:c r="J689" s="26"/>
      <x:c r="K689" s="26"/>
      <x:c r="L689" s="26" t="n">
        <x:v>1</x:v>
      </x:c>
      <x:c r="M689" s="26" t="n">
        <x:v>1</x:v>
      </x:c>
      <x:c r="N689" s="26" t="n">
        <x:v>0</x:v>
      </x:c>
      <x:c r="O689" s="26" t="n">
        <x:f>MAX(M689-N689,0)</x:f>
        <x:v>1</x:v>
      </x:c>
      <x:c r="P689" s="38" t="n">
        <x:f>IFERROR(N689/M689,0)</x:f>
        <x:v>0</x:v>
      </x:c>
      <x:c r="Q689" s="26"/>
      <x:c r="R689" s="26"/>
      <x:c r="S689" s="26" t="str">
        <x:v>Pending Mapping</x:v>
      </x:c>
      <x:c r="T689" s="26"/>
      <x:c r="U689" s="26"/>
      <x:c r="V689" s="26"/>
      <x:c r="W689" s="32"/>
      <x:c r="X689" s="27" t="b">
        <x:v>1</x:v>
      </x:c>
      <x:c r="Y689" s="34" t="n">
        <x:v>46218.40939814815</x:v>
      </x:c>
      <x:c r="Z689" s="26"/>
      <x:c r="AA689" s="26" t="str"/>
      <x:c r="AB689" s="26" t="str">
        <x:v>Activity name/category not included in contribution response</x:v>
      </x:c>
    </x:row>
    <x:row r="690">
      <x:c r="A690" s="26" t="n">
        <x:v>687</x:v>
      </x:c>
      <x:c r="B690" s="26" t="n">
        <x:v>125</x:v>
      </x:c>
      <x:c r="C690" s="26" t="str">
        <x:v>Kumuram Bheem Asifabad</x:v>
      </x:c>
      <x:c r="D690" s="26" t="n">
        <x:v>10748</x:v>
      </x:c>
      <x:c r="E690" s="26" t="str">
        <x:v>PRJ-2026-0010748</x:v>
      </x:c>
      <x:c r="F690" s="26" t="str">
        <x:v>Water filter </x:v>
      </x:c>
      <x:c r="G690" s="26" t="n">
        <x:v>237</x:v>
      </x:c>
      <x:c r="H690" s="26" t="n">
        <x:v>41129</x:v>
      </x:c>
      <x:c r="I690" s="26"/>
      <x:c r="J690" s="26"/>
      <x:c r="K690" s="26"/>
      <x:c r="L690" s="26" t="n">
        <x:v>0</x:v>
      </x:c>
      <x:c r="M690" s="26" t="n">
        <x:v>1</x:v>
      </x:c>
      <x:c r="N690" s="26" t="n">
        <x:v>0</x:v>
      </x:c>
      <x:c r="O690" s="26" t="n">
        <x:f>MAX(M690-N690,0)</x:f>
        <x:v>1</x:v>
      </x:c>
      <x:c r="P690" s="38" t="n">
        <x:f>IFERROR(N690/M690,0)</x:f>
        <x:v>0</x:v>
      </x:c>
      <x:c r="Q690" s="26"/>
      <x:c r="R690" s="26"/>
      <x:c r="S690" s="26" t="str">
        <x:v>Pending Mapping</x:v>
      </x:c>
      <x:c r="T690" s="26"/>
      <x:c r="U690" s="26"/>
      <x:c r="V690" s="26"/>
      <x:c r="W690" s="32"/>
      <x:c r="X690" s="27" t="b">
        <x:v>1</x:v>
      </x:c>
      <x:c r="Y690" s="34" t="n">
        <x:v>46218.40939814815</x:v>
      </x:c>
      <x:c r="Z690" s="26"/>
      <x:c r="AA690" s="26" t="str"/>
      <x:c r="AB690" s="26" t="str">
        <x:v>Activity name/category not included in contribution response</x:v>
      </x:c>
    </x:row>
    <x:row r="691">
      <x:c r="A691" s="26" t="n">
        <x:v>688</x:v>
      </x:c>
      <x:c r="B691" s="26" t="n">
        <x:v>125</x:v>
      </x:c>
      <x:c r="C691" s="26" t="str">
        <x:v>Kumuram Bheem Asifabad</x:v>
      </x:c>
      <x:c r="D691" s="26" t="n">
        <x:v>10748</x:v>
      </x:c>
      <x:c r="E691" s="26" t="str">
        <x:v>PRJ-2026-0010748</x:v>
      </x:c>
      <x:c r="F691" s="26" t="str">
        <x:v>Water filter </x:v>
      </x:c>
      <x:c r="G691" s="26" t="n">
        <x:v>238</x:v>
      </x:c>
      <x:c r="H691" s="26" t="n">
        <x:v>41130</x:v>
      </x:c>
      <x:c r="I691" s="26"/>
      <x:c r="J691" s="26"/>
      <x:c r="K691" s="26"/>
      <x:c r="L691" s="26" t="n">
        <x:v>0</x:v>
      </x:c>
      <x:c r="M691" s="26" t="n">
        <x:v>1</x:v>
      </x:c>
      <x:c r="N691" s="26" t="n">
        <x:v>0</x:v>
      </x:c>
      <x:c r="O691" s="26" t="n">
        <x:f>MAX(M691-N691,0)</x:f>
        <x:v>1</x:v>
      </x:c>
      <x:c r="P691" s="38" t="n">
        <x:f>IFERROR(N691/M691,0)</x:f>
        <x:v>0</x:v>
      </x:c>
      <x:c r="Q691" s="26"/>
      <x:c r="R691" s="26"/>
      <x:c r="S691" s="26" t="str">
        <x:v>Pending Mapping</x:v>
      </x:c>
      <x:c r="T691" s="26"/>
      <x:c r="U691" s="26"/>
      <x:c r="V691" s="26"/>
      <x:c r="W691" s="32"/>
      <x:c r="X691" s="27" t="b">
        <x:v>1</x:v>
      </x:c>
      <x:c r="Y691" s="34" t="n">
        <x:v>46218.40939814815</x:v>
      </x:c>
      <x:c r="Z691" s="26"/>
      <x:c r="AA691" s="26" t="str"/>
      <x:c r="AB691" s="26" t="str">
        <x:v>Activity name/category not included in contribution response</x:v>
      </x:c>
    </x:row>
    <x:row r="692">
      <x:c r="A692" s="26" t="n">
        <x:v>689</x:v>
      </x:c>
      <x:c r="B692" s="26" t="n">
        <x:v>125</x:v>
      </x:c>
      <x:c r="C692" s="26" t="str">
        <x:v>Kumuram Bheem Asifabad</x:v>
      </x:c>
      <x:c r="D692" s="26" t="n">
        <x:v>10748</x:v>
      </x:c>
      <x:c r="E692" s="26" t="str">
        <x:v>PRJ-2026-0010748</x:v>
      </x:c>
      <x:c r="F692" s="26" t="str">
        <x:v>Water filter </x:v>
      </x:c>
      <x:c r="G692" s="26" t="n">
        <x:v>239</x:v>
      </x:c>
      <x:c r="H692" s="26" t="n">
        <x:v>41131</x:v>
      </x:c>
      <x:c r="I692" s="26"/>
      <x:c r="J692" s="26"/>
      <x:c r="K692" s="26"/>
      <x:c r="L692" s="26" t="n">
        <x:v>0</x:v>
      </x:c>
      <x:c r="M692" s="26" t="n">
        <x:v>1</x:v>
      </x:c>
      <x:c r="N692" s="26" t="n">
        <x:v>0</x:v>
      </x:c>
      <x:c r="O692" s="26" t="n">
        <x:f>MAX(M692-N692,0)</x:f>
        <x:v>1</x:v>
      </x:c>
      <x:c r="P692" s="38" t="n">
        <x:f>IFERROR(N692/M692,0)</x:f>
        <x:v>0</x:v>
      </x:c>
      <x:c r="Q692" s="26"/>
      <x:c r="R692" s="26"/>
      <x:c r="S692" s="26" t="str">
        <x:v>Pending Mapping</x:v>
      </x:c>
      <x:c r="T692" s="26"/>
      <x:c r="U692" s="26"/>
      <x:c r="V692" s="26"/>
      <x:c r="W692" s="32"/>
      <x:c r="X692" s="27" t="b">
        <x:v>1</x:v>
      </x:c>
      <x:c r="Y692" s="34" t="n">
        <x:v>46218.40939814815</x:v>
      </x:c>
      <x:c r="Z692" s="26"/>
      <x:c r="AA692" s="26" t="str"/>
      <x:c r="AB692" s="26" t="str">
        <x:v>Activity name/category not included in contribution response</x:v>
      </x:c>
    </x:row>
    <x:row r="693">
      <x:c r="A693" s="26" t="n">
        <x:v>690</x:v>
      </x:c>
      <x:c r="B693" s="26" t="n">
        <x:v>125</x:v>
      </x:c>
      <x:c r="C693" s="26" t="str">
        <x:v>Kumuram Bheem Asifabad</x:v>
      </x:c>
      <x:c r="D693" s="26" t="n">
        <x:v>10748</x:v>
      </x:c>
      <x:c r="E693" s="26" t="str">
        <x:v>PRJ-2026-0010748</x:v>
      </x:c>
      <x:c r="F693" s="26" t="str">
        <x:v>Water filter </x:v>
      </x:c>
      <x:c r="G693" s="26" t="n">
        <x:v>240</x:v>
      </x:c>
      <x:c r="H693" s="26" t="n">
        <x:v>41132</x:v>
      </x:c>
      <x:c r="I693" s="26"/>
      <x:c r="J693" s="26"/>
      <x:c r="K693" s="26"/>
      <x:c r="L693" s="26" t="n">
        <x:v>1</x:v>
      </x:c>
      <x:c r="M693" s="26" t="n">
        <x:v>1</x:v>
      </x:c>
      <x:c r="N693" s="26" t="n">
        <x:v>0</x:v>
      </x:c>
      <x:c r="O693" s="26" t="n">
        <x:f>MAX(M693-N693,0)</x:f>
        <x:v>1</x:v>
      </x:c>
      <x:c r="P693" s="38" t="n">
        <x:f>IFERROR(N693/M693,0)</x:f>
        <x:v>0</x:v>
      </x:c>
      <x:c r="Q693" s="26"/>
      <x:c r="R693" s="26"/>
      <x:c r="S693" s="26" t="str">
        <x:v>Pending Mapping</x:v>
      </x:c>
      <x:c r="T693" s="26"/>
      <x:c r="U693" s="26"/>
      <x:c r="V693" s="26"/>
      <x:c r="W693" s="32"/>
      <x:c r="X693" s="27" t="b">
        <x:v>1</x:v>
      </x:c>
      <x:c r="Y693" s="34" t="n">
        <x:v>46218.40939814815</x:v>
      </x:c>
      <x:c r="Z693" s="26"/>
      <x:c r="AA693" s="26" t="str"/>
      <x:c r="AB693" s="26" t="str">
        <x:v>Activity name/category not included in contribution response</x:v>
      </x:c>
    </x:row>
    <x:row r="694">
      <x:c r="A694" s="26" t="n">
        <x:v>691</x:v>
      </x:c>
      <x:c r="B694" s="26" t="n">
        <x:v>125</x:v>
      </x:c>
      <x:c r="C694" s="26" t="str">
        <x:v>Kumuram Bheem Asifabad</x:v>
      </x:c>
      <x:c r="D694" s="26" t="n">
        <x:v>10748</x:v>
      </x:c>
      <x:c r="E694" s="26" t="str">
        <x:v>PRJ-2026-0010748</x:v>
      </x:c>
      <x:c r="F694" s="26" t="str">
        <x:v>Water filter </x:v>
      </x:c>
      <x:c r="G694" s="26" t="n">
        <x:v>241</x:v>
      </x:c>
      <x:c r="H694" s="26" t="n">
        <x:v>41133</x:v>
      </x:c>
      <x:c r="I694" s="26"/>
      <x:c r="J694" s="26"/>
      <x:c r="K694" s="26"/>
      <x:c r="L694" s="26" t="n">
        <x:v>1</x:v>
      </x:c>
      <x:c r="M694" s="26" t="n">
        <x:v>1</x:v>
      </x:c>
      <x:c r="N694" s="26" t="n">
        <x:v>0</x:v>
      </x:c>
      <x:c r="O694" s="26" t="n">
        <x:f>MAX(M694-N694,0)</x:f>
        <x:v>1</x:v>
      </x:c>
      <x:c r="P694" s="38" t="n">
        <x:f>IFERROR(N694/M694,0)</x:f>
        <x:v>0</x:v>
      </x:c>
      <x:c r="Q694" s="26"/>
      <x:c r="R694" s="26"/>
      <x:c r="S694" s="26" t="str">
        <x:v>Pending Mapping</x:v>
      </x:c>
      <x:c r="T694" s="26"/>
      <x:c r="U694" s="26"/>
      <x:c r="V694" s="26"/>
      <x:c r="W694" s="32"/>
      <x:c r="X694" s="27" t="b">
        <x:v>1</x:v>
      </x:c>
      <x:c r="Y694" s="34" t="n">
        <x:v>46218.40939814815</x:v>
      </x:c>
      <x:c r="Z694" s="26"/>
      <x:c r="AA694" s="26" t="str"/>
      <x:c r="AB694" s="26" t="str">
        <x:v>Activity name/category not included in contribution response</x:v>
      </x:c>
    </x:row>
    <x:row r="695">
      <x:c r="A695" s="26" t="n">
        <x:v>692</x:v>
      </x:c>
      <x:c r="B695" s="26" t="n">
        <x:v>125</x:v>
      </x:c>
      <x:c r="C695" s="26" t="str">
        <x:v>Kumuram Bheem Asifabad</x:v>
      </x:c>
      <x:c r="D695" s="26" t="n">
        <x:v>10748</x:v>
      </x:c>
      <x:c r="E695" s="26" t="str">
        <x:v>PRJ-2026-0010748</x:v>
      </x:c>
      <x:c r="F695" s="26" t="str">
        <x:v>Water filter </x:v>
      </x:c>
      <x:c r="G695" s="26" t="n">
        <x:v>242</x:v>
      </x:c>
      <x:c r="H695" s="26" t="n">
        <x:v>41134</x:v>
      </x:c>
      <x:c r="I695" s="26"/>
      <x:c r="J695" s="26"/>
      <x:c r="K695" s="26"/>
      <x:c r="L695" s="26" t="n">
        <x:v>1</x:v>
      </x:c>
      <x:c r="M695" s="26" t="n">
        <x:v>1</x:v>
      </x:c>
      <x:c r="N695" s="26" t="n">
        <x:v>0</x:v>
      </x:c>
      <x:c r="O695" s="26" t="n">
        <x:f>MAX(M695-N695,0)</x:f>
        <x:v>1</x:v>
      </x:c>
      <x:c r="P695" s="38" t="n">
        <x:f>IFERROR(N695/M695,0)</x:f>
        <x:v>0</x:v>
      </x:c>
      <x:c r="Q695" s="26"/>
      <x:c r="R695" s="26"/>
      <x:c r="S695" s="26" t="str">
        <x:v>Pending Mapping</x:v>
      </x:c>
      <x:c r="T695" s="26"/>
      <x:c r="U695" s="26"/>
      <x:c r="V695" s="26"/>
      <x:c r="W695" s="32"/>
      <x:c r="X695" s="27" t="b">
        <x:v>1</x:v>
      </x:c>
      <x:c r="Y695" s="34" t="n">
        <x:v>46218.40939814815</x:v>
      </x:c>
      <x:c r="Z695" s="26"/>
      <x:c r="AA695" s="26" t="str"/>
      <x:c r="AB695" s="26" t="str">
        <x:v>Activity name/category not included in contribution response</x:v>
      </x:c>
    </x:row>
    <x:row r="696">
      <x:c r="A696" s="26" t="n">
        <x:v>693</x:v>
      </x:c>
      <x:c r="B696" s="26" t="n">
        <x:v>124</x:v>
      </x:c>
      <x:c r="C696" s="26" t="str">
        <x:v>Kumuram Bheem Asifabad</x:v>
      </x:c>
      <x:c r="D696" s="26" t="n">
        <x:v>10255</x:v>
      </x:c>
      <x:c r="E696" s="26" t="str">
        <x:v>PRJ-2026-0010255</x:v>
      </x:c>
      <x:c r="F696" s="26" t="str">
        <x:v>Rain Water Harvesting System : Water Filter Kitchen Construction : Poshan Vatika  kitchen Shelves : Gas stove, regulator : Solar Panel : Civil Repair : Toilet</x:v>
      </x:c>
      <x:c r="G696" s="26" t="n">
        <x:v>232</x:v>
      </x:c>
      <x:c r="H696" s="26" t="n">
        <x:v>39125</x:v>
      </x:c>
      <x:c r="I696" s="26"/>
      <x:c r="J696" s="26"/>
      <x:c r="K696" s="26"/>
      <x:c r="L696" s="26" t="n">
        <x:v>1</x:v>
      </x:c>
      <x:c r="M696" s="26" t="n">
        <x:v>1</x:v>
      </x:c>
      <x:c r="N696" s="26" t="n">
        <x:v>0</x:v>
      </x:c>
      <x:c r="O696" s="26" t="n">
        <x:f>MAX(M696-N696,0)</x:f>
        <x:v>1</x:v>
      </x:c>
      <x:c r="P696" s="38" t="n">
        <x:f>IFERROR(N696/M696,0)</x:f>
        <x:v>0</x:v>
      </x:c>
      <x:c r="Q696" s="26"/>
      <x:c r="R696" s="26"/>
      <x:c r="S696" s="26" t="str">
        <x:v>Pending Mapping</x:v>
      </x:c>
      <x:c r="T696" s="26"/>
      <x:c r="U696" s="26"/>
      <x:c r="V696" s="26"/>
      <x:c r="W696" s="32"/>
      <x:c r="X696" s="27" t="b">
        <x:v>1</x:v>
      </x:c>
      <x:c r="Y696" s="34" t="n">
        <x:v>46218.40608796296</x:v>
      </x:c>
      <x:c r="Z696" s="26"/>
      <x:c r="AA696" s="26" t="str"/>
      <x:c r="AB696" s="26" t="str">
        <x:v>Activity name/category not included in contribution response</x:v>
      </x:c>
    </x:row>
    <x:row r="697">
      <x:c r="A697" s="26" t="n">
        <x:v>694</x:v>
      </x:c>
      <x:c r="B697" s="26" t="n">
        <x:v>124</x:v>
      </x:c>
      <x:c r="C697" s="26" t="str">
        <x:v>Kumuram Bheem Asifabad</x:v>
      </x:c>
      <x:c r="D697" s="26" t="n">
        <x:v>10255</x:v>
      </x:c>
      <x:c r="E697" s="26" t="str">
        <x:v>PRJ-2026-0010255</x:v>
      </x:c>
      <x:c r="F697" s="26" t="str">
        <x:v>Rain Water Harvesting System : Water Filter Kitchen Construction : Poshan Vatika  kitchen Shelves : Gas stove, regulator : Solar Panel : Civil Repair : Toilet</x:v>
      </x:c>
      <x:c r="G697" s="26" t="n">
        <x:v>233</x:v>
      </x:c>
      <x:c r="H697" s="26" t="n">
        <x:v>39126</x:v>
      </x:c>
      <x:c r="I697" s="26"/>
      <x:c r="J697" s="26"/>
      <x:c r="K697" s="26"/>
      <x:c r="L697" s="26" t="n">
        <x:v>1</x:v>
      </x:c>
      <x:c r="M697" s="26" t="n">
        <x:v>1</x:v>
      </x:c>
      <x:c r="N697" s="26" t="n">
        <x:v>0</x:v>
      </x:c>
      <x:c r="O697" s="26" t="n">
        <x:f>MAX(M697-N697,0)</x:f>
        <x:v>1</x:v>
      </x:c>
      <x:c r="P697" s="38" t="n">
        <x:f>IFERROR(N697/M697,0)</x:f>
        <x:v>0</x:v>
      </x:c>
      <x:c r="Q697" s="26"/>
      <x:c r="R697" s="26"/>
      <x:c r="S697" s="26" t="str">
        <x:v>Pending Mapping</x:v>
      </x:c>
      <x:c r="T697" s="26"/>
      <x:c r="U697" s="26"/>
      <x:c r="V697" s="26"/>
      <x:c r="W697" s="32"/>
      <x:c r="X697" s="27" t="b">
        <x:v>1</x:v>
      </x:c>
      <x:c r="Y697" s="34" t="n">
        <x:v>46218.40608796296</x:v>
      </x:c>
      <x:c r="Z697" s="26"/>
      <x:c r="AA697" s="26" t="str"/>
      <x:c r="AB697" s="26" t="str">
        <x:v>Activity name/category not included in contribution response</x:v>
      </x:c>
    </x:row>
    <x:row r="698">
      <x:c r="A698" s="26" t="n">
        <x:v>695</x:v>
      </x:c>
      <x:c r="B698" s="26" t="n">
        <x:v>124</x:v>
      </x:c>
      <x:c r="C698" s="26" t="str">
        <x:v>Kumuram Bheem Asifabad</x:v>
      </x:c>
      <x:c r="D698" s="26" t="n">
        <x:v>10255</x:v>
      </x:c>
      <x:c r="E698" s="26" t="str">
        <x:v>PRJ-2026-0010255</x:v>
      </x:c>
      <x:c r="F698" s="26" t="str">
        <x:v>Rain Water Harvesting System : Water Filter Kitchen Construction : Poshan Vatika  kitchen Shelves : Gas stove, regulator : Solar Panel : Civil Repair : Toilet</x:v>
      </x:c>
      <x:c r="G698" s="26" t="n">
        <x:v>234</x:v>
      </x:c>
      <x:c r="H698" s="26" t="n">
        <x:v>39127</x:v>
      </x:c>
      <x:c r="I698" s="26"/>
      <x:c r="J698" s="26"/>
      <x:c r="K698" s="26"/>
      <x:c r="L698" s="26" t="n">
        <x:v>1</x:v>
      </x:c>
      <x:c r="M698" s="26" t="n">
        <x:v>1</x:v>
      </x:c>
      <x:c r="N698" s="26" t="n">
        <x:v>0</x:v>
      </x:c>
      <x:c r="O698" s="26" t="n">
        <x:f>MAX(M698-N698,0)</x:f>
        <x:v>1</x:v>
      </x:c>
      <x:c r="P698" s="38" t="n">
        <x:f>IFERROR(N698/M698,0)</x:f>
        <x:v>0</x:v>
      </x:c>
      <x:c r="Q698" s="26"/>
      <x:c r="R698" s="26"/>
      <x:c r="S698" s="26" t="str">
        <x:v>Pending Mapping</x:v>
      </x:c>
      <x:c r="T698" s="26"/>
      <x:c r="U698" s="26"/>
      <x:c r="V698" s="26"/>
      <x:c r="W698" s="32"/>
      <x:c r="X698" s="27" t="b">
        <x:v>1</x:v>
      </x:c>
      <x:c r="Y698" s="34" t="n">
        <x:v>46218.40608796296</x:v>
      </x:c>
      <x:c r="Z698" s="26"/>
      <x:c r="AA698" s="26" t="str"/>
      <x:c r="AB698" s="26" t="str">
        <x:v>Activity name/category not included in contribution response</x:v>
      </x:c>
    </x:row>
    <x:row r="699">
      <x:c r="A699" s="26" t="n">
        <x:v>696</x:v>
      </x:c>
      <x:c r="B699" s="26" t="n">
        <x:v>124</x:v>
      </x:c>
      <x:c r="C699" s="26" t="str">
        <x:v>Kumuram Bheem Asifabad</x:v>
      </x:c>
      <x:c r="D699" s="26" t="n">
        <x:v>10255</x:v>
      </x:c>
      <x:c r="E699" s="26" t="str">
        <x:v>PRJ-2026-0010255</x:v>
      </x:c>
      <x:c r="F699" s="26" t="str">
        <x:v>Rain Water Harvesting System : Water Filter Kitchen Construction : Poshan Vatika  kitchen Shelves : Gas stove, regulator : Solar Panel : Civil Repair : Toilet</x:v>
      </x:c>
      <x:c r="G699" s="26" t="n">
        <x:v>235</x:v>
      </x:c>
      <x:c r="H699" s="26" t="n">
        <x:v>39128</x:v>
      </x:c>
      <x:c r="I699" s="26"/>
      <x:c r="J699" s="26"/>
      <x:c r="K699" s="26"/>
      <x:c r="L699" s="26" t="n">
        <x:v>1</x:v>
      </x:c>
      <x:c r="M699" s="26" t="n">
        <x:v>1</x:v>
      </x:c>
      <x:c r="N699" s="26" t="n">
        <x:v>0</x:v>
      </x:c>
      <x:c r="O699" s="26" t="n">
        <x:f>MAX(M699-N699,0)</x:f>
        <x:v>1</x:v>
      </x:c>
      <x:c r="P699" s="38" t="n">
        <x:f>IFERROR(N699/M699,0)</x:f>
        <x:v>0</x:v>
      </x:c>
      <x:c r="Q699" s="26"/>
      <x:c r="R699" s="26"/>
      <x:c r="S699" s="26" t="str">
        <x:v>Pending Mapping</x:v>
      </x:c>
      <x:c r="T699" s="26"/>
      <x:c r="U699" s="26"/>
      <x:c r="V699" s="26"/>
      <x:c r="W699" s="32"/>
      <x:c r="X699" s="27" t="b">
        <x:v>1</x:v>
      </x:c>
      <x:c r="Y699" s="34" t="n">
        <x:v>46218.40608796296</x:v>
      </x:c>
      <x:c r="Z699" s="26"/>
      <x:c r="AA699" s="26" t="str"/>
      <x:c r="AB699" s="26" t="str">
        <x:v>Activity name/category not included in contribution response</x:v>
      </x:c>
    </x:row>
    <x:row r="700">
      <x:c r="A700" s="26" t="n">
        <x:v>697</x:v>
      </x:c>
      <x:c r="B700" s="26" t="n">
        <x:v>120</x:v>
      </x:c>
      <x:c r="C700" s="26" t="str">
        <x:v>Kumuram Bheem Asifabad</x:v>
      </x:c>
      <x:c r="D700" s="26" t="n">
        <x:v>10748</x:v>
      </x:c>
      <x:c r="E700" s="26" t="str">
        <x:v>PRJ-2026-0010748</x:v>
      </x:c>
      <x:c r="F700" s="26" t="str">
        <x:v>Water filter </x:v>
      </x:c>
      <x:c r="G700" s="26" t="n">
        <x:v>222</x:v>
      </x:c>
      <x:c r="H700" s="26" t="n">
        <x:v>41128</x:v>
      </x:c>
      <x:c r="I700" s="26"/>
      <x:c r="J700" s="26"/>
      <x:c r="K700" s="26"/>
      <x:c r="L700" s="26" t="n">
        <x:v>1</x:v>
      </x:c>
      <x:c r="M700" s="26" t="n">
        <x:v>1</x:v>
      </x:c>
      <x:c r="N700" s="26" t="n">
        <x:v>0</x:v>
      </x:c>
      <x:c r="O700" s="26" t="n">
        <x:f>MAX(M700-N700,0)</x:f>
        <x:v>1</x:v>
      </x:c>
      <x:c r="P700" s="38" t="n">
        <x:f>IFERROR(N700/M700,0)</x:f>
        <x:v>0</x:v>
      </x:c>
      <x:c r="Q700" s="26"/>
      <x:c r="R700" s="26"/>
      <x:c r="S700" s="26" t="str">
        <x:v>Pending Mapping</x:v>
      </x:c>
      <x:c r="T700" s="26"/>
      <x:c r="U700" s="26"/>
      <x:c r="V700" s="26"/>
      <x:c r="W700" s="32"/>
      <x:c r="X700" s="27" t="b">
        <x:v>1</x:v>
      </x:c>
      <x:c r="Y700" s="34" t="n">
        <x:v>46215.35917824074</x:v>
      </x:c>
      <x:c r="Z700" s="26"/>
      <x:c r="AA700" s="26" t="str"/>
      <x:c r="AB700" s="26" t="str">
        <x:v>Activity name/category not included in contribution response</x:v>
      </x:c>
    </x:row>
    <x:row r="701">
      <x:c r="A701" s="26" t="n">
        <x:v>698</x:v>
      </x:c>
      <x:c r="B701" s="26" t="n">
        <x:v>120</x:v>
      </x:c>
      <x:c r="C701" s="26" t="str">
        <x:v>Kumuram Bheem Asifabad</x:v>
      </x:c>
      <x:c r="D701" s="26" t="n">
        <x:v>10748</x:v>
      </x:c>
      <x:c r="E701" s="26" t="str">
        <x:v>PRJ-2026-0010748</x:v>
      </x:c>
      <x:c r="F701" s="26" t="str">
        <x:v>Water filter </x:v>
      </x:c>
      <x:c r="G701" s="26" t="n">
        <x:v>223</x:v>
      </x:c>
      <x:c r="H701" s="26" t="n">
        <x:v>41129</x:v>
      </x:c>
      <x:c r="I701" s="26"/>
      <x:c r="J701" s="26"/>
      <x:c r="K701" s="26"/>
      <x:c r="L701" s="26" t="n">
        <x:v>0</x:v>
      </x:c>
      <x:c r="M701" s="26" t="n">
        <x:v>1</x:v>
      </x:c>
      <x:c r="N701" s="26" t="n">
        <x:v>0</x:v>
      </x:c>
      <x:c r="O701" s="26" t="n">
        <x:f>MAX(M701-N701,0)</x:f>
        <x:v>1</x:v>
      </x:c>
      <x:c r="P701" s="38" t="n">
        <x:f>IFERROR(N701/M701,0)</x:f>
        <x:v>0</x:v>
      </x:c>
      <x:c r="Q701" s="26"/>
      <x:c r="R701" s="26"/>
      <x:c r="S701" s="26" t="str">
        <x:v>Pending Mapping</x:v>
      </x:c>
      <x:c r="T701" s="26"/>
      <x:c r="U701" s="26"/>
      <x:c r="V701" s="26"/>
      <x:c r="W701" s="32"/>
      <x:c r="X701" s="27" t="b">
        <x:v>1</x:v>
      </x:c>
      <x:c r="Y701" s="34" t="n">
        <x:v>46215.35917824074</x:v>
      </x:c>
      <x:c r="Z701" s="26"/>
      <x:c r="AA701" s="26" t="str"/>
      <x:c r="AB701" s="26" t="str">
        <x:v>Activity name/category not included in contribution response</x:v>
      </x:c>
    </x:row>
    <x:row r="702">
      <x:c r="A702" s="26" t="n">
        <x:v>699</x:v>
      </x:c>
      <x:c r="B702" s="26" t="n">
        <x:v>120</x:v>
      </x:c>
      <x:c r="C702" s="26" t="str">
        <x:v>Kumuram Bheem Asifabad</x:v>
      </x:c>
      <x:c r="D702" s="26" t="n">
        <x:v>10748</x:v>
      </x:c>
      <x:c r="E702" s="26" t="str">
        <x:v>PRJ-2026-0010748</x:v>
      </x:c>
      <x:c r="F702" s="26" t="str">
        <x:v>Water filter </x:v>
      </x:c>
      <x:c r="G702" s="26" t="n">
        <x:v>224</x:v>
      </x:c>
      <x:c r="H702" s="26" t="n">
        <x:v>41130</x:v>
      </x:c>
      <x:c r="I702" s="26"/>
      <x:c r="J702" s="26"/>
      <x:c r="K702" s="26"/>
      <x:c r="L702" s="26" t="n">
        <x:v>0</x:v>
      </x:c>
      <x:c r="M702" s="26" t="n">
        <x:v>1</x:v>
      </x:c>
      <x:c r="N702" s="26" t="n">
        <x:v>0</x:v>
      </x:c>
      <x:c r="O702" s="26" t="n">
        <x:f>MAX(M702-N702,0)</x:f>
        <x:v>1</x:v>
      </x:c>
      <x:c r="P702" s="38" t="n">
        <x:f>IFERROR(N702/M702,0)</x:f>
        <x:v>0</x:v>
      </x:c>
      <x:c r="Q702" s="26"/>
      <x:c r="R702" s="26"/>
      <x:c r="S702" s="26" t="str">
        <x:v>Pending Mapping</x:v>
      </x:c>
      <x:c r="T702" s="26"/>
      <x:c r="U702" s="26"/>
      <x:c r="V702" s="26"/>
      <x:c r="W702" s="32"/>
      <x:c r="X702" s="27" t="b">
        <x:v>1</x:v>
      </x:c>
      <x:c r="Y702" s="34" t="n">
        <x:v>46215.35917824074</x:v>
      </x:c>
      <x:c r="Z702" s="26"/>
      <x:c r="AA702" s="26" t="str"/>
      <x:c r="AB702" s="26" t="str">
        <x:v>Activity name/category not included in contribution response</x:v>
      </x:c>
    </x:row>
    <x:row r="703">
      <x:c r="A703" s="26" t="n">
        <x:v>700</x:v>
      </x:c>
      <x:c r="B703" s="26" t="n">
        <x:v>120</x:v>
      </x:c>
      <x:c r="C703" s="26" t="str">
        <x:v>Kumuram Bheem Asifabad</x:v>
      </x:c>
      <x:c r="D703" s="26" t="n">
        <x:v>10748</x:v>
      </x:c>
      <x:c r="E703" s="26" t="str">
        <x:v>PRJ-2026-0010748</x:v>
      </x:c>
      <x:c r="F703" s="26" t="str">
        <x:v>Water filter </x:v>
      </x:c>
      <x:c r="G703" s="26" t="n">
        <x:v>225</x:v>
      </x:c>
      <x:c r="H703" s="26" t="n">
        <x:v>41131</x:v>
      </x:c>
      <x:c r="I703" s="26"/>
      <x:c r="J703" s="26"/>
      <x:c r="K703" s="26"/>
      <x:c r="L703" s="26" t="n">
        <x:v>1</x:v>
      </x:c>
      <x:c r="M703" s="26" t="n">
        <x:v>1</x:v>
      </x:c>
      <x:c r="N703" s="26" t="n">
        <x:v>0</x:v>
      </x:c>
      <x:c r="O703" s="26" t="n">
        <x:f>MAX(M703-N703,0)</x:f>
        <x:v>1</x:v>
      </x:c>
      <x:c r="P703" s="38" t="n">
        <x:f>IFERROR(N703/M703,0)</x:f>
        <x:v>0</x:v>
      </x:c>
      <x:c r="Q703" s="26"/>
      <x:c r="R703" s="26"/>
      <x:c r="S703" s="26" t="str">
        <x:v>Pending Mapping</x:v>
      </x:c>
      <x:c r="T703" s="26"/>
      <x:c r="U703" s="26"/>
      <x:c r="V703" s="26"/>
      <x:c r="W703" s="32"/>
      <x:c r="X703" s="27" t="b">
        <x:v>1</x:v>
      </x:c>
      <x:c r="Y703" s="34" t="n">
        <x:v>46215.35917824074</x:v>
      </x:c>
      <x:c r="Z703" s="26"/>
      <x:c r="AA703" s="26" t="str"/>
      <x:c r="AB703" s="26" t="str">
        <x:v>Activity name/category not included in contribution response</x:v>
      </x:c>
    </x:row>
    <x:row r="704">
      <x:c r="A704" s="26" t="n">
        <x:v>701</x:v>
      </x:c>
      <x:c r="B704" s="26" t="n">
        <x:v>120</x:v>
      </x:c>
      <x:c r="C704" s="26" t="str">
        <x:v>Kumuram Bheem Asifabad</x:v>
      </x:c>
      <x:c r="D704" s="26" t="n">
        <x:v>10748</x:v>
      </x:c>
      <x:c r="E704" s="26" t="str">
        <x:v>PRJ-2026-0010748</x:v>
      </x:c>
      <x:c r="F704" s="26" t="str">
        <x:v>Water filter </x:v>
      </x:c>
      <x:c r="G704" s="26" t="n">
        <x:v>226</x:v>
      </x:c>
      <x:c r="H704" s="26" t="n">
        <x:v>41132</x:v>
      </x:c>
      <x:c r="I704" s="26"/>
      <x:c r="J704" s="26"/>
      <x:c r="K704" s="26"/>
      <x:c r="L704" s="26" t="n">
        <x:v>0</x:v>
      </x:c>
      <x:c r="M704" s="26" t="n">
        <x:v>1</x:v>
      </x:c>
      <x:c r="N704" s="26" t="n">
        <x:v>0</x:v>
      </x:c>
      <x:c r="O704" s="26" t="n">
        <x:f>MAX(M704-N704,0)</x:f>
        <x:v>1</x:v>
      </x:c>
      <x:c r="P704" s="38" t="n">
        <x:f>IFERROR(N704/M704,0)</x:f>
        <x:v>0</x:v>
      </x:c>
      <x:c r="Q704" s="26"/>
      <x:c r="R704" s="26"/>
      <x:c r="S704" s="26" t="str">
        <x:v>Pending Mapping</x:v>
      </x:c>
      <x:c r="T704" s="26"/>
      <x:c r="U704" s="26"/>
      <x:c r="V704" s="26"/>
      <x:c r="W704" s="32"/>
      <x:c r="X704" s="27" t="b">
        <x:v>1</x:v>
      </x:c>
      <x:c r="Y704" s="34" t="n">
        <x:v>46215.35917824074</x:v>
      </x:c>
      <x:c r="Z704" s="26"/>
      <x:c r="AA704" s="26" t="str"/>
      <x:c r="AB704" s="26" t="str">
        <x:v>Activity name/category not included in contribution response</x:v>
      </x:c>
    </x:row>
    <x:row r="705">
      <x:c r="A705" s="26" t="n">
        <x:v>702</x:v>
      </x:c>
      <x:c r="B705" s="26" t="n">
        <x:v>120</x:v>
      </x:c>
      <x:c r="C705" s="26" t="str">
        <x:v>Kumuram Bheem Asifabad</x:v>
      </x:c>
      <x:c r="D705" s="26" t="n">
        <x:v>10748</x:v>
      </x:c>
      <x:c r="E705" s="26" t="str">
        <x:v>PRJ-2026-0010748</x:v>
      </x:c>
      <x:c r="F705" s="26" t="str">
        <x:v>Water filter </x:v>
      </x:c>
      <x:c r="G705" s="26" t="n">
        <x:v>227</x:v>
      </x:c>
      <x:c r="H705" s="26" t="n">
        <x:v>41133</x:v>
      </x:c>
      <x:c r="I705" s="26"/>
      <x:c r="J705" s="26"/>
      <x:c r="K705" s="26"/>
      <x:c r="L705" s="26" t="n">
        <x:v>1</x:v>
      </x:c>
      <x:c r="M705" s="26" t="n">
        <x:v>1</x:v>
      </x:c>
      <x:c r="N705" s="26" t="n">
        <x:v>0</x:v>
      </x:c>
      <x:c r="O705" s="26" t="n">
        <x:f>MAX(M705-N705,0)</x:f>
        <x:v>1</x:v>
      </x:c>
      <x:c r="P705" s="38" t="n">
        <x:f>IFERROR(N705/M705,0)</x:f>
        <x:v>0</x:v>
      </x:c>
      <x:c r="Q705" s="26"/>
      <x:c r="R705" s="26"/>
      <x:c r="S705" s="26" t="str">
        <x:v>Pending Mapping</x:v>
      </x:c>
      <x:c r="T705" s="26"/>
      <x:c r="U705" s="26"/>
      <x:c r="V705" s="26"/>
      <x:c r="W705" s="32"/>
      <x:c r="X705" s="27" t="b">
        <x:v>1</x:v>
      </x:c>
      <x:c r="Y705" s="34" t="n">
        <x:v>46215.35917824074</x:v>
      </x:c>
      <x:c r="Z705" s="26"/>
      <x:c r="AA705" s="26" t="str"/>
      <x:c r="AB705" s="26" t="str">
        <x:v>Activity name/category not included in contribution response</x:v>
      </x:c>
    </x:row>
    <x:row r="706">
      <x:c r="A706" s="26" t="n">
        <x:v>703</x:v>
      </x:c>
      <x:c r="B706" s="26" t="n">
        <x:v>120</x:v>
      </x:c>
      <x:c r="C706" s="26" t="str">
        <x:v>Kumuram Bheem Asifabad</x:v>
      </x:c>
      <x:c r="D706" s="26" t="n">
        <x:v>10748</x:v>
      </x:c>
      <x:c r="E706" s="26" t="str">
        <x:v>PRJ-2026-0010748</x:v>
      </x:c>
      <x:c r="F706" s="26" t="str">
        <x:v>Water filter </x:v>
      </x:c>
      <x:c r="G706" s="26" t="n">
        <x:v>228</x:v>
      </x:c>
      <x:c r="H706" s="26" t="n">
        <x:v>41134</x:v>
      </x:c>
      <x:c r="I706" s="26"/>
      <x:c r="J706" s="26"/>
      <x:c r="K706" s="26"/>
      <x:c r="L706" s="26" t="n">
        <x:v>1</x:v>
      </x:c>
      <x:c r="M706" s="26" t="n">
        <x:v>1</x:v>
      </x:c>
      <x:c r="N706" s="26" t="n">
        <x:v>0</x:v>
      </x:c>
      <x:c r="O706" s="26" t="n">
        <x:f>MAX(M706-N706,0)</x:f>
        <x:v>1</x:v>
      </x:c>
      <x:c r="P706" s="38" t="n">
        <x:f>IFERROR(N706/M706,0)</x:f>
        <x:v>0</x:v>
      </x:c>
      <x:c r="Q706" s="26"/>
      <x:c r="R706" s="26"/>
      <x:c r="S706" s="26" t="str">
        <x:v>Pending Mapping</x:v>
      </x:c>
      <x:c r="T706" s="26"/>
      <x:c r="U706" s="26"/>
      <x:c r="V706" s="26"/>
      <x:c r="W706" s="32"/>
      <x:c r="X706" s="27" t="b">
        <x:v>1</x:v>
      </x:c>
      <x:c r="Y706" s="34" t="n">
        <x:v>46215.35917824074</x:v>
      </x:c>
      <x:c r="Z706" s="26"/>
      <x:c r="AA706" s="26" t="str"/>
      <x:c r="AB706" s="26" t="str">
        <x:v>Activity name/category not included in contribution response</x:v>
      </x:c>
    </x:row>
  </x:sheetData>
  <x:mergeCells>
    <x:mergeCell ref="A1:AB1"/>
  </x:mergeCells>
  <x:conditionalFormatting sqref="P4:P706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{F1B2F30B-E40D-E398-64D0-C586890955E2}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2749e741aab48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B2F30B-E40D-E398-64D0-C586890955E2}">
            <x14:dataBar gradient="1">
              <x14:cfvo type="min"/>
              <x14:cfvo type="max"/>
              <x14:fillColor rgb="FF70AD47"/>
            </x14:dataBar>
          </x14:cfRule>
          <xm:sqref>P4:P706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20.2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13.130000114440918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PANKHUDI Contributions — Kumuram Bheem Asifabad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37</x:v>
      </x:c>
      <x:c r="B4" s="26" t="n">
        <x:v>255</x:v>
      </x:c>
      <x:c r="C4" s="26" t="str">
        <x:v>Kumuram Bheem Asifabad</x:v>
      </x:c>
      <x:c r="D4" s="26" t="str">
        <x:v>Telangana</x:v>
      </x:c>
      <x:c r="E4" s="26" t="n">
        <x:v>9927</x:v>
      </x:c>
      <x:c r="F4" s="26" t="str">
        <x:v>PRJ-2026-0009927</x:v>
      </x:c>
      <x:c r="G4" s="26" t="str">
        <x:v>Rain Water Harvesting System : Water Filter Kitchen Construction : Poshan Vatika  kitchen Shelves : Gas stove, regulator : Solar Panel : Civil Repair : Toilet</x:v>
      </x:c>
      <x:c r="H4" s="26" t="str">
        <x:v>Mission Saksham Anganwadi &amp; POSHAN 2.0</x:v>
      </x:c>
      <x:c r="I4" s="32" t="n">
        <x:v>46164</x:v>
      </x:c>
      <x:c r="J4" s="32" t="n">
        <x:v>46255</x:v>
      </x:c>
      <x:c r="K4" s="32"/>
      <x:c r="L4" s="26" t="str">
        <x:v>Active: On/After 01-Aug-2026</x:v>
      </x:c>
      <x:c r="M4" s="26" t="str">
        <x:v>Pending Mapping</x:v>
      </x:c>
      <x:c r="N4" s="26" t="str">
        <x:v>Original project JSON not available</x:v>
      </x:c>
      <x:c r="O4" s="26"/>
      <x:c r="P4" s="26" t="str"/>
      <x:c r="Q4" s="26" t="str"/>
      <x:c r="R4" s="26"/>
      <x:c r="S4" s="36"/>
      <x:c r="T4" s="26"/>
      <x:c r="U4" s="26"/>
      <x:c r="V4" s="26"/>
      <x:c r="W4" s="26" t="n">
        <x:v>4</x:v>
      </x:c>
      <x:c r="X4" s="26" t="n">
        <x:v>0</x:v>
      </x:c>
      <x:c r="Y4" s="26" t="n">
        <x:v>4</x:v>
      </x:c>
      <x:c r="Z4" s="26" t="n">
        <x:v>0</x:v>
      </x:c>
      <x:c r="AA4" s="26" t="n">
        <x:v>4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46220.000069444446</x:v>
      </x:c>
      <x:c r="AG4" s="34"/>
      <x:c r="AH4" s="26" t="str">
        <x:v>Contribution API fields only; original project JSON needed for line-item names/centres/category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38</x:v>
      </x:c>
      <x:c r="B5" s="26" t="n">
        <x:v>254</x:v>
      </x:c>
      <x:c r="C5" s="26" t="str">
        <x:v>Kumuram Bheem Asifabad</x:v>
      </x:c>
      <x:c r="D5" s="26" t="str">
        <x:v>Telangana</x:v>
      </x:c>
      <x:c r="E5" s="26" t="n">
        <x:v>9928</x:v>
      </x:c>
      <x:c r="F5" s="26" t="str">
        <x:v>PRJ-2026-0009928</x:v>
      </x:c>
      <x:c r="G5" s="26" t="str">
        <x:v>Proposal for upgradation of Anganwadi centre</x:v>
      </x:c>
      <x:c r="H5" s="26" t="str">
        <x:v>Mission Saksham Anganwadi &amp; POSHAN 2.0</x:v>
      </x:c>
      <x:c r="I5" s="32" t="n">
        <x:v>46171</x:v>
      </x:c>
      <x:c r="J5" s="32" t="n">
        <x:v>46203</x:v>
      </x:c>
      <x:c r="K5" s="32"/>
      <x:c r="L5" s="26" t="str">
        <x:v>Exclude: Before 01-Aug-2026</x:v>
      </x:c>
      <x:c r="M5" s="26" t="str">
        <x:v>Pending Mapping</x:v>
      </x:c>
      <x:c r="N5" s="26" t="str">
        <x:v>Original project JSON not available</x:v>
      </x:c>
      <x:c r="O5" s="26"/>
      <x:c r="P5" s="26" t="str"/>
      <x:c r="Q5" s="26" t="str"/>
      <x:c r="R5" s="26"/>
      <x:c r="S5" s="36"/>
      <x:c r="T5" s="26"/>
      <x:c r="U5" s="26"/>
      <x:c r="V5" s="26"/>
      <x:c r="W5" s="26" t="n">
        <x:v>3</x:v>
      </x:c>
      <x:c r="X5" s="26" t="n">
        <x:v>0</x:v>
      </x:c>
      <x:c r="Y5" s="26" t="n">
        <x:v>3</x:v>
      </x:c>
      <x:c r="Z5" s="26" t="n">
        <x:v>0</x:v>
      </x:c>
      <x:c r="AA5" s="26" t="n">
        <x:v>3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46220.00005787037</x:v>
      </x:c>
      <x:c r="AG5" s="34"/>
      <x:c r="AH5" s="26" t="str">
        <x:v>Contribution API fields only; original project JSON needed for line-item names/centres/category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39</x:v>
      </x:c>
      <x:c r="B6" s="26" t="n">
        <x:v>252</x:v>
      </x:c>
      <x:c r="C6" s="26" t="str">
        <x:v>Kumuram Bheem Asifabad</x:v>
      </x:c>
      <x:c r="D6" s="26" t="str">
        <x:v>Telangana</x:v>
      </x:c>
      <x:c r="E6" s="26" t="n">
        <x:v>9968</x:v>
      </x:c>
      <x:c r="F6" s="26" t="str">
        <x:v>PRJ-2026-0009968</x:v>
      </x:c>
      <x:c r="G6" s="26" t="str">
        <x:v>Proposal for upgradation of Anganwadi centre</x:v>
      </x:c>
      <x:c r="H6" s="26" t="str">
        <x:v>Mission Saksham Anganwadi &amp; POSHAN 2.0</x:v>
      </x:c>
      <x:c r="I6" s="32" t="n">
        <x:v>46164</x:v>
      </x:c>
      <x:c r="J6" s="32" t="n">
        <x:v>46203</x:v>
      </x:c>
      <x:c r="K6" s="32"/>
      <x:c r="L6" s="26" t="str">
        <x:v>Exclude: Before 01-Aug-2026</x:v>
      </x:c>
      <x:c r="M6" s="26" t="str">
        <x:v>Pending Mapping</x:v>
      </x:c>
      <x:c r="N6" s="26" t="str">
        <x:v>Original project JSON not available</x:v>
      </x:c>
      <x:c r="O6" s="26"/>
      <x:c r="P6" s="26" t="str"/>
      <x:c r="Q6" s="26" t="str"/>
      <x:c r="R6" s="26"/>
      <x:c r="S6" s="36"/>
      <x:c r="T6" s="26"/>
      <x:c r="U6" s="26"/>
      <x:c r="V6" s="26"/>
      <x:c r="W6" s="26" t="n">
        <x:v>2</x:v>
      </x:c>
      <x:c r="X6" s="26" t="n">
        <x:v>0</x:v>
      </x:c>
      <x:c r="Y6" s="26" t="n">
        <x:v>2</x:v>
      </x:c>
      <x:c r="Z6" s="26" t="n">
        <x:v>0</x:v>
      </x:c>
      <x:c r="AA6" s="26" t="n">
        <x:v>2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46220.0000462963</x:v>
      </x:c>
      <x:c r="AG6" s="34"/>
      <x:c r="AH6" s="26" t="str">
        <x:v>Contribution API fields only; original project JSON needed for line-item names/centres/category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40</x:v>
      </x:c>
      <x:c r="B7" s="26" t="n">
        <x:v>253</x:v>
      </x:c>
      <x:c r="C7" s="26" t="str">
        <x:v>Kumuram Bheem Asifabad</x:v>
      </x:c>
      <x:c r="D7" s="26" t="str">
        <x:v>Telangana</x:v>
      </x:c>
      <x:c r="E7" s="26" t="n">
        <x:v>9960</x:v>
      </x:c>
      <x:c r="F7" s="26" t="str">
        <x:v>PRJ-2026-0009960</x:v>
      </x:c>
      <x:c r="G7" s="26" t="str">
        <x:v>Rain Water Harvesting System : Water Filter Kitchen Construction : Poshan Vatika  kitchen Shelves : Gas stove, regulator : Solar Panel : Civil Repair : Toilet</x:v>
      </x:c>
      <x:c r="H7" s="26" t="str">
        <x:v>Mission Saksham Anganwadi &amp; POSHAN 2.0</x:v>
      </x:c>
      <x:c r="I7" s="32" t="n">
        <x:v>46164</x:v>
      </x:c>
      <x:c r="J7" s="32" t="n">
        <x:v>46255</x:v>
      </x:c>
      <x:c r="K7" s="32"/>
      <x:c r="L7" s="26" t="str">
        <x:v>Active: On/After 01-Aug-2026</x:v>
      </x:c>
      <x:c r="M7" s="26" t="str">
        <x:v>Pending Mapping</x:v>
      </x:c>
      <x:c r="N7" s="26" t="str">
        <x:v>Original project JSON not available</x:v>
      </x:c>
      <x:c r="O7" s="26"/>
      <x:c r="P7" s="26" t="str"/>
      <x:c r="Q7" s="26" t="str"/>
      <x:c r="R7" s="26"/>
      <x:c r="S7" s="36"/>
      <x:c r="T7" s="26"/>
      <x:c r="U7" s="26"/>
      <x:c r="V7" s="26"/>
      <x:c r="W7" s="26" t="n">
        <x:v>4</x:v>
      </x:c>
      <x:c r="X7" s="26" t="n">
        <x:v>0</x:v>
      </x:c>
      <x:c r="Y7" s="26" t="n">
        <x:v>4</x:v>
      </x:c>
      <x:c r="Z7" s="26" t="n">
        <x:v>0</x:v>
      </x:c>
      <x:c r="AA7" s="26" t="n">
        <x:v>4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46220.0000462963</x:v>
      </x:c>
      <x:c r="AG7" s="34"/>
      <x:c r="AH7" s="26" t="str">
        <x:v>Contribution API fields only; original project JSON needed for line-item names/centres/category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41</x:v>
      </x:c>
      <x:c r="B8" s="26" t="n">
        <x:v>250</x:v>
      </x:c>
      <x:c r="C8" s="26" t="str">
        <x:v>Kumuram Bheem Asifabad</x:v>
      </x:c>
      <x:c r="D8" s="26" t="str">
        <x:v>Telangana</x:v>
      </x:c>
      <x:c r="E8" s="26" t="n">
        <x:v>10004</x:v>
      </x:c>
      <x:c r="F8" s="26" t="str">
        <x:v>PRJ-2026-0010004</x:v>
      </x:c>
      <x:c r="G8" s="26" t="str">
        <x:v>Proposal for upgradation of AWC</x:v>
      </x:c>
      <x:c r="H8" s="26" t="str">
        <x:v>Mission Saksham Anganwadi &amp; POSHAN 2.0</x:v>
      </x:c>
      <x:c r="I8" s="32" t="n">
        <x:v>46164</x:v>
      </x:c>
      <x:c r="J8" s="32" t="n">
        <x:v>46203</x:v>
      </x:c>
      <x:c r="K8" s="32"/>
      <x:c r="L8" s="26" t="str">
        <x:v>Exclude: Before 01-Aug-2026</x:v>
      </x:c>
      <x:c r="M8" s="26" t="str">
        <x:v>Pending Mapping</x:v>
      </x:c>
      <x:c r="N8" s="26" t="str">
        <x:v>Original project JSON not available</x:v>
      </x:c>
      <x:c r="O8" s="26"/>
      <x:c r="P8" s="26" t="str"/>
      <x:c r="Q8" s="26" t="str"/>
      <x:c r="R8" s="26"/>
      <x:c r="S8" s="36"/>
      <x:c r="T8" s="26"/>
      <x:c r="U8" s="26"/>
      <x:c r="V8" s="26"/>
      <x:c r="W8" s="26" t="n">
        <x:v>2</x:v>
      </x:c>
      <x:c r="X8" s="26" t="n">
        <x:v>0</x:v>
      </x:c>
      <x:c r="Y8" s="26" t="n">
        <x:v>2</x:v>
      </x:c>
      <x:c r="Z8" s="26" t="n">
        <x:v>0</x:v>
      </x:c>
      <x:c r="AA8" s="26" t="n">
        <x:v>2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46220.00003472222</x:v>
      </x:c>
      <x:c r="AG8" s="34"/>
      <x:c r="AH8" s="26" t="str">
        <x:v>Contribution API fields only; original project JSON needed for line-item names/centres/category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42</x:v>
      </x:c>
      <x:c r="B9" s="26" t="n">
        <x:v>251</x:v>
      </x:c>
      <x:c r="C9" s="26" t="str">
        <x:v>Kumuram Bheem Asifabad</x:v>
      </x:c>
      <x:c r="D9" s="26" t="str">
        <x:v>Telangana</x:v>
      </x:c>
      <x:c r="E9" s="26" t="n">
        <x:v>9991</x:v>
      </x:c>
      <x:c r="F9" s="26" t="str">
        <x:v>PRJ-2026-0009991</x:v>
      </x:c>
      <x:c r="G9" s="26" t="str">
        <x:v>Rain Water Harvesting System : Water Filter Kitchen Construction : Poshan Vatika  kitchen Shelves : Gas stove, regulator : Solar Panel : Civil Repair : Toilet</x:v>
      </x:c>
      <x:c r="H9" s="26" t="str">
        <x:v>Mission Saksham Anganwadi &amp; POSHAN 2.0</x:v>
      </x:c>
      <x:c r="I9" s="32" t="n">
        <x:v>46164</x:v>
      </x:c>
      <x:c r="J9" s="32" t="n">
        <x:v>46255</x:v>
      </x:c>
      <x:c r="K9" s="32"/>
      <x:c r="L9" s="26" t="str">
        <x:v>Active: On/After 01-Aug-2026</x:v>
      </x:c>
      <x:c r="M9" s="26" t="str">
        <x:v>Pending Mapping</x:v>
      </x:c>
      <x:c r="N9" s="26" t="str">
        <x:v>Original project JSON not available</x:v>
      </x:c>
      <x:c r="O9" s="26"/>
      <x:c r="P9" s="26" t="str"/>
      <x:c r="Q9" s="26" t="str"/>
      <x:c r="R9" s="26"/>
      <x:c r="S9" s="36"/>
      <x:c r="T9" s="26"/>
      <x:c r="U9" s="26"/>
      <x:c r="V9" s="26"/>
      <x:c r="W9" s="26" t="n">
        <x:v>4</x:v>
      </x:c>
      <x:c r="X9" s="26" t="n">
        <x:v>0</x:v>
      </x:c>
      <x:c r="Y9" s="26" t="n">
        <x:v>4</x:v>
      </x:c>
      <x:c r="Z9" s="26" t="n">
        <x:v>0</x:v>
      </x:c>
      <x:c r="AA9" s="26" t="n">
        <x:v>4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46220.00003472222</x:v>
      </x:c>
      <x:c r="AG9" s="34"/>
      <x:c r="AH9" s="26" t="str">
        <x:v>Contribution API fields only; original project JSON needed for line-item names/centres/category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43</x:v>
      </x:c>
      <x:c r="B10" s="26" t="n">
        <x:v>249</x:v>
      </x:c>
      <x:c r="C10" s="26" t="str">
        <x:v>Kumuram Bheem Asifabad</x:v>
      </x:c>
      <x:c r="D10" s="26" t="str">
        <x:v>Telangana</x:v>
      </x:c>
      <x:c r="E10" s="26" t="n">
        <x:v>10024</x:v>
      </x:c>
      <x:c r="F10" s="26" t="str">
        <x:v>PRJ-2026-0010024</x:v>
      </x:c>
      <x:c r="G10" s="26" t="str">
        <x:v>Rain Water Harvesting System : Water Filter Kitchen Construction : Poshan Vatika  kitchen Shelves : Gas stove, regulator : Solar Panel : Civil Repair : Toilet</x:v>
      </x:c>
      <x:c r="H10" s="26" t="str">
        <x:v>Mission Saksham Anganwadi &amp; POSHAN 2.0</x:v>
      </x:c>
      <x:c r="I10" s="32" t="n">
        <x:v>46164</x:v>
      </x:c>
      <x:c r="J10" s="32" t="n">
        <x:v>46255</x:v>
      </x:c>
      <x:c r="K10" s="32"/>
      <x:c r="L10" s="26" t="str">
        <x:v>Active: On/After 01-Aug-2026</x:v>
      </x:c>
      <x:c r="M10" s="26" t="str">
        <x:v>Pending Mapping</x:v>
      </x:c>
      <x:c r="N10" s="26" t="str">
        <x:v>Original project JSON not available</x:v>
      </x:c>
      <x:c r="O10" s="26"/>
      <x:c r="P10" s="26" t="str"/>
      <x:c r="Q10" s="26" t="str"/>
      <x:c r="R10" s="26"/>
      <x:c r="S10" s="36"/>
      <x:c r="T10" s="26"/>
      <x:c r="U10" s="26"/>
      <x:c r="V10" s="26"/>
      <x:c r="W10" s="26" t="n">
        <x:v>4</x:v>
      </x:c>
      <x:c r="X10" s="26" t="n">
        <x:v>0</x:v>
      </x:c>
      <x:c r="Y10" s="26" t="n">
        <x:v>4</x:v>
      </x:c>
      <x:c r="Z10" s="26" t="n">
        <x:v>0</x:v>
      </x:c>
      <x:c r="AA10" s="26" t="n">
        <x:v>4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46220.000023148146</x:v>
      </x:c>
      <x:c r="AG10" s="34"/>
      <x:c r="AH10" s="26" t="str">
        <x:v>Contribution API fields only; original project JSON needed for line-item names/centres/category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44</x:v>
      </x:c>
      <x:c r="B11" s="26" t="n">
        <x:v>248</x:v>
      </x:c>
      <x:c r="C11" s="26" t="str">
        <x:v>Kumuram Bheem Asifabad</x:v>
      </x:c>
      <x:c r="D11" s="26" t="str">
        <x:v>Telangana</x:v>
      </x:c>
      <x:c r="E11" s="26" t="n">
        <x:v>10046</x:v>
      </x:c>
      <x:c r="F11" s="26" t="str">
        <x:v>PRJ-2026-0010046</x:v>
      </x:c>
      <x:c r="G11" s="26" t="str">
        <x:v>Proposal for upgradation of AWC</x:v>
      </x:c>
      <x:c r="H11" s="26" t="str">
        <x:v>Mission Saksham Anganwadi &amp; POSHAN 2.0</x:v>
      </x:c>
      <x:c r="I11" s="32" t="n">
        <x:v>46164</x:v>
      </x:c>
      <x:c r="J11" s="32" t="n">
        <x:v>46203</x:v>
      </x:c>
      <x:c r="K11" s="32"/>
      <x:c r="L11" s="26" t="str">
        <x:v>Exclude: Before 01-Aug-2026</x:v>
      </x:c>
      <x:c r="M11" s="26" t="str">
        <x:v>Pending Mapping</x:v>
      </x:c>
      <x:c r="N11" s="26" t="str">
        <x:v>Original project JSON not available</x:v>
      </x:c>
      <x:c r="O11" s="26"/>
      <x:c r="P11" s="26" t="str"/>
      <x:c r="Q11" s="26" t="str"/>
      <x:c r="R11" s="26"/>
      <x:c r="S11" s="36"/>
      <x:c r="T11" s="26"/>
      <x:c r="U11" s="26"/>
      <x:c r="V11" s="26"/>
      <x:c r="W11" s="26" t="n">
        <x:v>4</x:v>
      </x:c>
      <x:c r="X11" s="26" t="n">
        <x:v>0</x:v>
      </x:c>
      <x:c r="Y11" s="26" t="n">
        <x:v>22</x:v>
      </x:c>
      <x:c r="Z11" s="26" t="n">
        <x:v>0</x:v>
      </x:c>
      <x:c r="AA11" s="26" t="n">
        <x:v>22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46220.00001157408</x:v>
      </x:c>
      <x:c r="AG11" s="34"/>
      <x:c r="AH11" s="26" t="str">
        <x:v>Contribution API fields only; original project JSON needed for line-item names/centres/category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45</x:v>
      </x:c>
      <x:c r="B12" s="26" t="n">
        <x:v>246</x:v>
      </x:c>
      <x:c r="C12" s="26" t="str">
        <x:v>Kumuram Bheem Asifabad</x:v>
      </x:c>
      <x:c r="D12" s="26" t="str">
        <x:v>Telangana</x:v>
      </x:c>
      <x:c r="E12" s="26" t="n">
        <x:v>10089</x:v>
      </x:c>
      <x:c r="F12" s="26" t="str">
        <x:v>PRJ-2026-0010089</x:v>
      </x:c>
      <x:c r="G12" s="26" t="str">
        <x:v>Rain Water Harvesting System : Water Filter Kitchen Construction : Poshan Vatika  kitchen Shelves : Gas stove, regulator : Solar Panel : Civil Repair : Toilet</x:v>
      </x:c>
      <x:c r="H12" s="26" t="str">
        <x:v>Mission Saksham Anganwadi &amp; POSHAN 2.0</x:v>
      </x:c>
      <x:c r="I12" s="32" t="n">
        <x:v>46164</x:v>
      </x:c>
      <x:c r="J12" s="32" t="n">
        <x:v>46255</x:v>
      </x:c>
      <x:c r="K12" s="32"/>
      <x:c r="L12" s="26" t="str">
        <x:v>Active: On/After 01-Aug-2026</x:v>
      </x:c>
      <x:c r="M12" s="26" t="str">
        <x:v>Pending Mapping</x:v>
      </x:c>
      <x:c r="N12" s="26" t="str">
        <x:v>Original project JSON not available</x:v>
      </x:c>
      <x:c r="O12" s="26"/>
      <x:c r="P12" s="26" t="str"/>
      <x:c r="Q12" s="26" t="str"/>
      <x:c r="R12" s="26"/>
      <x:c r="S12" s="36"/>
      <x:c r="T12" s="26"/>
      <x:c r="U12" s="26"/>
      <x:c r="V12" s="26"/>
      <x:c r="W12" s="26" t="n">
        <x:v>4</x:v>
      </x:c>
      <x:c r="X12" s="26" t="n">
        <x:v>0</x:v>
      </x:c>
      <x:c r="Y12" s="26" t="n">
        <x:v>4</x:v>
      </x:c>
      <x:c r="Z12" s="26" t="n">
        <x:v>0</x:v>
      </x:c>
      <x:c r="AA12" s="26" t="n">
        <x:v>4</x:v>
      </x:c>
      <x:c r="AB12" s="38" t="n"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46220</x:v>
      </x:c>
      <x:c r="AG12" s="34"/>
      <x:c r="AH12" s="26" t="str">
        <x:v>Contribution API fields only; original project JSON needed for line-item names/centres/category</x:v>
      </x:c>
      <x:c r="AI12" s="26" t="str"/>
      <x:c r="AJ12" s="26" t="str">
        <x:v>Not Started</x:v>
      </x:c>
      <x:c r="AK12" s="26" t="str"/>
      <x:c r="AL12" s="26" t="str"/>
    </x:row>
    <x:row r="13">
      <x:c r="A13" s="26" t="n">
        <x:v>46</x:v>
      </x:c>
      <x:c r="B13" s="26" t="n">
        <x:v>247</x:v>
      </x:c>
      <x:c r="C13" s="26" t="str">
        <x:v>Kumuram Bheem Asifabad</x:v>
      </x:c>
      <x:c r="D13" s="26" t="str">
        <x:v>Telangana</x:v>
      </x:c>
      <x:c r="E13" s="26" t="n">
        <x:v>10055</x:v>
      </x:c>
      <x:c r="F13" s="26" t="str">
        <x:v>PRJ-2026-0010055</x:v>
      </x:c>
      <x:c r="G13" s="26" t="str">
        <x:v>Rain Water Harvesting System : Water Filter Kitchen Construction : Poshan Vatika  kitchen Shelves : Gas stove, regulator : Solar Panel : Civil Repair : Toilet</x:v>
      </x:c>
      <x:c r="H13" s="26" t="str">
        <x:v>Mission Saksham Anganwadi &amp; POSHAN 2.0</x:v>
      </x:c>
      <x:c r="I13" s="32" t="n">
        <x:v>46164</x:v>
      </x:c>
      <x:c r="J13" s="32" t="n">
        <x:v>46256</x:v>
      </x:c>
      <x:c r="K13" s="32"/>
      <x:c r="L13" s="26" t="str">
        <x:v>Active: On/After 01-Aug-2026</x:v>
      </x:c>
      <x:c r="M13" s="26" t="str">
        <x:v>Pending Mapping</x:v>
      </x:c>
      <x:c r="N13" s="26" t="str">
        <x:v>Original project JSON not available</x:v>
      </x:c>
      <x:c r="O13" s="26"/>
      <x:c r="P13" s="26" t="str"/>
      <x:c r="Q13" s="26" t="str"/>
      <x:c r="R13" s="26"/>
      <x:c r="S13" s="36"/>
      <x:c r="T13" s="26"/>
      <x:c r="U13" s="26"/>
      <x:c r="V13" s="26"/>
      <x:c r="W13" s="26" t="n">
        <x:v>4</x:v>
      </x:c>
      <x:c r="X13" s="26" t="n">
        <x:v>0</x:v>
      </x:c>
      <x:c r="Y13" s="26" t="n">
        <x:v>4</x:v>
      </x:c>
      <x:c r="Z13" s="26" t="n">
        <x:v>0</x:v>
      </x:c>
      <x:c r="AA13" s="26" t="n">
        <x:v>4</x:v>
      </x:c>
      <x:c r="AB13" s="38" t="n">
        <x:v>0</x:v>
      </x:c>
      <x:c r="AC13" s="26" t="str">
        <x:v>Committed / Not Delivered</x:v>
      </x:c>
      <x:c r="AD13" s="26" t="str">
        <x:v>Approval not recorded in response</x:v>
      </x:c>
      <x:c r="AE13" s="27" t="b">
        <x:v>1</x:v>
      </x:c>
      <x:c r="AF13" s="34" t="n">
        <x:v>46220</x:v>
      </x:c>
      <x:c r="AG13" s="34"/>
      <x:c r="AH13" s="26" t="str">
        <x:v>Contribution API fields only; original project JSON needed for line-item names/centres/category</x:v>
      </x:c>
      <x:c r="AI13" s="26" t="str"/>
      <x:c r="AJ13" s="26" t="str">
        <x:v>Not Started</x:v>
      </x:c>
      <x:c r="AK13" s="26" t="str"/>
      <x:c r="AL13" s="26" t="str"/>
    </x:row>
    <x:row r="14">
      <x:c r="A14" s="26" t="n">
        <x:v>47</x:v>
      </x:c>
      <x:c r="B14" s="26" t="n">
        <x:v>245</x:v>
      </x:c>
      <x:c r="C14" s="26" t="str">
        <x:v>Kumuram Bheem Asifabad</x:v>
      </x:c>
      <x:c r="D14" s="26" t="str">
        <x:v>Telangana</x:v>
      </x:c>
      <x:c r="E14" s="26" t="n">
        <x:v>10093</x:v>
      </x:c>
      <x:c r="F14" s="26" t="str">
        <x:v>PRJ-2026-0010093</x:v>
      </x:c>
      <x:c r="G14" s="26" t="str">
        <x:v>Proposal for upgradation of AWC</x:v>
      </x:c>
      <x:c r="H14" s="26" t="str">
        <x:v>Mission Saksham Anganwadi &amp; POSHAN 2.0</x:v>
      </x:c>
      <x:c r="I14" s="32" t="n">
        <x:v>46164</x:v>
      </x:c>
      <x:c r="J14" s="32" t="n">
        <x:v>46203</x:v>
      </x:c>
      <x:c r="K14" s="32"/>
      <x:c r="L14" s="26" t="str">
        <x:v>Exclude: Before 01-Aug-2026</x:v>
      </x:c>
      <x:c r="M14" s="26" t="str">
        <x:v>Pending Mapping</x:v>
      </x:c>
      <x:c r="N14" s="26" t="str">
        <x:v>Original project JSON not available</x:v>
      </x:c>
      <x:c r="O14" s="26"/>
      <x:c r="P14" s="26" t="str"/>
      <x:c r="Q14" s="26" t="str"/>
      <x:c r="R14" s="26"/>
      <x:c r="S14" s="36"/>
      <x:c r="T14" s="26"/>
      <x:c r="U14" s="26"/>
      <x:c r="V14" s="26"/>
      <x:c r="W14" s="26" t="n">
        <x:v>4</x:v>
      </x:c>
      <x:c r="X14" s="26" t="n">
        <x:v>0</x:v>
      </x:c>
      <x:c r="Y14" s="26" t="n">
        <x:v>8</x:v>
      </x:c>
      <x:c r="Z14" s="26" t="n">
        <x:v>0</x:v>
      </x:c>
      <x:c r="AA14" s="26" t="n">
        <x:v>8</x:v>
      </x:c>
      <x:c r="AB14" s="38" t="n">
        <x:v>0</x:v>
      </x:c>
      <x:c r="AC14" s="26" t="str">
        <x:v>Committed / Not Delivered</x:v>
      </x:c>
      <x:c r="AD14" s="26" t="str">
        <x:v>Approval not recorded in response</x:v>
      </x:c>
      <x:c r="AE14" s="27" t="b">
        <x:v>1</x:v>
      </x:c>
      <x:c r="AF14" s="34" t="n">
        <x:v>46219.99998842592</x:v>
      </x:c>
      <x:c r="AG14" s="34"/>
      <x:c r="AH14" s="26" t="str">
        <x:v>Contribution API fields only; original project JSON needed for line-item names/centres/category</x:v>
      </x:c>
      <x:c r="AI14" s="26" t="str"/>
      <x:c r="AJ14" s="26" t="str">
        <x:v>Not Started</x:v>
      </x:c>
      <x:c r="AK14" s="26" t="str"/>
      <x:c r="AL14" s="26" t="str"/>
    </x:row>
    <x:row r="15">
      <x:c r="A15" s="26" t="n">
        <x:v>48</x:v>
      </x:c>
      <x:c r="B15" s="26" t="n">
        <x:v>244</x:v>
      </x:c>
      <x:c r="C15" s="26" t="str">
        <x:v>Kumuram Bheem Asifabad</x:v>
      </x:c>
      <x:c r="D15" s="26" t="str">
        <x:v>Telangana</x:v>
      </x:c>
      <x:c r="E15" s="26" t="n">
        <x:v>10113</x:v>
      </x:c>
      <x:c r="F15" s="26" t="str">
        <x:v>PRJ-2026-0010113</x:v>
      </x:c>
      <x:c r="G15" s="26" t="str">
        <x:v>Rain Water Harvesting System : Water Filter Kitchen Construction : Poshan Vatika  kitchen Shelves : Gas stove, regulator : Solar Panel : Civil Repair : Toilet</x:v>
      </x:c>
      <x:c r="H15" s="26" t="str">
        <x:v>Mission Saksham Anganwadi &amp; POSHAN 2.0</x:v>
      </x:c>
      <x:c r="I15" s="32" t="n">
        <x:v>46164</x:v>
      </x:c>
      <x:c r="J15" s="32" t="n">
        <x:v>46255</x:v>
      </x:c>
      <x:c r="K15" s="32"/>
      <x:c r="L15" s="26" t="str">
        <x:v>Active: On/After 01-Aug-2026</x:v>
      </x:c>
      <x:c r="M15" s="26" t="str">
        <x:v>Pending Mapping</x:v>
      </x:c>
      <x:c r="N15" s="26" t="str">
        <x:v>Original project JSON not available</x:v>
      </x:c>
      <x:c r="O15" s="26"/>
      <x:c r="P15" s="26" t="str"/>
      <x:c r="Q15" s="26" t="str"/>
      <x:c r="R15" s="26"/>
      <x:c r="S15" s="36"/>
      <x:c r="T15" s="26"/>
      <x:c r="U15" s="26"/>
      <x:c r="V15" s="26"/>
      <x:c r="W15" s="26" t="n">
        <x:v>4</x:v>
      </x:c>
      <x:c r="X15" s="26" t="n">
        <x:v>0</x:v>
      </x:c>
      <x:c r="Y15" s="26" t="n">
        <x:v>4</x:v>
      </x:c>
      <x:c r="Z15" s="26" t="n">
        <x:v>0</x:v>
      </x:c>
      <x:c r="AA15" s="26" t="n">
        <x:v>4</x:v>
      </x:c>
      <x:c r="AB15" s="38" t="n">
        <x:v>0</x:v>
      </x:c>
      <x:c r="AC15" s="26" t="str">
        <x:v>Committed / Not Delivered</x:v>
      </x:c>
      <x:c r="AD15" s="26" t="str">
        <x:v>Approval not recorded in response</x:v>
      </x:c>
      <x:c r="AE15" s="27" t="b">
        <x:v>1</x:v>
      </x:c>
      <x:c r="AF15" s="34" t="n">
        <x:v>46219.999976851854</x:v>
      </x:c>
      <x:c r="AG15" s="34"/>
      <x:c r="AH15" s="26" t="str">
        <x:v>Contribution API fields only; original project JSON needed for line-item names/centres/category</x:v>
      </x:c>
      <x:c r="AI15" s="26" t="str"/>
      <x:c r="AJ15" s="26" t="str">
        <x:v>Not Started</x:v>
      </x:c>
      <x:c r="AK15" s="26" t="str"/>
      <x:c r="AL15" s="26" t="str"/>
    </x:row>
    <x:row r="16">
      <x:c r="A16" s="26" t="n">
        <x:v>49</x:v>
      </x:c>
      <x:c r="B16" s="26" t="n">
        <x:v>242</x:v>
      </x:c>
      <x:c r="C16" s="26" t="str">
        <x:v>Kumuram Bheem Asifabad</x:v>
      </x:c>
      <x:c r="D16" s="26" t="str">
        <x:v>Telangana</x:v>
      </x:c>
      <x:c r="E16" s="26" t="n">
        <x:v>10141</x:v>
      </x:c>
      <x:c r="F16" s="26" t="str">
        <x:v>PRJ-2026-0010141</x:v>
      </x:c>
      <x:c r="G16" s="26" t="str">
        <x:v>Rain Water Harvesting System : Water Filter Kitchen Construction : Poshan Vatika  kitchen Shelves : Gas stove, regulator : Solar Panel : Civil Repair : Toilet</x:v>
      </x:c>
      <x:c r="H16" s="26" t="str">
        <x:v>Mission Saksham Anganwadi &amp; POSHAN 2.0</x:v>
      </x:c>
      <x:c r="I16" s="32" t="n">
        <x:v>46164</x:v>
      </x:c>
      <x:c r="J16" s="32" t="n">
        <x:v>46255</x:v>
      </x:c>
      <x:c r="K16" s="32"/>
      <x:c r="L16" s="26" t="str">
        <x:v>Active: On/After 01-Aug-2026</x:v>
      </x:c>
      <x:c r="M16" s="26" t="str">
        <x:v>Pending Mapping</x:v>
      </x:c>
      <x:c r="N16" s="26" t="str">
        <x:v>Original project JSON not available</x:v>
      </x:c>
      <x:c r="O16" s="26"/>
      <x:c r="P16" s="26" t="str"/>
      <x:c r="Q16" s="26" t="str"/>
      <x:c r="R16" s="26"/>
      <x:c r="S16" s="36"/>
      <x:c r="T16" s="26"/>
      <x:c r="U16" s="26"/>
      <x:c r="V16" s="26"/>
      <x:c r="W16" s="26" t="n">
        <x:v>4</x:v>
      </x:c>
      <x:c r="X16" s="26" t="n">
        <x:v>0</x:v>
      </x:c>
      <x:c r="Y16" s="26" t="n">
        <x:v>4</x:v>
      </x:c>
      <x:c r="Z16" s="26" t="n">
        <x:v>0</x:v>
      </x:c>
      <x:c r="AA16" s="26" t="n">
        <x:v>4</x:v>
      </x:c>
      <x:c r="AB16" s="38" t="n">
        <x:v>0</x:v>
      </x:c>
      <x:c r="AC16" s="26" t="str">
        <x:v>Committed / Not Delivered</x:v>
      </x:c>
      <x:c r="AD16" s="26" t="str">
        <x:v>Approval not recorded in response</x:v>
      </x:c>
      <x:c r="AE16" s="27" t="b">
        <x:v>1</x:v>
      </x:c>
      <x:c r="AF16" s="34" t="n">
        <x:v>46219.99996527778</x:v>
      </x:c>
      <x:c r="AG16" s="34"/>
      <x:c r="AH16" s="26" t="str">
        <x:v>Contribution API fields only; original project JSON needed for line-item names/centres/category</x:v>
      </x:c>
      <x:c r="AI16" s="26" t="str"/>
      <x:c r="AJ16" s="26" t="str">
        <x:v>Not Started</x:v>
      </x:c>
      <x:c r="AK16" s="26" t="str"/>
      <x:c r="AL16" s="26" t="str"/>
    </x:row>
    <x:row r="17">
      <x:c r="A17" s="26" t="n">
        <x:v>50</x:v>
      </x:c>
      <x:c r="B17" s="26" t="n">
        <x:v>243</x:v>
      </x:c>
      <x:c r="C17" s="26" t="str">
        <x:v>Kumuram Bheem Asifabad</x:v>
      </x:c>
      <x:c r="D17" s="26" t="str">
        <x:v>Telangana</x:v>
      </x:c>
      <x:c r="E17" s="26" t="n">
        <x:v>10135</x:v>
      </x:c>
      <x:c r="F17" s="26" t="str">
        <x:v>PRJ-2026-0010135</x:v>
      </x:c>
      <x:c r="G17" s="26" t="str">
        <x:v>Proposal for upgradation of Anganwadi centre</x:v>
      </x:c>
      <x:c r="H17" s="26" t="str">
        <x:v>Mission Saksham Anganwadi &amp; POSHAN 2.0</x:v>
      </x:c>
      <x:c r="I17" s="32" t="n">
        <x:v>46164</x:v>
      </x:c>
      <x:c r="J17" s="32" t="n">
        <x:v>46234</x:v>
      </x:c>
      <x:c r="K17" s="32"/>
      <x:c r="L17" s="26" t="str">
        <x:v>Exclude: Before 01-Aug-2026</x:v>
      </x:c>
      <x:c r="M17" s="26" t="str">
        <x:v>Pending Mapping</x:v>
      </x:c>
      <x:c r="N17" s="26" t="str">
        <x:v>Original project JSON not available</x:v>
      </x:c>
      <x:c r="O17" s="26"/>
      <x:c r="P17" s="26" t="str"/>
      <x:c r="Q17" s="26" t="str"/>
      <x:c r="R17" s="26"/>
      <x:c r="S17" s="36"/>
      <x:c r="T17" s="26"/>
      <x:c r="U17" s="26"/>
      <x:c r="V17" s="26"/>
      <x:c r="W17" s="26" t="n">
        <x:v>3</x:v>
      </x:c>
      <x:c r="X17" s="26" t="n">
        <x:v>0</x:v>
      </x:c>
      <x:c r="Y17" s="26" t="n">
        <x:v>3</x:v>
      </x:c>
      <x:c r="Z17" s="26" t="n">
        <x:v>0</x:v>
      </x:c>
      <x:c r="AA17" s="26" t="n">
        <x:v>3</x:v>
      </x:c>
      <x:c r="AB17" s="38" t="n">
        <x:v>0</x:v>
      </x:c>
      <x:c r="AC17" s="26" t="str">
        <x:v>Committed / Not Delivered</x:v>
      </x:c>
      <x:c r="AD17" s="26" t="str">
        <x:v>Approval not recorded in response</x:v>
      </x:c>
      <x:c r="AE17" s="27" t="b">
        <x:v>1</x:v>
      </x:c>
      <x:c r="AF17" s="34" t="n">
        <x:v>46219.99996527778</x:v>
      </x:c>
      <x:c r="AG17" s="34"/>
      <x:c r="AH17" s="26" t="str">
        <x:v>Contribution API fields only; original project JSON needed for line-item names/centres/category</x:v>
      </x:c>
      <x:c r="AI17" s="26" t="str"/>
      <x:c r="AJ17" s="26" t="str">
        <x:v>Not Started</x:v>
      </x:c>
      <x:c r="AK17" s="26" t="str"/>
      <x:c r="AL17" s="26" t="str"/>
    </x:row>
    <x:row r="18">
      <x:c r="A18" s="26" t="n">
        <x:v>51</x:v>
      </x:c>
      <x:c r="B18" s="26" t="n">
        <x:v>241</x:v>
      </x:c>
      <x:c r="C18" s="26" t="str">
        <x:v>Kumuram Bheem Asifabad</x:v>
      </x:c>
      <x:c r="D18" s="26" t="str">
        <x:v>Telangana</x:v>
      </x:c>
      <x:c r="E18" s="26" t="n">
        <x:v>11148</x:v>
      </x:c>
      <x:c r="F18" s="26" t="str">
        <x:v>PRJ-2026-0011148</x:v>
      </x:c>
      <x:c r="G18" s="26" t="str">
        <x:v>Water filter, ECCE metirial </x:v>
      </x:c>
      <x:c r="H18" s="26" t="str">
        <x:v>Mission Saksham Anganwadi &amp; POSHAN 2.0</x:v>
      </x:c>
      <x:c r="I18" s="32" t="n">
        <x:v>46164</x:v>
      </x:c>
      <x:c r="J18" s="32" t="n">
        <x:v>46265</x:v>
      </x:c>
      <x:c r="K18" s="32"/>
      <x:c r="L18" s="26" t="str">
        <x:v>Active: On/After 01-Aug-2026</x:v>
      </x:c>
      <x:c r="M18" s="26" t="str">
        <x:v>Pending Mapping</x:v>
      </x:c>
      <x:c r="N18" s="26" t="str">
        <x:v>Original project JSON not available</x:v>
      </x:c>
      <x:c r="O18" s="26"/>
      <x:c r="P18" s="26" t="str"/>
      <x:c r="Q18" s="26" t="str"/>
      <x:c r="R18" s="26"/>
      <x:c r="S18" s="36"/>
      <x:c r="T18" s="26"/>
      <x:c r="U18" s="26"/>
      <x:c r="V18" s="26"/>
      <x:c r="W18" s="26" t="n">
        <x:v>6</x:v>
      </x:c>
      <x:c r="X18" s="26" t="n">
        <x:v>0</x:v>
      </x:c>
      <x:c r="Y18" s="26" t="n">
        <x:v>12</x:v>
      </x:c>
      <x:c r="Z18" s="26" t="n">
        <x:v>0</x:v>
      </x:c>
      <x:c r="AA18" s="26" t="n">
        <x:v>12</x:v>
      </x:c>
      <x:c r="AB18" s="38" t="n">
        <x:v>0</x:v>
      </x:c>
      <x:c r="AC18" s="26" t="str">
        <x:v>Committed / Not Delivered</x:v>
      </x:c>
      <x:c r="AD18" s="26" t="str">
        <x:v>Approval not recorded in response</x:v>
      </x:c>
      <x:c r="AE18" s="27" t="b">
        <x:v>1</x:v>
      </x:c>
      <x:c r="AF18" s="34" t="n">
        <x:v>46219.9999537037</x:v>
      </x:c>
      <x:c r="AG18" s="34"/>
      <x:c r="AH18" s="26" t="str">
        <x:v>Contribution API fields only; original project JSON needed for line-item names/centres/category</x:v>
      </x:c>
      <x:c r="AI18" s="26" t="str"/>
      <x:c r="AJ18" s="26" t="str">
        <x:v>Not Started</x:v>
      </x:c>
      <x:c r="AK18" s="26" t="str"/>
      <x:c r="AL18" s="26" t="str"/>
    </x:row>
    <x:row r="19">
      <x:c r="A19" s="26" t="n">
        <x:v>52</x:v>
      </x:c>
      <x:c r="B19" s="26" t="n">
        <x:v>240</x:v>
      </x:c>
      <x:c r="C19" s="26" t="str">
        <x:v>Kumuram Bheem Asifabad</x:v>
      </x:c>
      <x:c r="D19" s="26" t="str">
        <x:v>Telangana</x:v>
      </x:c>
      <x:c r="E19" s="26" t="n">
        <x:v>9205</x:v>
      </x:c>
      <x:c r="F19" s="26" t="str">
        <x:v>PRJ-2026-0009205</x:v>
      </x:c>
      <x:c r="G19" s="26" t="str">
        <x:v>Proposal for upgradation of Anganwadi centre</x:v>
      </x:c>
      <x:c r="H19" s="26" t="str">
        <x:v>Mission Saksham Anganwadi &amp; POSHAN 2.0</x:v>
      </x:c>
      <x:c r="I19" s="32" t="n">
        <x:v>46164</x:v>
      </x:c>
      <x:c r="J19" s="32" t="n">
        <x:v>46203</x:v>
      </x:c>
      <x:c r="K19" s="32"/>
      <x:c r="L19" s="26" t="str">
        <x:v>Exclude: Before 01-Aug-2026</x:v>
      </x:c>
      <x:c r="M19" s="26" t="str">
        <x:v>Pending Mapping</x:v>
      </x:c>
      <x:c r="N19" s="26" t="str">
        <x:v>Original project JSON not available</x:v>
      </x:c>
      <x:c r="O19" s="26"/>
      <x:c r="P19" s="26" t="str"/>
      <x:c r="Q19" s="26" t="str"/>
      <x:c r="R19" s="26"/>
      <x:c r="S19" s="36"/>
      <x:c r="T19" s="26"/>
      <x:c r="U19" s="26"/>
      <x:c r="V19" s="26"/>
      <x:c r="W19" s="26" t="n">
        <x:v>4</x:v>
      </x:c>
      <x:c r="X19" s="26" t="n">
        <x:v>0</x:v>
      </x:c>
      <x:c r="Y19" s="26" t="n">
        <x:v>8</x:v>
      </x:c>
      <x:c r="Z19" s="26" t="n">
        <x:v>0</x:v>
      </x:c>
      <x:c r="AA19" s="26" t="n">
        <x:v>8</x:v>
      </x:c>
      <x:c r="AB19" s="38" t="n">
        <x:v>0</x:v>
      </x:c>
      <x:c r="AC19" s="26" t="str">
        <x:v>Committed / Not Delivered</x:v>
      </x:c>
      <x:c r="AD19" s="26" t="str">
        <x:v>Approval not recorded in response</x:v>
      </x:c>
      <x:c r="AE19" s="27" t="b">
        <x:v>1</x:v>
      </x:c>
      <x:c r="AF19" s="34" t="n">
        <x:v>46219.856261574074</x:v>
      </x:c>
      <x:c r="AG19" s="34"/>
      <x:c r="AH19" s="26" t="str">
        <x:v>Contribution API fields only; original project JSON needed for line-item names/centres/category</x:v>
      </x:c>
      <x:c r="AI19" s="26" t="str"/>
      <x:c r="AJ19" s="26" t="str">
        <x:v>Not Started</x:v>
      </x:c>
      <x:c r="AK19" s="26" t="str"/>
      <x:c r="AL19" s="26" t="str"/>
    </x:row>
    <x:row r="20">
      <x:c r="A20" s="26" t="n">
        <x:v>53</x:v>
      </x:c>
      <x:c r="B20" s="26" t="n">
        <x:v>238</x:v>
      </x:c>
      <x:c r="C20" s="26" t="str">
        <x:v>Kumuram Bheem Asifabad</x:v>
      </x:c>
      <x:c r="D20" s="26" t="str">
        <x:v>Telangana</x:v>
      </x:c>
      <x:c r="E20" s="26" t="n">
        <x:v>10228</x:v>
      </x:c>
      <x:c r="F20" s="26" t="str">
        <x:v>PRJ-2026-0010228</x:v>
      </x:c>
      <x:c r="G20" s="26" t="str">
        <x:v>Rain Water Harvesting System : Water Filter Kitchen Construction : Poshan Vatika  kitchen Shelves : Gas stove, regulator : Solar Panel : Civil Repair : Toilet</x:v>
      </x:c>
      <x:c r="H20" s="26" t="str">
        <x:v>Mission Saksham Anganwadi &amp; POSHAN 2.0</x:v>
      </x:c>
      <x:c r="I20" s="32" t="n">
        <x:v>46164</x:v>
      </x:c>
      <x:c r="J20" s="32" t="n">
        <x:v>46164</x:v>
      </x:c>
      <x:c r="K20" s="32"/>
      <x:c r="L20" s="26" t="str">
        <x:v>Exclude: Before 01-Aug-2026</x:v>
      </x:c>
      <x:c r="M20" s="26" t="str">
        <x:v>Pending Mapping</x:v>
      </x:c>
      <x:c r="N20" s="26" t="str">
        <x:v>Original project JSON not available</x:v>
      </x:c>
      <x:c r="O20" s="26"/>
      <x:c r="P20" s="26" t="str"/>
      <x:c r="Q20" s="26" t="str"/>
      <x:c r="R20" s="26"/>
      <x:c r="S20" s="36"/>
      <x:c r="T20" s="26"/>
      <x:c r="U20" s="26"/>
      <x:c r="V20" s="26"/>
      <x:c r="W20" s="26" t="n">
        <x:v>4</x:v>
      </x:c>
      <x:c r="X20" s="26" t="n">
        <x:v>0</x:v>
      </x:c>
      <x:c r="Y20" s="26" t="n">
        <x:v>4</x:v>
      </x:c>
      <x:c r="Z20" s="26" t="n">
        <x:v>0</x:v>
      </x:c>
      <x:c r="AA20" s="26" t="n">
        <x:v>4</x:v>
      </x:c>
      <x:c r="AB20" s="38" t="n">
        <x:v>0</x:v>
      </x:c>
      <x:c r="AC20" s="26" t="str">
        <x:v>Committed / Not Delivered</x:v>
      </x:c>
      <x:c r="AD20" s="26" t="str">
        <x:v>Approval not recorded in response</x:v>
      </x:c>
      <x:c r="AE20" s="27" t="b">
        <x:v>1</x:v>
      </x:c>
      <x:c r="AF20" s="34" t="n">
        <x:v>46219.85625</x:v>
      </x:c>
      <x:c r="AG20" s="34"/>
      <x:c r="AH20" s="26" t="str">
        <x:v>Contribution API fields only; original project JSON needed for line-item names/centres/category</x:v>
      </x:c>
      <x:c r="AI20" s="26" t="str"/>
      <x:c r="AJ20" s="26" t="str">
        <x:v>Not Started</x:v>
      </x:c>
      <x:c r="AK20" s="26" t="str"/>
      <x:c r="AL20" s="26" t="str"/>
    </x:row>
    <x:row r="21">
      <x:c r="A21" s="26" t="n">
        <x:v>54</x:v>
      </x:c>
      <x:c r="B21" s="26" t="n">
        <x:v>239</x:v>
      </x:c>
      <x:c r="C21" s="26" t="str">
        <x:v>Kumuram Bheem Asifabad</x:v>
      </x:c>
      <x:c r="D21" s="26" t="str">
        <x:v>Telangana</x:v>
      </x:c>
      <x:c r="E21" s="26" t="n">
        <x:v>8790</x:v>
      </x:c>
      <x:c r="F21" s="26" t="str">
        <x:v>PRJ-2026-0008790</x:v>
      </x:c>
      <x:c r="G21" s="26" t="str">
        <x:v>Rain Water Harvesting System : Water Filter Kitchen Construction : Poshan Vatika  kitchen Shelves : Gas stove, regulator : Solar Panel : Civil Repair : Toilet</x:v>
      </x:c>
      <x:c r="H21" s="26" t="str">
        <x:v>Mission Saksham Anganwadi &amp; POSHAN 2.0</x:v>
      </x:c>
      <x:c r="I21" s="32" t="n">
        <x:v>46165</x:v>
      </x:c>
      <x:c r="J21" s="32" t="n">
        <x:v>46255</x:v>
      </x:c>
      <x:c r="K21" s="32"/>
      <x:c r="L21" s="26" t="str">
        <x:v>Active: On/After 01-Aug-2026</x:v>
      </x:c>
      <x:c r="M21" s="26" t="str">
        <x:v>Pending Mapping</x:v>
      </x:c>
      <x:c r="N21" s="26" t="str">
        <x:v>Original project JSON not available</x:v>
      </x:c>
      <x:c r="O21" s="26"/>
      <x:c r="P21" s="26" t="str"/>
      <x:c r="Q21" s="26" t="str"/>
      <x:c r="R21" s="26"/>
      <x:c r="S21" s="36"/>
      <x:c r="T21" s="26"/>
      <x:c r="U21" s="26"/>
      <x:c r="V21" s="26"/>
      <x:c r="W21" s="26" t="n">
        <x:v>4</x:v>
      </x:c>
      <x:c r="X21" s="26" t="n">
        <x:v>0</x:v>
      </x:c>
      <x:c r="Y21" s="26" t="n">
        <x:v>4</x:v>
      </x:c>
      <x:c r="Z21" s="26" t="n">
        <x:v>0</x:v>
      </x:c>
      <x:c r="AA21" s="26" t="n">
        <x:v>4</x:v>
      </x:c>
      <x:c r="AB21" s="38" t="n">
        <x:v>0</x:v>
      </x:c>
      <x:c r="AC21" s="26" t="str">
        <x:v>Committed / Not Delivered</x:v>
      </x:c>
      <x:c r="AD21" s="26" t="str">
        <x:v>Approval not recorded in response</x:v>
      </x:c>
      <x:c r="AE21" s="27" t="b">
        <x:v>1</x:v>
      </x:c>
      <x:c r="AF21" s="34" t="n">
        <x:v>46219.85625</x:v>
      </x:c>
      <x:c r="AG21" s="34"/>
      <x:c r="AH21" s="26" t="str">
        <x:v>Contribution API fields only; original project JSON needed for line-item names/centres/category</x:v>
      </x:c>
      <x:c r="AI21" s="26" t="str"/>
      <x:c r="AJ21" s="26" t="str">
        <x:v>Not Started</x:v>
      </x:c>
      <x:c r="AK21" s="26" t="str"/>
      <x:c r="AL21" s="26" t="str"/>
    </x:row>
    <x:row r="22">
      <x:c r="A22" s="26" t="n">
        <x:v>55</x:v>
      </x:c>
      <x:c r="B22" s="26" t="n">
        <x:v>237</x:v>
      </x:c>
      <x:c r="C22" s="26" t="str">
        <x:v>Kumuram Bheem Asifabad</x:v>
      </x:c>
      <x:c r="D22" s="26" t="str">
        <x:v>Telangana</x:v>
      </x:c>
      <x:c r="E22" s="26" t="n">
        <x:v>10201</x:v>
      </x:c>
      <x:c r="F22" s="26" t="str">
        <x:v>PRJ-2026-0010201</x:v>
      </x:c>
      <x:c r="G22" s="26" t="str">
        <x:v>Rain Water Harvesting System : Water Filter Kitchen Construction : Poshan Vatika  kitchen Shelves : Gas stove, regulator : Solar Panel : Civil Repair : Toilet</x:v>
      </x:c>
      <x:c r="H22" s="26" t="str">
        <x:v>Mission Saksham Anganwadi &amp; POSHAN 2.0</x:v>
      </x:c>
      <x:c r="I22" s="32" t="n">
        <x:v>46164</x:v>
      </x:c>
      <x:c r="J22" s="32" t="n">
        <x:v>46255</x:v>
      </x:c>
      <x:c r="K22" s="32"/>
      <x:c r="L22" s="26" t="str">
        <x:v>Active: On/After 01-Aug-2026</x:v>
      </x:c>
      <x:c r="M22" s="26" t="str">
        <x:v>Pending Mapping</x:v>
      </x:c>
      <x:c r="N22" s="26" t="str">
        <x:v>Original project JSON not available</x:v>
      </x:c>
      <x:c r="O22" s="26"/>
      <x:c r="P22" s="26" t="str"/>
      <x:c r="Q22" s="26" t="str"/>
      <x:c r="R22" s="26"/>
      <x:c r="S22" s="36"/>
      <x:c r="T22" s="26"/>
      <x:c r="U22" s="26"/>
      <x:c r="V22" s="26"/>
      <x:c r="W22" s="26" t="n">
        <x:v>4</x:v>
      </x:c>
      <x:c r="X22" s="26" t="n">
        <x:v>0</x:v>
      </x:c>
      <x:c r="Y22" s="26" t="n">
        <x:v>4</x:v>
      </x:c>
      <x:c r="Z22" s="26" t="n">
        <x:v>0</x:v>
      </x:c>
      <x:c r="AA22" s="26" t="n">
        <x:v>4</x:v>
      </x:c>
      <x:c r="AB22" s="38" t="n">
        <x:v>0</x:v>
      </x:c>
      <x:c r="AC22" s="26" t="str">
        <x:v>Committed / Not Delivered</x:v>
      </x:c>
      <x:c r="AD22" s="26" t="str">
        <x:v>Approval not recorded in response</x:v>
      </x:c>
      <x:c r="AE22" s="27" t="b">
        <x:v>1</x:v>
      </x:c>
      <x:c r="AF22" s="34" t="n">
        <x:v>46219.85622685185</x:v>
      </x:c>
      <x:c r="AG22" s="34"/>
      <x:c r="AH22" s="26" t="str">
        <x:v>Contribution API fields only; original project JSON needed for line-item names/centres/category</x:v>
      </x:c>
      <x:c r="AI22" s="26" t="str"/>
      <x:c r="AJ22" s="26" t="str">
        <x:v>Not Started</x:v>
      </x:c>
      <x:c r="AK22" s="26" t="str"/>
      <x:c r="AL22" s="26" t="str"/>
    </x:row>
    <x:row r="23">
      <x:c r="A23" s="26" t="n">
        <x:v>103</x:v>
      </x:c>
      <x:c r="B23" s="26" t="n">
        <x:v>189</x:v>
      </x:c>
      <x:c r="C23" s="26" t="str">
        <x:v>Kumuram Bheem Asifabad</x:v>
      </x:c>
      <x:c r="D23" s="26" t="str">
        <x:v>Telangana</x:v>
      </x:c>
      <x:c r="E23" s="26" t="n">
        <x:v>11243</x:v>
      </x:c>
      <x:c r="F23" s="26" t="str">
        <x:v>PRJ-2026-0011243</x:v>
      </x:c>
      <x:c r="G23" s="26" t="str">
        <x:v>Water filter, solar pyanal </x:v>
      </x:c>
      <x:c r="H23" s="26" t="str">
        <x:v>Mission Saksham Anganwadi &amp; POSHAN 2.0</x:v>
      </x:c>
      <x:c r="I23" s="32" t="n">
        <x:v>46164</x:v>
      </x:c>
      <x:c r="J23" s="32" t="n">
        <x:v>46265</x:v>
      </x:c>
      <x:c r="K23" s="32"/>
      <x:c r="L23" s="26" t="str">
        <x:v>Active: On/After 01-Aug-2026</x:v>
      </x:c>
      <x:c r="M23" s="26" t="str">
        <x:v>Pending Mapping</x:v>
      </x:c>
      <x:c r="N23" s="26" t="str">
        <x:v>Original project JSON not available</x:v>
      </x:c>
      <x:c r="O23" s="26"/>
      <x:c r="P23" s="26" t="str"/>
      <x:c r="Q23" s="26" t="str"/>
      <x:c r="R23" s="26"/>
      <x:c r="S23" s="36"/>
      <x:c r="T23" s="26"/>
      <x:c r="U23" s="26"/>
      <x:c r="V23" s="26"/>
      <x:c r="W23" s="26" t="n">
        <x:v>6</x:v>
      </x:c>
      <x:c r="X23" s="26" t="n">
        <x:v>0</x:v>
      </x:c>
      <x:c r="Y23" s="26" t="n">
        <x:v>9</x:v>
      </x:c>
      <x:c r="Z23" s="26" t="n">
        <x:v>0</x:v>
      </x:c>
      <x:c r="AA23" s="26" t="n">
        <x:v>9</x:v>
      </x:c>
      <x:c r="AB23" s="38" t="n">
        <x:v>0</x:v>
      </x:c>
      <x:c r="AC23" s="26" t="str">
        <x:v>Committed / Not Delivered</x:v>
      </x:c>
      <x:c r="AD23" s="26" t="str">
        <x:v>Approval not recorded in response</x:v>
      </x:c>
      <x:c r="AE23" s="27" t="b">
        <x:v>1</x:v>
      </x:c>
      <x:c r="AF23" s="34" t="n">
        <x:v>46219.71761574074</x:v>
      </x:c>
      <x:c r="AG23" s="34"/>
      <x:c r="AH23" s="26" t="str">
        <x:v>Contribution API fields only; original project JSON needed for line-item names/centres/category</x:v>
      </x:c>
      <x:c r="AI23" s="26" t="str"/>
      <x:c r="AJ23" s="26" t="str">
        <x:v>Not Started</x:v>
      </x:c>
      <x:c r="AK23" s="26" t="str"/>
      <x:c r="AL23" s="26" t="str"/>
    </x:row>
    <x:row r="24">
      <x:c r="A24" s="26" t="n">
        <x:v>104</x:v>
      </x:c>
      <x:c r="B24" s="26" t="n">
        <x:v>173</x:v>
      </x:c>
      <x:c r="C24" s="26" t="str">
        <x:v>Kumuram Bheem Asifabad</x:v>
      </x:c>
      <x:c r="D24" s="26" t="str">
        <x:v>Telangana</x:v>
      </x:c>
      <x:c r="E24" s="26" t="n">
        <x:v>7329</x:v>
      </x:c>
      <x:c r="F24" s="26" t="str">
        <x:v>PRJ-2026-0007329</x:v>
      </x:c>
      <x:c r="G24" s="26" t="str">
        <x:v>Water filter</x:v>
      </x:c>
      <x:c r="H24" s="26" t="str">
        <x:v>Mission Saksham Anganwadi &amp; POSHAN 2.0</x:v>
      </x:c>
      <x:c r="I24" s="32" t="n">
        <x:v>46164</x:v>
      </x:c>
      <x:c r="J24" s="32" t="n">
        <x:v>46265</x:v>
      </x:c>
      <x:c r="K24" s="32"/>
      <x:c r="L24" s="26" t="str">
        <x:v>Active: On/After 01-Aug-2026</x:v>
      </x:c>
      <x:c r="M24" s="26" t="str">
        <x:v>Pending Mapping</x:v>
      </x:c>
      <x:c r="N24" s="26" t="str">
        <x:v>Original project JSON not available</x:v>
      </x:c>
      <x:c r="O24" s="26"/>
      <x:c r="P24" s="26" t="str"/>
      <x:c r="Q24" s="26" t="str"/>
      <x:c r="R24" s="26"/>
      <x:c r="S24" s="36"/>
      <x:c r="T24" s="26"/>
      <x:c r="U24" s="26"/>
      <x:c r="V24" s="26"/>
      <x:c r="W24" s="26" t="n">
        <x:v>1</x:v>
      </x:c>
      <x:c r="X24" s="26" t="n">
        <x:v>0</x:v>
      </x:c>
      <x:c r="Y24" s="26" t="n">
        <x:v>1</x:v>
      </x:c>
      <x:c r="Z24" s="26" t="n">
        <x:v>0</x:v>
      </x:c>
      <x:c r="AA24" s="26" t="n">
        <x:v>1</x:v>
      </x:c>
      <x:c r="AB24" s="38" t="n">
        <x:v>0</x:v>
      </x:c>
      <x:c r="AC24" s="26" t="str">
        <x:v>Committed / Not Delivered</x:v>
      </x:c>
      <x:c r="AD24" s="26" t="str">
        <x:v>Approval not recorded in response</x:v>
      </x:c>
      <x:c r="AE24" s="27" t="b">
        <x:v>1</x:v>
      </x:c>
      <x:c r="AF24" s="34" t="n">
        <x:v>46219.438935185186</x:v>
      </x:c>
      <x:c r="AG24" s="34"/>
      <x:c r="AH24" s="26" t="str">
        <x:v>Contribution API fields only; original project JSON needed for line-item names/centres/category</x:v>
      </x:c>
      <x:c r="AI24" s="26" t="str"/>
      <x:c r="AJ24" s="26" t="str">
        <x:v>Not Started</x:v>
      </x:c>
      <x:c r="AK24" s="26" t="str"/>
      <x:c r="AL24" s="26" t="str"/>
    </x:row>
    <x:row r="25">
      <x:c r="A25" s="26" t="n">
        <x:v>105</x:v>
      </x:c>
      <x:c r="B25" s="26" t="n">
        <x:v>184</x:v>
      </x:c>
      <x:c r="C25" s="26" t="str">
        <x:v>Kumuram Bheem Asifabad</x:v>
      </x:c>
      <x:c r="D25" s="26" t="str">
        <x:v>Telangana</x:v>
      </x:c>
      <x:c r="E25" s="26" t="n">
        <x:v>10044</x:v>
      </x:c>
      <x:c r="F25" s="26" t="str">
        <x:v>PRJ-2026-0010044</x:v>
      </x:c>
      <x:c r="G25" s="26" t="str">
        <x:v>Water filter </x:v>
      </x:c>
      <x:c r="H25" s="26" t="str">
        <x:v>Mission Saksham Anganwadi &amp; POSHAN 2.0</x:v>
      </x:c>
      <x:c r="I25" s="32" t="n">
        <x:v>46164</x:v>
      </x:c>
      <x:c r="J25" s="32" t="n">
        <x:v>46265</x:v>
      </x:c>
      <x:c r="K25" s="32"/>
      <x:c r="L25" s="26" t="str">
        <x:v>Active: On/After 01-Aug-2026</x:v>
      </x:c>
      <x:c r="M25" s="26" t="str">
        <x:v>Pending Mapping</x:v>
      </x:c>
      <x:c r="N25" s="26" t="str">
        <x:v>Original project JSON not available</x:v>
      </x:c>
      <x:c r="O25" s="26"/>
      <x:c r="P25" s="26" t="str"/>
      <x:c r="Q25" s="26" t="str"/>
      <x:c r="R25" s="26"/>
      <x:c r="S25" s="36"/>
      <x:c r="T25" s="26"/>
      <x:c r="U25" s="26"/>
      <x:c r="V25" s="26"/>
      <x:c r="W25" s="26" t="n">
        <x:v>1</x:v>
      </x:c>
      <x:c r="X25" s="26" t="n">
        <x:v>0</x:v>
      </x:c>
      <x:c r="Y25" s="26" t="n">
        <x:v>1</x:v>
      </x:c>
      <x:c r="Z25" s="26" t="n">
        <x:v>0</x:v>
      </x:c>
      <x:c r="AA25" s="26" t="n">
        <x:v>1</x:v>
      </x:c>
      <x:c r="AB25" s="38" t="n">
        <x:v>0</x:v>
      </x:c>
      <x:c r="AC25" s="26" t="str">
        <x:v>Committed / Not Delivered</x:v>
      </x:c>
      <x:c r="AD25" s="26" t="str">
        <x:v>Approval not recorded in response</x:v>
      </x:c>
      <x:c r="AE25" s="27" t="b">
        <x:v>1</x:v>
      </x:c>
      <x:c r="AF25" s="34" t="n">
        <x:v>46219.438935185186</x:v>
      </x:c>
      <x:c r="AG25" s="34"/>
      <x:c r="AH25" s="26" t="str">
        <x:v>Contribution API fields only; original project JSON needed for line-item names/centres/category</x:v>
      </x:c>
      <x:c r="AI25" s="26" t="str"/>
      <x:c r="AJ25" s="26" t="str">
        <x:v>Not Started</x:v>
      </x:c>
      <x:c r="AK25" s="26" t="str"/>
      <x:c r="AL25" s="26" t="str"/>
    </x:row>
    <x:row r="26">
      <x:c r="A26" s="26" t="n">
        <x:v>106</x:v>
      </x:c>
      <x:c r="B26" s="26" t="n">
        <x:v>185</x:v>
      </x:c>
      <x:c r="C26" s="26" t="str">
        <x:v>Kumuram Bheem Asifabad</x:v>
      </x:c>
      <x:c r="D26" s="26" t="str">
        <x:v>Telangana</x:v>
      </x:c>
      <x:c r="E26" s="26" t="n">
        <x:v>10183</x:v>
      </x:c>
      <x:c r="F26" s="26" t="str">
        <x:v>PRJ-2026-0010183</x:v>
      </x:c>
      <x:c r="G26" s="26" t="str">
        <x:v>Water filter </x:v>
      </x:c>
      <x:c r="H26" s="26" t="str">
        <x:v>Mission Saksham Anganwadi &amp; POSHAN 2.0</x:v>
      </x:c>
      <x:c r="I26" s="32" t="n">
        <x:v>46165</x:v>
      </x:c>
      <x:c r="J26" s="32" t="n">
        <x:v>46265</x:v>
      </x:c>
      <x:c r="K26" s="32"/>
      <x:c r="L26" s="26" t="str">
        <x:v>Active: On/After 01-Aug-2026</x:v>
      </x:c>
      <x:c r="M26" s="26" t="str">
        <x:v>Pending Mapping</x:v>
      </x:c>
      <x:c r="N26" s="26" t="str">
        <x:v>Original project JSON not available</x:v>
      </x:c>
      <x:c r="O26" s="26"/>
      <x:c r="P26" s="26" t="str"/>
      <x:c r="Q26" s="26" t="str"/>
      <x:c r="R26" s="26"/>
      <x:c r="S26" s="36"/>
      <x:c r="T26" s="26"/>
      <x:c r="U26" s="26"/>
      <x:c r="V26" s="26"/>
      <x:c r="W26" s="26" t="n">
        <x:v>1</x:v>
      </x:c>
      <x:c r="X26" s="26" t="n">
        <x:v>0</x:v>
      </x:c>
      <x:c r="Y26" s="26" t="n">
        <x:v>1</x:v>
      </x:c>
      <x:c r="Z26" s="26" t="n">
        <x:v>0</x:v>
      </x:c>
      <x:c r="AA26" s="26" t="n">
        <x:v>1</x:v>
      </x:c>
      <x:c r="AB26" s="38" t="n">
        <x:v>0</x:v>
      </x:c>
      <x:c r="AC26" s="26" t="str">
        <x:v>Committed / Not Delivered</x:v>
      </x:c>
      <x:c r="AD26" s="26" t="str">
        <x:v>Approval not recorded in response</x:v>
      </x:c>
      <x:c r="AE26" s="27" t="b">
        <x:v>1</x:v>
      </x:c>
      <x:c r="AF26" s="34" t="n">
        <x:v>46219.43892361111</x:v>
      </x:c>
      <x:c r="AG26" s="34"/>
      <x:c r="AH26" s="26" t="str">
        <x:v>Contribution API fields only; original project JSON needed for line-item names/centres/category</x:v>
      </x:c>
      <x:c r="AI26" s="26" t="str"/>
      <x:c r="AJ26" s="26" t="str">
        <x:v>Not Started</x:v>
      </x:c>
      <x:c r="AK26" s="26" t="str"/>
      <x:c r="AL26" s="26" t="str"/>
    </x:row>
    <x:row r="27">
      <x:c r="A27" s="26" t="n">
        <x:v>107</x:v>
      </x:c>
      <x:c r="B27" s="26" t="n">
        <x:v>186</x:v>
      </x:c>
      <x:c r="C27" s="26" t="str">
        <x:v>Kumuram Bheem Asifabad</x:v>
      </x:c>
      <x:c r="D27" s="26" t="str">
        <x:v>Telangana</x:v>
      </x:c>
      <x:c r="E27" s="26" t="n">
        <x:v>10282</x:v>
      </x:c>
      <x:c r="F27" s="26" t="str">
        <x:v>PRJ-2026-0010282</x:v>
      </x:c>
      <x:c r="G27" s="26" t="str">
        <x:v>Water filter, gas stove, ECCE metirial </x:v>
      </x:c>
      <x:c r="H27" s="26" t="str">
        <x:v>Mission Saksham Anganwadi &amp; POSHAN 2.0</x:v>
      </x:c>
      <x:c r="I27" s="32" t="n">
        <x:v>46164</x:v>
      </x:c>
      <x:c r="J27" s="32" t="n">
        <x:v>46265</x:v>
      </x:c>
      <x:c r="K27" s="32"/>
      <x:c r="L27" s="26" t="str">
        <x:v>Active: On/After 01-Aug-2026</x:v>
      </x:c>
      <x:c r="M27" s="26" t="str">
        <x:v>Pending Mapping</x:v>
      </x:c>
      <x:c r="N27" s="26" t="str">
        <x:v>Original project JSON not available</x:v>
      </x:c>
      <x:c r="O27" s="26"/>
      <x:c r="P27" s="26" t="str"/>
      <x:c r="Q27" s="26" t="str"/>
      <x:c r="R27" s="26"/>
      <x:c r="S27" s="36"/>
      <x:c r="T27" s="26"/>
      <x:c r="U27" s="26"/>
      <x:c r="V27" s="26"/>
      <x:c r="W27" s="26" t="n">
        <x:v>2</x:v>
      </x:c>
      <x:c r="X27" s="26" t="n">
        <x:v>0</x:v>
      </x:c>
      <x:c r="Y27" s="26" t="n">
        <x:v>2</x:v>
      </x:c>
      <x:c r="Z27" s="26" t="n">
        <x:v>0</x:v>
      </x:c>
      <x:c r="AA27" s="26" t="n">
        <x:v>2</x:v>
      </x:c>
      <x:c r="AB27" s="38" t="n">
        <x:v>0</x:v>
      </x:c>
      <x:c r="AC27" s="26" t="str">
        <x:v>Committed / Not Delivered</x:v>
      </x:c>
      <x:c r="AD27" s="26" t="str">
        <x:v>Approval not recorded in response</x:v>
      </x:c>
      <x:c r="AE27" s="27" t="b">
        <x:v>1</x:v>
      </x:c>
      <x:c r="AF27" s="34" t="n">
        <x:v>46219.43891203704</x:v>
      </x:c>
      <x:c r="AG27" s="34"/>
      <x:c r="AH27" s="26" t="str">
        <x:v>Contribution API fields only; original project JSON needed for line-item names/centres/category</x:v>
      </x:c>
      <x:c r="AI27" s="26" t="str"/>
      <x:c r="AJ27" s="26" t="str">
        <x:v>Not Started</x:v>
      </x:c>
      <x:c r="AK27" s="26" t="str"/>
      <x:c r="AL27" s="26" t="str"/>
    </x:row>
    <x:row r="28">
      <x:c r="A28" s="26" t="n">
        <x:v>108</x:v>
      </x:c>
      <x:c r="B28" s="26" t="n">
        <x:v>131</x:v>
      </x:c>
      <x:c r="C28" s="26" t="str">
        <x:v>Kumuram Bheem Asifabad</x:v>
      </x:c>
      <x:c r="D28" s="26" t="str">
        <x:v>Telangana</x:v>
      </x:c>
      <x:c r="E28" s="26" t="n">
        <x:v>10279</x:v>
      </x:c>
      <x:c r="F28" s="26" t="str">
        <x:v>PRJ-2026-0010279</x:v>
      </x:c>
      <x:c r="G28" s="26" t="str">
        <x:v>Rain Water Harvesting System : Water Filter Kitchen Construction : Poshan Vatika  kitchen Shelves : Gas stove, regulator : Solar Panel : Civil Repair : Toilet</x:v>
      </x:c>
      <x:c r="H28" s="26" t="str">
        <x:v>Mission Saksham Anganwadi &amp; POSHAN 2.0</x:v>
      </x:c>
      <x:c r="I28" s="32" t="n">
        <x:v>46164</x:v>
      </x:c>
      <x:c r="J28" s="32" t="n">
        <x:v>46255</x:v>
      </x:c>
      <x:c r="K28" s="32"/>
      <x:c r="L28" s="26" t="str">
        <x:v>Active: On/After 01-Aug-2026</x:v>
      </x:c>
      <x:c r="M28" s="26" t="str">
        <x:v>Pending Mapping</x:v>
      </x:c>
      <x:c r="N28" s="26" t="str">
        <x:v>Original project JSON not available</x:v>
      </x:c>
      <x:c r="O28" s="26"/>
      <x:c r="P28" s="26" t="str"/>
      <x:c r="Q28" s="26" t="str"/>
      <x:c r="R28" s="26"/>
      <x:c r="S28" s="36"/>
      <x:c r="T28" s="26"/>
      <x:c r="U28" s="26"/>
      <x:c r="V28" s="26"/>
      <x:c r="W28" s="26" t="n">
        <x:v>1</x:v>
      </x:c>
      <x:c r="X28" s="26" t="n">
        <x:v>0</x:v>
      </x:c>
      <x:c r="Y28" s="26" t="n">
        <x:v>1</x:v>
      </x:c>
      <x:c r="Z28" s="26" t="n">
        <x:v>0</x:v>
      </x:c>
      <x:c r="AA28" s="26" t="n">
        <x:v>1</x:v>
      </x:c>
      <x:c r="AB28" s="38" t="n">
        <x:v>0</x:v>
      </x:c>
      <x:c r="AC28" s="26" t="str">
        <x:v>Committed / Not Delivered</x:v>
      </x:c>
      <x:c r="AD28" s="26" t="str">
        <x:v>Approval not recorded in response</x:v>
      </x:c>
      <x:c r="AE28" s="27" t="b">
        <x:v>1</x:v>
      </x:c>
      <x:c r="AF28" s="34" t="n">
        <x:v>46219.42805555555</x:v>
      </x:c>
      <x:c r="AG28" s="34"/>
      <x:c r="AH28" s="26" t="str">
        <x:v>Contribution API fields only; original project JSON needed for line-item names/centres/category</x:v>
      </x:c>
      <x:c r="AI28" s="26" t="str"/>
      <x:c r="AJ28" s="26" t="str">
        <x:v>Not Started</x:v>
      </x:c>
      <x:c r="AK28" s="26" t="str"/>
      <x:c r="AL28" s="26" t="str"/>
    </x:row>
    <x:row r="29">
      <x:c r="A29" s="26" t="n">
        <x:v>109</x:v>
      </x:c>
      <x:c r="B29" s="26" t="n">
        <x:v>133</x:v>
      </x:c>
      <x:c r="C29" s="26" t="str">
        <x:v>Kumuram Bheem Asifabad</x:v>
      </x:c>
      <x:c r="D29" s="26" t="str">
        <x:v>Telangana</x:v>
      </x:c>
      <x:c r="E29" s="26" t="n">
        <x:v>83</x:v>
      </x:c>
      <x:c r="F29" s="26" t="str">
        <x:v>PRJ-2026-0000083</x:v>
      </x:c>
      <x:c r="G29" s="26" t="str">
        <x:v>Requirement of Water Filter, ECCE, GMD</x:v>
      </x:c>
      <x:c r="H29" s="26" t="str">
        <x:v>Mission Saksham Anganwadi &amp; POSHAN 2.0</x:v>
      </x:c>
      <x:c r="I29" s="32" t="n">
        <x:v>46163</x:v>
      </x:c>
      <x:c r="J29" s="32" t="n">
        <x:v>46316</x:v>
      </x:c>
      <x:c r="K29" s="32"/>
      <x:c r="L29" s="26" t="str">
        <x:v>Active: On/After 01-Aug-2026</x:v>
      </x:c>
      <x:c r="M29" s="26" t="str">
        <x:v>Pending Mapping</x:v>
      </x:c>
      <x:c r="N29" s="26" t="str">
        <x:v>Original project JSON not available</x:v>
      </x:c>
      <x:c r="O29" s="26"/>
      <x:c r="P29" s="26" t="str"/>
      <x:c r="Q29" s="26" t="str"/>
      <x:c r="R29" s="26"/>
      <x:c r="S29" s="36"/>
      <x:c r="T29" s="26"/>
      <x:c r="U29" s="26"/>
      <x:c r="V29" s="26"/>
      <x:c r="W29" s="26" t="n">
        <x:v>2</x:v>
      </x:c>
      <x:c r="X29" s="26" t="n">
        <x:v>0</x:v>
      </x:c>
      <x:c r="Y29" s="26" t="n">
        <x:v>3</x:v>
      </x:c>
      <x:c r="Z29" s="26" t="n">
        <x:v>0</x:v>
      </x:c>
      <x:c r="AA29" s="26" t="n">
        <x:v>3</x:v>
      </x:c>
      <x:c r="AB29" s="38" t="n">
        <x:v>0</x:v>
      </x:c>
      <x:c r="AC29" s="26" t="str">
        <x:v>Committed / Not Delivered</x:v>
      </x:c>
      <x:c r="AD29" s="26" t="str">
        <x:v>Approval not recorded in response</x:v>
      </x:c>
      <x:c r="AE29" s="27" t="b">
        <x:v>1</x:v>
      </x:c>
      <x:c r="AF29" s="34" t="n">
        <x:v>46219.41050925926</x:v>
      </x:c>
      <x:c r="AG29" s="34"/>
      <x:c r="AH29" s="26" t="str">
        <x:v>Contribution API fields only; original project JSON needed for line-item names/centres/category</x:v>
      </x:c>
      <x:c r="AI29" s="26" t="str"/>
      <x:c r="AJ29" s="26" t="str">
        <x:v>Not Started</x:v>
      </x:c>
      <x:c r="AK29" s="26" t="str"/>
      <x:c r="AL29" s="26" t="str"/>
    </x:row>
    <x:row r="30">
      <x:c r="A30" s="26" t="n">
        <x:v>110</x:v>
      </x:c>
      <x:c r="B30" s="26" t="n">
        <x:v>140</x:v>
      </x:c>
      <x:c r="C30" s="26" t="str">
        <x:v>Kumuram Bheem Asifabad</x:v>
      </x:c>
      <x:c r="D30" s="26" t="str">
        <x:v>Telangana</x:v>
      </x:c>
      <x:c r="E30" s="26" t="n">
        <x:v>1228</x:v>
      </x:c>
      <x:c r="F30" s="26" t="str">
        <x:v>PRJ-2026-0001228</x:v>
      </x:c>
      <x:c r="G30" s="26" t="str">
        <x:v>Materials (Games, Toys, Balls)  </x:v>
      </x:c>
      <x:c r="H30" s="26" t="str">
        <x:v>Mission Saksham Anganwadi &amp; POSHAN 2.0</x:v>
      </x:c>
      <x:c r="I30" s="32" t="n">
        <x:v>46163</x:v>
      </x:c>
      <x:c r="J30" s="32" t="n">
        <x:v>46316</x:v>
      </x:c>
      <x:c r="K30" s="32"/>
      <x:c r="L30" s="26" t="str">
        <x:v>Active: On/After 01-Aug-2026</x:v>
      </x:c>
      <x:c r="M30" s="26" t="str">
        <x:v>Pending Mapping</x:v>
      </x:c>
      <x:c r="N30" s="26" t="str">
        <x:v>Original project JSON not available</x:v>
      </x:c>
      <x:c r="O30" s="26"/>
      <x:c r="P30" s="26" t="str"/>
      <x:c r="Q30" s="26" t="str"/>
      <x:c r="R30" s="26"/>
      <x:c r="S30" s="36"/>
      <x:c r="T30" s="26"/>
      <x:c r="U30" s="26"/>
      <x:c r="V30" s="26"/>
      <x:c r="W30" s="26" t="n">
        <x:v>3</x:v>
      </x:c>
      <x:c r="X30" s="26" t="n">
        <x:v>0</x:v>
      </x:c>
      <x:c r="Y30" s="26" t="n">
        <x:v>25</x:v>
      </x:c>
      <x:c r="Z30" s="26" t="n">
        <x:v>0</x:v>
      </x:c>
      <x:c r="AA30" s="26" t="n">
        <x:v>25</x:v>
      </x:c>
      <x:c r="AB30" s="38" t="n">
        <x:v>0</x:v>
      </x:c>
      <x:c r="AC30" s="26" t="str">
        <x:v>Committed / Not Delivered</x:v>
      </x:c>
      <x:c r="AD30" s="26" t="str">
        <x:v>Approval not recorded in response</x:v>
      </x:c>
      <x:c r="AE30" s="27" t="b">
        <x:v>1</x:v>
      </x:c>
      <x:c r="AF30" s="34" t="n">
        <x:v>46219.41050925926</x:v>
      </x:c>
      <x:c r="AG30" s="34"/>
      <x:c r="AH30" s="26" t="str">
        <x:v>Contribution API fields only; original project JSON needed for line-item names/centres/category</x:v>
      </x:c>
      <x:c r="AI30" s="26" t="str"/>
      <x:c r="AJ30" s="26" t="str">
        <x:v>Not Started</x:v>
      </x:c>
      <x:c r="AK30" s="26" t="str"/>
      <x:c r="AL30" s="26" t="str"/>
    </x:row>
    <x:row r="31">
      <x:c r="A31" s="26" t="n">
        <x:v>111</x:v>
      </x:c>
      <x:c r="B31" s="26" t="n">
        <x:v>141</x:v>
      </x:c>
      <x:c r="C31" s="26" t="str">
        <x:v>Kumuram Bheem Asifabad</x:v>
      </x:c>
      <x:c r="D31" s="26" t="str">
        <x:v>Telangana</x:v>
      </x:c>
      <x:c r="E31" s="26" t="n">
        <x:v>1273</x:v>
      </x:c>
      <x:c r="F31" s="26" t="str">
        <x:v>PRJ-2026-0001273</x:v>
      </x:c>
      <x:c r="G31" s="26" t="str">
        <x:v>Materials (Games, Toys, Balls)  </x:v>
      </x:c>
      <x:c r="H31" s="26" t="str">
        <x:v>Mission Saksham Anganwadi &amp; POSHAN 2.0</x:v>
      </x:c>
      <x:c r="I31" s="32" t="n">
        <x:v>46163</x:v>
      </x:c>
      <x:c r="J31" s="32" t="n">
        <x:v>46316</x:v>
      </x:c>
      <x:c r="K31" s="32"/>
      <x:c r="L31" s="26" t="str">
        <x:v>Active: On/After 01-Aug-2026</x:v>
      </x:c>
      <x:c r="M31" s="26" t="str">
        <x:v>Pending Mapping</x:v>
      </x:c>
      <x:c r="N31" s="26" t="str">
        <x:v>Original project JSON not available</x:v>
      </x:c>
      <x:c r="O31" s="26"/>
      <x:c r="P31" s="26" t="str"/>
      <x:c r="Q31" s="26" t="str"/>
      <x:c r="R31" s="26"/>
      <x:c r="S31" s="36"/>
      <x:c r="T31" s="26"/>
      <x:c r="U31" s="26"/>
      <x:c r="V31" s="26"/>
      <x:c r="W31" s="26" t="n">
        <x:v>3</x:v>
      </x:c>
      <x:c r="X31" s="26" t="n">
        <x:v>0</x:v>
      </x:c>
      <x:c r="Y31" s="26" t="n">
        <x:v>45</x:v>
      </x:c>
      <x:c r="Z31" s="26" t="n">
        <x:v>0</x:v>
      </x:c>
      <x:c r="AA31" s="26" t="n">
        <x:v>45</x:v>
      </x:c>
      <x:c r="AB31" s="38" t="n">
        <x:v>0</x:v>
      </x:c>
      <x:c r="AC31" s="26" t="str">
        <x:v>Committed / Not Delivered</x:v>
      </x:c>
      <x:c r="AD31" s="26" t="str">
        <x:v>Approval not recorded in response</x:v>
      </x:c>
      <x:c r="AE31" s="27" t="b">
        <x:v>1</x:v>
      </x:c>
      <x:c r="AF31" s="34" t="n">
        <x:v>46219.41049768519</x:v>
      </x:c>
      <x:c r="AG31" s="34"/>
      <x:c r="AH31" s="26" t="str">
        <x:v>Contribution API fields only; original project JSON needed for line-item names/centres/category</x:v>
      </x:c>
      <x:c r="AI31" s="26" t="str"/>
      <x:c r="AJ31" s="26" t="str">
        <x:v>Not Started</x:v>
      </x:c>
      <x:c r="AK31" s="26" t="str"/>
      <x:c r="AL31" s="26" t="str"/>
    </x:row>
    <x:row r="32">
      <x:c r="A32" s="26" t="n">
        <x:v>112</x:v>
      </x:c>
      <x:c r="B32" s="26" t="n">
        <x:v>142</x:v>
      </x:c>
      <x:c r="C32" s="26" t="str">
        <x:v>Kumuram Bheem Asifabad</x:v>
      </x:c>
      <x:c r="D32" s="26" t="str">
        <x:v>Telangana</x:v>
      </x:c>
      <x:c r="E32" s="26" t="n">
        <x:v>1962</x:v>
      </x:c>
      <x:c r="F32" s="26" t="str">
        <x:v>PRJ-2026-0001962</x:v>
      </x:c>
      <x:c r="G32" s="26" t="str">
        <x:v>requirement of anganwadi fecilitices</x:v>
      </x:c>
      <x:c r="H32" s="26" t="str">
        <x:v>Mission Saksham Anganwadi &amp; POSHAN 2.0</x:v>
      </x:c>
      <x:c r="I32" s="32" t="n">
        <x:v>46163</x:v>
      </x:c>
      <x:c r="J32" s="32" t="n">
        <x:v>46347</x:v>
      </x:c>
      <x:c r="K32" s="32"/>
      <x:c r="L32" s="26" t="str">
        <x:v>Active: On/After 01-Aug-2026</x:v>
      </x:c>
      <x:c r="M32" s="26" t="str">
        <x:v>Pending Mapping</x:v>
      </x:c>
      <x:c r="N32" s="26" t="str">
        <x:v>Original project JSON not available</x:v>
      </x:c>
      <x:c r="O32" s="26"/>
      <x:c r="P32" s="26" t="str"/>
      <x:c r="Q32" s="26" t="str"/>
      <x:c r="R32" s="26"/>
      <x:c r="S32" s="36"/>
      <x:c r="T32" s="26"/>
      <x:c r="U32" s="26"/>
      <x:c r="V32" s="26"/>
      <x:c r="W32" s="26" t="n">
        <x:v>1</x:v>
      </x:c>
      <x:c r="X32" s="26" t="n">
        <x:v>0</x:v>
      </x:c>
      <x:c r="Y32" s="26" t="n">
        <x:v>1</x:v>
      </x:c>
      <x:c r="Z32" s="26" t="n">
        <x:v>0</x:v>
      </x:c>
      <x:c r="AA32" s="26" t="n">
        <x:v>1</x:v>
      </x:c>
      <x:c r="AB32" s="38" t="n">
        <x:v>0</x:v>
      </x:c>
      <x:c r="AC32" s="26" t="str">
        <x:v>Committed / Not Delivered</x:v>
      </x:c>
      <x:c r="AD32" s="26" t="str">
        <x:v>Approval not recorded in response</x:v>
      </x:c>
      <x:c r="AE32" s="27" t="b">
        <x:v>1</x:v>
      </x:c>
      <x:c r="AF32" s="34" t="n">
        <x:v>46219.41048611111</x:v>
      </x:c>
      <x:c r="AG32" s="34"/>
      <x:c r="AH32" s="26" t="str">
        <x:v>Contribution API fields only; original project JSON needed for line-item names/centres/category</x:v>
      </x:c>
      <x:c r="AI32" s="26" t="str"/>
      <x:c r="AJ32" s="26" t="str">
        <x:v>Not Started</x:v>
      </x:c>
      <x:c r="AK32" s="26" t="str"/>
      <x:c r="AL32" s="26" t="str"/>
    </x:row>
    <x:row r="33">
      <x:c r="A33" s="26" t="n">
        <x:v>113</x:v>
      </x:c>
      <x:c r="B33" s="26" t="n">
        <x:v>143</x:v>
      </x:c>
      <x:c r="C33" s="26" t="str">
        <x:v>Kumuram Bheem Asifabad</x:v>
      </x:c>
      <x:c r="D33" s="26" t="str">
        <x:v>Telangana</x:v>
      </x:c>
      <x:c r="E33" s="26" t="n">
        <x:v>2002</x:v>
      </x:c>
      <x:c r="F33" s="26" t="str">
        <x:v>PRJ-2026-0002002</x:v>
      </x:c>
      <x:c r="G33" s="26" t="str">
        <x:v>requirement of anganwadi facilities</x:v>
      </x:c>
      <x:c r="H33" s="26" t="str">
        <x:v>Mission Saksham Anganwadi &amp; POSHAN 2.0</x:v>
      </x:c>
      <x:c r="I33" s="32" t="n">
        <x:v>46163</x:v>
      </x:c>
      <x:c r="J33" s="32" t="n">
        <x:v>46316</x:v>
      </x:c>
      <x:c r="K33" s="32"/>
      <x:c r="L33" s="26" t="str">
        <x:v>Active: On/After 01-Aug-2026</x:v>
      </x:c>
      <x:c r="M33" s="26" t="str">
        <x:v>Pending Mapping</x:v>
      </x:c>
      <x:c r="N33" s="26" t="str">
        <x:v>Original project JSON not available</x:v>
      </x:c>
      <x:c r="O33" s="26"/>
      <x:c r="P33" s="26" t="str"/>
      <x:c r="Q33" s="26" t="str"/>
      <x:c r="R33" s="26"/>
      <x:c r="S33" s="36"/>
      <x:c r="T33" s="26"/>
      <x:c r="U33" s="26"/>
      <x:c r="V33" s="26"/>
      <x:c r="W33" s="26" t="n">
        <x:v>1</x:v>
      </x:c>
      <x:c r="X33" s="26" t="n">
        <x:v>0</x:v>
      </x:c>
      <x:c r="Y33" s="26" t="n">
        <x:v>1</x:v>
      </x:c>
      <x:c r="Z33" s="26" t="n">
        <x:v>0</x:v>
      </x:c>
      <x:c r="AA33" s="26" t="n">
        <x:v>1</x:v>
      </x:c>
      <x:c r="AB33" s="38" t="n">
        <x:v>0</x:v>
      </x:c>
      <x:c r="AC33" s="26" t="str">
        <x:v>Committed / Not Delivered</x:v>
      </x:c>
      <x:c r="AD33" s="26" t="str">
        <x:v>Approval not recorded in response</x:v>
      </x:c>
      <x:c r="AE33" s="27" t="b">
        <x:v>1</x:v>
      </x:c>
      <x:c r="AF33" s="34" t="n">
        <x:v>46219.410474537035</x:v>
      </x:c>
      <x:c r="AG33" s="34"/>
      <x:c r="AH33" s="26" t="str">
        <x:v>Contribution API fields only; original project JSON needed for line-item names/centres/category</x:v>
      </x:c>
      <x:c r="AI33" s="26" t="str"/>
      <x:c r="AJ33" s="26" t="str">
        <x:v>Not Started</x:v>
      </x:c>
      <x:c r="AK33" s="26" t="str"/>
      <x:c r="AL33" s="26" t="str"/>
    </x:row>
    <x:row r="34">
      <x:c r="A34" s="26" t="n">
        <x:v>114</x:v>
      </x:c>
      <x:c r="B34" s="26" t="n">
        <x:v>145</x:v>
      </x:c>
      <x:c r="C34" s="26" t="str">
        <x:v>Kumuram Bheem Asifabad</x:v>
      </x:c>
      <x:c r="D34" s="26" t="str">
        <x:v>Telangana</x:v>
      </x:c>
      <x:c r="E34" s="26" t="n">
        <x:v>2310</x:v>
      </x:c>
      <x:c r="F34" s="26" t="str">
        <x:v>PRJ-2026-0002310</x:v>
      </x:c>
      <x:c r="G34" s="26" t="str">
        <x:v>Materials (Gardening Equipment, Seeds, Other resources)  </x:v>
      </x:c>
      <x:c r="H34" s="26" t="str">
        <x:v>Mission Saksham Anganwadi &amp; POSHAN 2.0</x:v>
      </x:c>
      <x:c r="I34" s="32" t="n">
        <x:v>46163</x:v>
      </x:c>
      <x:c r="J34" s="32" t="n">
        <x:v>46316</x:v>
      </x:c>
      <x:c r="K34" s="32"/>
      <x:c r="L34" s="26" t="str">
        <x:v>Active: On/After 01-Aug-2026</x:v>
      </x:c>
      <x:c r="M34" s="26" t="str">
        <x:v>Pending Mapping</x:v>
      </x:c>
      <x:c r="N34" s="26" t="str">
        <x:v>Original project JSON not available</x:v>
      </x:c>
      <x:c r="O34" s="26"/>
      <x:c r="P34" s="26" t="str"/>
      <x:c r="Q34" s="26" t="str"/>
      <x:c r="R34" s="26"/>
      <x:c r="S34" s="36"/>
      <x:c r="T34" s="26"/>
      <x:c r="U34" s="26"/>
      <x:c r="V34" s="26"/>
      <x:c r="W34" s="26" t="n">
        <x:v>3</x:v>
      </x:c>
      <x:c r="X34" s="26" t="n">
        <x:v>0</x:v>
      </x:c>
      <x:c r="Y34" s="26" t="n">
        <x:v>21</x:v>
      </x:c>
      <x:c r="Z34" s="26" t="n">
        <x:v>0</x:v>
      </x:c>
      <x:c r="AA34" s="26" t="n">
        <x:v>21</x:v>
      </x:c>
      <x:c r="AB34" s="38" t="n">
        <x:v>0</x:v>
      </x:c>
      <x:c r="AC34" s="26" t="str">
        <x:v>Committed / Not Delivered</x:v>
      </x:c>
      <x:c r="AD34" s="26" t="str">
        <x:v>Approval not recorded in response</x:v>
      </x:c>
      <x:c r="AE34" s="27" t="b">
        <x:v>1</x:v>
      </x:c>
      <x:c r="AF34" s="34" t="n">
        <x:v>46219.410474537035</x:v>
      </x:c>
      <x:c r="AG34" s="34"/>
      <x:c r="AH34" s="26" t="str">
        <x:v>Contribution API fields only; original project JSON needed for line-item names/centres/category</x:v>
      </x:c>
      <x:c r="AI34" s="26" t="str"/>
      <x:c r="AJ34" s="26" t="str">
        <x:v>Not Started</x:v>
      </x:c>
      <x:c r="AK34" s="26" t="str"/>
      <x:c r="AL34" s="26" t="str"/>
    </x:row>
    <x:row r="35">
      <x:c r="A35" s="26" t="n">
        <x:v>115</x:v>
      </x:c>
      <x:c r="B35" s="26" t="n">
        <x:v>146</x:v>
      </x:c>
      <x:c r="C35" s="26" t="str">
        <x:v>Kumuram Bheem Asifabad</x:v>
      </x:c>
      <x:c r="D35" s="26" t="str">
        <x:v>Telangana</x:v>
      </x:c>
      <x:c r="E35" s="26" t="n">
        <x:v>2380</x:v>
      </x:c>
      <x:c r="F35" s="26" t="str">
        <x:v>PRJ-2026-0002380</x:v>
      </x:c>
      <x:c r="G35" s="26" t="str">
        <x:v>requirement of anganwadi facilities</x:v>
      </x:c>
      <x:c r="H35" s="26" t="str">
        <x:v>Mission Saksham Anganwadi &amp; POSHAN 2.0</x:v>
      </x:c>
      <x:c r="I35" s="32" t="n">
        <x:v>46163</x:v>
      </x:c>
      <x:c r="J35" s="32" t="n">
        <x:v>46316</x:v>
      </x:c>
      <x:c r="K35" s="32"/>
      <x:c r="L35" s="26" t="str">
        <x:v>Active: On/After 01-Aug-2026</x:v>
      </x:c>
      <x:c r="M35" s="26" t="str">
        <x:v>Pending Mapping</x:v>
      </x:c>
      <x:c r="N35" s="26" t="str">
        <x:v>Original project JSON not available</x:v>
      </x:c>
      <x:c r="O35" s="26"/>
      <x:c r="P35" s="26" t="str"/>
      <x:c r="Q35" s="26" t="str"/>
      <x:c r="R35" s="26"/>
      <x:c r="S35" s="36"/>
      <x:c r="T35" s="26"/>
      <x:c r="U35" s="26"/>
      <x:c r="V35" s="26"/>
      <x:c r="W35" s="26" t="n">
        <x:v>2</x:v>
      </x:c>
      <x:c r="X35" s="26" t="n">
        <x:v>0</x:v>
      </x:c>
      <x:c r="Y35" s="26" t="n">
        <x:v>20</x:v>
      </x:c>
      <x:c r="Z35" s="26" t="n">
        <x:v>0</x:v>
      </x:c>
      <x:c r="AA35" s="26" t="n">
        <x:v>20</x:v>
      </x:c>
      <x:c r="AB35" s="38" t="n">
        <x:v>0</x:v>
      </x:c>
      <x:c r="AC35" s="26" t="str">
        <x:v>Committed / Not Delivered</x:v>
      </x:c>
      <x:c r="AD35" s="26" t="str">
        <x:v>Approval not recorded in response</x:v>
      </x:c>
      <x:c r="AE35" s="27" t="b">
        <x:v>1</x:v>
      </x:c>
      <x:c r="AF35" s="34" t="n">
        <x:v>46219.410462962966</x:v>
      </x:c>
      <x:c r="AG35" s="34"/>
      <x:c r="AH35" s="26" t="str">
        <x:v>Contribution API fields only; original project JSON needed for line-item names/centres/category</x:v>
      </x:c>
      <x:c r="AI35" s="26" t="str"/>
      <x:c r="AJ35" s="26" t="str">
        <x:v>Not Started</x:v>
      </x:c>
      <x:c r="AK35" s="26" t="str"/>
      <x:c r="AL35" s="26" t="str"/>
    </x:row>
    <x:row r="36">
      <x:c r="A36" s="26" t="n">
        <x:v>116</x:v>
      </x:c>
      <x:c r="B36" s="26" t="n">
        <x:v>147</x:v>
      </x:c>
      <x:c r="C36" s="26" t="str">
        <x:v>Kumuram Bheem Asifabad</x:v>
      </x:c>
      <x:c r="D36" s="26" t="str">
        <x:v>Telangana</x:v>
      </x:c>
      <x:c r="E36" s="26" t="n">
        <x:v>2431</x:v>
      </x:c>
      <x:c r="F36" s="26" t="str">
        <x:v>PRJ-2026-0002431</x:v>
      </x:c>
      <x:c r="G36" s="26" t="str">
        <x:v>requirement of anganwadi  facilties</x:v>
      </x:c>
      <x:c r="H36" s="26" t="str">
        <x:v>Mission Saksham Anganwadi &amp; POSHAN 2.0</x:v>
      </x:c>
      <x:c r="I36" s="32" t="n">
        <x:v>46163</x:v>
      </x:c>
      <x:c r="J36" s="32" t="n">
        <x:v>46316</x:v>
      </x:c>
      <x:c r="K36" s="32"/>
      <x:c r="L36" s="26" t="str">
        <x:v>Active: On/After 01-Aug-2026</x:v>
      </x:c>
      <x:c r="M36" s="26" t="str">
        <x:v>Pending Mapping</x:v>
      </x:c>
      <x:c r="N36" s="26" t="str">
        <x:v>Original project JSON not available</x:v>
      </x:c>
      <x:c r="O36" s="26"/>
      <x:c r="P36" s="26" t="str"/>
      <x:c r="Q36" s="26" t="str"/>
      <x:c r="R36" s="26"/>
      <x:c r="S36" s="36"/>
      <x:c r="T36" s="26"/>
      <x:c r="U36" s="26"/>
      <x:c r="V36" s="26"/>
      <x:c r="W36" s="26" t="n">
        <x:v>1</x:v>
      </x:c>
      <x:c r="X36" s="26" t="n">
        <x:v>0</x:v>
      </x:c>
      <x:c r="Y36" s="26" t="n">
        <x:v>1</x:v>
      </x:c>
      <x:c r="Z36" s="26" t="n">
        <x:v>0</x:v>
      </x:c>
      <x:c r="AA36" s="26" t="n">
        <x:v>1</x:v>
      </x:c>
      <x:c r="AB36" s="38" t="n">
        <x:v>0</x:v>
      </x:c>
      <x:c r="AC36" s="26" t="str">
        <x:v>Committed / Not Delivered</x:v>
      </x:c>
      <x:c r="AD36" s="26" t="str">
        <x:v>Approval not recorded in response</x:v>
      </x:c>
      <x:c r="AE36" s="27" t="b">
        <x:v>1</x:v>
      </x:c>
      <x:c r="AF36" s="34" t="n">
        <x:v>46219.41045138889</x:v>
      </x:c>
      <x:c r="AG36" s="34"/>
      <x:c r="AH36" s="26" t="str">
        <x:v>Contribution API fields only; original project JSON needed for line-item names/centres/category</x:v>
      </x:c>
      <x:c r="AI36" s="26" t="str"/>
      <x:c r="AJ36" s="26" t="str">
        <x:v>Not Started</x:v>
      </x:c>
      <x:c r="AK36" s="26" t="str"/>
      <x:c r="AL36" s="26" t="str"/>
    </x:row>
    <x:row r="37">
      <x:c r="A37" s="26" t="n">
        <x:v>117</x:v>
      </x:c>
      <x:c r="B37" s="26" t="n">
        <x:v>152</x:v>
      </x:c>
      <x:c r="C37" s="26" t="str">
        <x:v>Kumuram Bheem Asifabad</x:v>
      </x:c>
      <x:c r="D37" s="26" t="str">
        <x:v>Telangana</x:v>
      </x:c>
      <x:c r="E37" s="26" t="n">
        <x:v>3208</x:v>
      </x:c>
      <x:c r="F37" s="26" t="str">
        <x:v>PRJ-2026-0003208</x:v>
      </x:c>
      <x:c r="G37" s="26" t="str">
        <x:v>water filter</x:v>
      </x:c>
      <x:c r="H37" s="26" t="str">
        <x:v>Mission Saksham Anganwadi &amp; POSHAN 2.0</x:v>
      </x:c>
      <x:c r="I37" s="32" t="n">
        <x:v>46163</x:v>
      </x:c>
      <x:c r="J37" s="32" t="n">
        <x:v>46316</x:v>
      </x:c>
      <x:c r="K37" s="32"/>
      <x:c r="L37" s="26" t="str">
        <x:v>Active: On/After 01-Aug-2026</x:v>
      </x:c>
      <x:c r="M37" s="26" t="str">
        <x:v>Pending Mapping</x:v>
      </x:c>
      <x:c r="N37" s="26" t="str">
        <x:v>Original project JSON not available</x:v>
      </x:c>
      <x:c r="O37" s="26"/>
      <x:c r="P37" s="26" t="str"/>
      <x:c r="Q37" s="26" t="str"/>
      <x:c r="R37" s="26"/>
      <x:c r="S37" s="36"/>
      <x:c r="T37" s="26"/>
      <x:c r="U37" s="26"/>
      <x:c r="V37" s="26"/>
      <x:c r="W37" s="26" t="n">
        <x:v>1</x:v>
      </x:c>
      <x:c r="X37" s="26" t="n">
        <x:v>0</x:v>
      </x:c>
      <x:c r="Y37" s="26" t="n">
        <x:v>1</x:v>
      </x:c>
      <x:c r="Z37" s="26" t="n">
        <x:v>0</x:v>
      </x:c>
      <x:c r="AA37" s="26" t="n">
        <x:v>1</x:v>
      </x:c>
      <x:c r="AB37" s="38" t="n">
        <x:v>0</x:v>
      </x:c>
      <x:c r="AC37" s="26" t="str">
        <x:v>Committed / Not Delivered</x:v>
      </x:c>
      <x:c r="AD37" s="26" t="str">
        <x:v>Approval not recorded in response</x:v>
      </x:c>
      <x:c r="AE37" s="27" t="b">
        <x:v>1</x:v>
      </x:c>
      <x:c r="AF37" s="34" t="n">
        <x:v>46219.41045138889</x:v>
      </x:c>
      <x:c r="AG37" s="34"/>
      <x:c r="AH37" s="26" t="str">
        <x:v>Contribution API fields only; original project JSON needed for line-item names/centres/category</x:v>
      </x:c>
      <x:c r="AI37" s="26" t="str"/>
      <x:c r="AJ37" s="26" t="str">
        <x:v>Not Started</x:v>
      </x:c>
      <x:c r="AK37" s="26" t="str"/>
      <x:c r="AL37" s="26" t="str"/>
    </x:row>
    <x:row r="38">
      <x:c r="A38" s="26" t="n">
        <x:v>118</x:v>
      </x:c>
      <x:c r="B38" s="26" t="n">
        <x:v>153</x:v>
      </x:c>
      <x:c r="C38" s="26" t="str">
        <x:v>Kumuram Bheem Asifabad</x:v>
      </x:c>
      <x:c r="D38" s="26" t="str">
        <x:v>Telangana</x:v>
      </x:c>
      <x:c r="E38" s="26" t="n">
        <x:v>3245</x:v>
      </x:c>
      <x:c r="F38" s="26" t="str">
        <x:v>PRJ-2026-0003245</x:v>
      </x:c>
      <x:c r="G38" s="26" t="str">
        <x:v>water filter</x:v>
      </x:c>
      <x:c r="H38" s="26" t="str">
        <x:v>Mission Saksham Anganwadi &amp; POSHAN 2.0</x:v>
      </x:c>
      <x:c r="I38" s="32" t="n">
        <x:v>46163</x:v>
      </x:c>
      <x:c r="J38" s="32" t="n">
        <x:v>46316</x:v>
      </x:c>
      <x:c r="K38" s="32"/>
      <x:c r="L38" s="26" t="str">
        <x:v>Active: On/After 01-Aug-2026</x:v>
      </x:c>
      <x:c r="M38" s="26" t="str">
        <x:v>Pending Mapping</x:v>
      </x:c>
      <x:c r="N38" s="26" t="str">
        <x:v>Original project JSON not available</x:v>
      </x:c>
      <x:c r="O38" s="26"/>
      <x:c r="P38" s="26" t="str"/>
      <x:c r="Q38" s="26" t="str"/>
      <x:c r="R38" s="26"/>
      <x:c r="S38" s="36"/>
      <x:c r="T38" s="26"/>
      <x:c r="U38" s="26"/>
      <x:c r="V38" s="26"/>
      <x:c r="W38" s="26" t="n">
        <x:v>1</x:v>
      </x:c>
      <x:c r="X38" s="26" t="n">
        <x:v>0</x:v>
      </x:c>
      <x:c r="Y38" s="26" t="n">
        <x:v>1</x:v>
      </x:c>
      <x:c r="Z38" s="26" t="n">
        <x:v>0</x:v>
      </x:c>
      <x:c r="AA38" s="26" t="n">
        <x:v>1</x:v>
      </x:c>
      <x:c r="AB38" s="38" t="n">
        <x:v>0</x:v>
      </x:c>
      <x:c r="AC38" s="26" t="str">
        <x:v>Committed / Not Delivered</x:v>
      </x:c>
      <x:c r="AD38" s="26" t="str">
        <x:v>Approval not recorded in response</x:v>
      </x:c>
      <x:c r="AE38" s="27" t="b">
        <x:v>1</x:v>
      </x:c>
      <x:c r="AF38" s="34" t="n">
        <x:v>46219.41043981481</x:v>
      </x:c>
      <x:c r="AG38" s="34"/>
      <x:c r="AH38" s="26" t="str">
        <x:v>Contribution API fields only; original project JSON needed for line-item names/centres/category</x:v>
      </x:c>
      <x:c r="AI38" s="26" t="str"/>
      <x:c r="AJ38" s="26" t="str">
        <x:v>Not Started</x:v>
      </x:c>
      <x:c r="AK38" s="26" t="str"/>
      <x:c r="AL38" s="26" t="str"/>
    </x:row>
    <x:row r="39">
      <x:c r="A39" s="26" t="n">
        <x:v>119</x:v>
      </x:c>
      <x:c r="B39" s="26" t="n">
        <x:v>156</x:v>
      </x:c>
      <x:c r="C39" s="26" t="str">
        <x:v>Kumuram Bheem Asifabad</x:v>
      </x:c>
      <x:c r="D39" s="26" t="str">
        <x:v>Telangana</x:v>
      </x:c>
      <x:c r="E39" s="26" t="n">
        <x:v>3859</x:v>
      </x:c>
      <x:c r="F39" s="26" t="str">
        <x:v>PRJ-2026-0003859</x:v>
      </x:c>
      <x:c r="G39" s="26" t="str">
        <x:v>requirement of anganwadi facilities</x:v>
      </x:c>
      <x:c r="H39" s="26" t="str">
        <x:v>Mission Saksham Anganwadi &amp; POSHAN 2.0</x:v>
      </x:c>
      <x:c r="I39" s="32" t="n">
        <x:v>46163</x:v>
      </x:c>
      <x:c r="J39" s="32" t="n">
        <x:v>46316</x:v>
      </x:c>
      <x:c r="K39" s="32"/>
      <x:c r="L39" s="26" t="str">
        <x:v>Active: On/After 01-Aug-2026</x:v>
      </x:c>
      <x:c r="M39" s="26" t="str">
        <x:v>Pending Mapping</x:v>
      </x:c>
      <x:c r="N39" s="26" t="str">
        <x:v>Original project JSON not available</x:v>
      </x:c>
      <x:c r="O39" s="26"/>
      <x:c r="P39" s="26" t="str"/>
      <x:c r="Q39" s="26" t="str"/>
      <x:c r="R39" s="26"/>
      <x:c r="S39" s="36"/>
      <x:c r="T39" s="26"/>
      <x:c r="U39" s="26"/>
      <x:c r="V39" s="26"/>
      <x:c r="W39" s="26" t="n">
        <x:v>1</x:v>
      </x:c>
      <x:c r="X39" s="26" t="n">
        <x:v>0</x:v>
      </x:c>
      <x:c r="Y39" s="26" t="n">
        <x:v>1</x:v>
      </x:c>
      <x:c r="Z39" s="26" t="n">
        <x:v>0</x:v>
      </x:c>
      <x:c r="AA39" s="26" t="n">
        <x:v>1</x:v>
      </x:c>
      <x:c r="AB39" s="38" t="n">
        <x:v>0</x:v>
      </x:c>
      <x:c r="AC39" s="26" t="str">
        <x:v>Committed / Not Delivered</x:v>
      </x:c>
      <x:c r="AD39" s="26" t="str">
        <x:v>Approval not recorded in response</x:v>
      </x:c>
      <x:c r="AE39" s="27" t="b">
        <x:v>1</x:v>
      </x:c>
      <x:c r="AF39" s="34" t="n">
        <x:v>46219.41042824074</x:v>
      </x:c>
      <x:c r="AG39" s="34"/>
      <x:c r="AH39" s="26" t="str">
        <x:v>Contribution API fields only; original project JSON needed for line-item names/centres/category</x:v>
      </x:c>
      <x:c r="AI39" s="26" t="str"/>
      <x:c r="AJ39" s="26" t="str">
        <x:v>Not Started</x:v>
      </x:c>
      <x:c r="AK39" s="26" t="str"/>
      <x:c r="AL39" s="26" t="str"/>
    </x:row>
    <x:row r="40">
      <x:c r="A40" s="26" t="n">
        <x:v>120</x:v>
      </x:c>
      <x:c r="B40" s="26" t="n">
        <x:v>158</x:v>
      </x:c>
      <x:c r="C40" s="26" t="str">
        <x:v>Kumuram Bheem Asifabad</x:v>
      </x:c>
      <x:c r="D40" s="26" t="str">
        <x:v>Telangana</x:v>
      </x:c>
      <x:c r="E40" s="26" t="n">
        <x:v>4105</x:v>
      </x:c>
      <x:c r="F40" s="26" t="str">
        <x:v>PRJ-2026-0004105</x:v>
      </x:c>
      <x:c r="G40" s="26" t="str">
        <x:v>water filter</x:v>
      </x:c>
      <x:c r="H40" s="26" t="str">
        <x:v>Mission Saksham Anganwadi &amp; POSHAN 2.0</x:v>
      </x:c>
      <x:c r="I40" s="32" t="n">
        <x:v>46163</x:v>
      </x:c>
      <x:c r="J40" s="32" t="n">
        <x:v>46316</x:v>
      </x:c>
      <x:c r="K40" s="32"/>
      <x:c r="L40" s="26" t="str">
        <x:v>Active: On/After 01-Aug-2026</x:v>
      </x:c>
      <x:c r="M40" s="26" t="str">
        <x:v>Pending Mapping</x:v>
      </x:c>
      <x:c r="N40" s="26" t="str">
        <x:v>Original project JSON not available</x:v>
      </x:c>
      <x:c r="O40" s="26"/>
      <x:c r="P40" s="26" t="str"/>
      <x:c r="Q40" s="26" t="str"/>
      <x:c r="R40" s="26"/>
      <x:c r="S40" s="36"/>
      <x:c r="T40" s="26"/>
      <x:c r="U40" s="26"/>
      <x:c r="V40" s="26"/>
      <x:c r="W40" s="26" t="n">
        <x:v>1</x:v>
      </x:c>
      <x:c r="X40" s="26" t="n">
        <x:v>0</x:v>
      </x:c>
      <x:c r="Y40" s="26" t="n">
        <x:v>1</x:v>
      </x:c>
      <x:c r="Z40" s="26" t="n">
        <x:v>0</x:v>
      </x:c>
      <x:c r="AA40" s="26" t="n">
        <x:v>1</x:v>
      </x:c>
      <x:c r="AB40" s="38" t="n">
        <x:v>0</x:v>
      </x:c>
      <x:c r="AC40" s="26" t="str">
        <x:v>Committed / Not Delivered</x:v>
      </x:c>
      <x:c r="AD40" s="26" t="str">
        <x:v>Approval not recorded in response</x:v>
      </x:c>
      <x:c r="AE40" s="27" t="b">
        <x:v>1</x:v>
      </x:c>
      <x:c r="AF40" s="34" t="n">
        <x:v>46219.41042824074</x:v>
      </x:c>
      <x:c r="AG40" s="34"/>
      <x:c r="AH40" s="26" t="str">
        <x:v>Contribution API fields only; original project JSON needed for line-item names/centres/category</x:v>
      </x:c>
      <x:c r="AI40" s="26" t="str"/>
      <x:c r="AJ40" s="26" t="str">
        <x:v>Not Started</x:v>
      </x:c>
      <x:c r="AK40" s="26" t="str"/>
      <x:c r="AL40" s="26" t="str"/>
    </x:row>
    <x:row r="41">
      <x:c r="A41" s="26" t="n">
        <x:v>121</x:v>
      </x:c>
      <x:c r="B41" s="26" t="n">
        <x:v>159</x:v>
      </x:c>
      <x:c r="C41" s="26" t="str">
        <x:v>Kumuram Bheem Asifabad</x:v>
      </x:c>
      <x:c r="D41" s="26" t="str">
        <x:v>Telangana</x:v>
      </x:c>
      <x:c r="E41" s="26" t="n">
        <x:v>4137</x:v>
      </x:c>
      <x:c r="F41" s="26" t="str">
        <x:v>PRJ-2026-0004137</x:v>
      </x:c>
      <x:c r="G41" s="26" t="str">
        <x:v>water filter</x:v>
      </x:c>
      <x:c r="H41" s="26" t="str">
        <x:v>Mission Saksham Anganwadi &amp; POSHAN 2.0</x:v>
      </x:c>
      <x:c r="I41" s="32" t="n">
        <x:v>46163</x:v>
      </x:c>
      <x:c r="J41" s="32" t="n">
        <x:v>46316</x:v>
      </x:c>
      <x:c r="K41" s="32"/>
      <x:c r="L41" s="26" t="str">
        <x:v>Active: On/After 01-Aug-2026</x:v>
      </x:c>
      <x:c r="M41" s="26" t="str">
        <x:v>Pending Mapping</x:v>
      </x:c>
      <x:c r="N41" s="26" t="str">
        <x:v>Original project JSON not available</x:v>
      </x:c>
      <x:c r="O41" s="26"/>
      <x:c r="P41" s="26" t="str"/>
      <x:c r="Q41" s="26" t="str"/>
      <x:c r="R41" s="26"/>
      <x:c r="S41" s="36"/>
      <x:c r="T41" s="26"/>
      <x:c r="U41" s="26"/>
      <x:c r="V41" s="26"/>
      <x:c r="W41" s="26" t="n">
        <x:v>1</x:v>
      </x:c>
      <x:c r="X41" s="26" t="n">
        <x:v>0</x:v>
      </x:c>
      <x:c r="Y41" s="26" t="n">
        <x:v>1</x:v>
      </x:c>
      <x:c r="Z41" s="26" t="n">
        <x:v>0</x:v>
      </x:c>
      <x:c r="AA41" s="26" t="n">
        <x:v>1</x:v>
      </x:c>
      <x:c r="AB41" s="38" t="n">
        <x:v>0</x:v>
      </x:c>
      <x:c r="AC41" s="26" t="str">
        <x:v>Committed / Not Delivered</x:v>
      </x:c>
      <x:c r="AD41" s="26" t="str">
        <x:v>Approval not recorded in response</x:v>
      </x:c>
      <x:c r="AE41" s="27" t="b">
        <x:v>1</x:v>
      </x:c>
      <x:c r="AF41" s="34" t="n">
        <x:v>46219.410416666666</x:v>
      </x:c>
      <x:c r="AG41" s="34"/>
      <x:c r="AH41" s="26" t="str">
        <x:v>Contribution API fields only; original project JSON needed for line-item names/centres/category</x:v>
      </x:c>
      <x:c r="AI41" s="26" t="str"/>
      <x:c r="AJ41" s="26" t="str">
        <x:v>Not Started</x:v>
      </x:c>
      <x:c r="AK41" s="26" t="str"/>
      <x:c r="AL41" s="26" t="str"/>
    </x:row>
    <x:row r="42">
      <x:c r="A42" s="26" t="n">
        <x:v>122</x:v>
      </x:c>
      <x:c r="B42" s="26" t="n">
        <x:v>161</x:v>
      </x:c>
      <x:c r="C42" s="26" t="str">
        <x:v>Kumuram Bheem Asifabad</x:v>
      </x:c>
      <x:c r="D42" s="26" t="str">
        <x:v>Telangana</x:v>
      </x:c>
      <x:c r="E42" s="26" t="n">
        <x:v>4303</x:v>
      </x:c>
      <x:c r="F42" s="26" t="str">
        <x:v>PRJ-2026-0004303</x:v>
      </x:c>
      <x:c r="G42" s="26" t="str">
        <x:v>Provision of water suppliers</x:v>
      </x:c>
      <x:c r="H42" s="26" t="str">
        <x:v>Mission Saksham Anganwadi &amp; POSHAN 2.0</x:v>
      </x:c>
      <x:c r="I42" s="32" t="n">
        <x:v>46163</x:v>
      </x:c>
      <x:c r="J42" s="32" t="n">
        <x:v>46255</x:v>
      </x:c>
      <x:c r="K42" s="32"/>
      <x:c r="L42" s="26" t="str">
        <x:v>Active: On/After 01-Aug-2026</x:v>
      </x:c>
      <x:c r="M42" s="26" t="str">
        <x:v>Pending Mapping</x:v>
      </x:c>
      <x:c r="N42" s="26" t="str">
        <x:v>Original project JSON not available</x:v>
      </x:c>
      <x:c r="O42" s="26"/>
      <x:c r="P42" s="26" t="str"/>
      <x:c r="Q42" s="26" t="str"/>
      <x:c r="R42" s="26"/>
      <x:c r="S42" s="36"/>
      <x:c r="T42" s="26"/>
      <x:c r="U42" s="26"/>
      <x:c r="V42" s="26"/>
      <x:c r="W42" s="26" t="n">
        <x:v>1</x:v>
      </x:c>
      <x:c r="X42" s="26" t="n">
        <x:v>0</x:v>
      </x:c>
      <x:c r="Y42" s="26" t="n">
        <x:v>1</x:v>
      </x:c>
      <x:c r="Z42" s="26" t="n">
        <x:v>0</x:v>
      </x:c>
      <x:c r="AA42" s="26" t="n">
        <x:v>1</x:v>
      </x:c>
      <x:c r="AB42" s="38" t="n">
        <x:v>0</x:v>
      </x:c>
      <x:c r="AC42" s="26" t="str">
        <x:v>Committed / Not Delivered</x:v>
      </x:c>
      <x:c r="AD42" s="26" t="str">
        <x:v>Approval not recorded in response</x:v>
      </x:c>
      <x:c r="AE42" s="27" t="b">
        <x:v>1</x:v>
      </x:c>
      <x:c r="AF42" s="34" t="n">
        <x:v>46219.410405092596</x:v>
      </x:c>
      <x:c r="AG42" s="34"/>
      <x:c r="AH42" s="26" t="str">
        <x:v>Contribution API fields only; original project JSON needed for line-item names/centres/category</x:v>
      </x:c>
      <x:c r="AI42" s="26" t="str"/>
      <x:c r="AJ42" s="26" t="str">
        <x:v>Not Started</x:v>
      </x:c>
      <x:c r="AK42" s="26" t="str"/>
      <x:c r="AL42" s="26" t="str"/>
    </x:row>
    <x:row r="43">
      <x:c r="A43" s="26" t="n">
        <x:v>123</x:v>
      </x:c>
      <x:c r="B43" s="26" t="n">
        <x:v>162</x:v>
      </x:c>
      <x:c r="C43" s="26" t="str">
        <x:v>Kumuram Bheem Asifabad</x:v>
      </x:c>
      <x:c r="D43" s="26" t="str">
        <x:v>Telangana</x:v>
      </x:c>
      <x:c r="E43" s="26" t="n">
        <x:v>4379</x:v>
      </x:c>
      <x:c r="F43" s="26" t="str">
        <x:v>PRJ-2026-0004379</x:v>
      </x:c>
      <x:c r="G43" s="26" t="str">
        <x:v>provision of water suppliers</x:v>
      </x:c>
      <x:c r="H43" s="26" t="str">
        <x:v>Mission Saksham Anganwadi &amp; POSHAN 2.0</x:v>
      </x:c>
      <x:c r="I43" s="32" t="n">
        <x:v>46163</x:v>
      </x:c>
      <x:c r="J43" s="32" t="n">
        <x:v>46255</x:v>
      </x:c>
      <x:c r="K43" s="32"/>
      <x:c r="L43" s="26" t="str">
        <x:v>Active: On/After 01-Aug-2026</x:v>
      </x:c>
      <x:c r="M43" s="26" t="str">
        <x:v>Pending Mapping</x:v>
      </x:c>
      <x:c r="N43" s="26" t="str">
        <x:v>Original project JSON not available</x:v>
      </x:c>
      <x:c r="O43" s="26"/>
      <x:c r="P43" s="26" t="str"/>
      <x:c r="Q43" s="26" t="str"/>
      <x:c r="R43" s="26"/>
      <x:c r="S43" s="36"/>
      <x:c r="T43" s="26"/>
      <x:c r="U43" s="26"/>
      <x:c r="V43" s="26"/>
      <x:c r="W43" s="26" t="n">
        <x:v>1</x:v>
      </x:c>
      <x:c r="X43" s="26" t="n">
        <x:v>0</x:v>
      </x:c>
      <x:c r="Y43" s="26" t="n">
        <x:v>1</x:v>
      </x:c>
      <x:c r="Z43" s="26" t="n">
        <x:v>0</x:v>
      </x:c>
      <x:c r="AA43" s="26" t="n">
        <x:v>1</x:v>
      </x:c>
      <x:c r="AB43" s="38" t="n">
        <x:v>0</x:v>
      </x:c>
      <x:c r="AC43" s="26" t="str">
        <x:v>Committed / Not Delivered</x:v>
      </x:c>
      <x:c r="AD43" s="26" t="str">
        <x:v>Approval not recorded in response</x:v>
      </x:c>
      <x:c r="AE43" s="27" t="b">
        <x:v>1</x:v>
      </x:c>
      <x:c r="AF43" s="34" t="n">
        <x:v>46219.410405092596</x:v>
      </x:c>
      <x:c r="AG43" s="34"/>
      <x:c r="AH43" s="26" t="str">
        <x:v>Contribution API fields only; original project JSON needed for line-item names/centres/category</x:v>
      </x:c>
      <x:c r="AI43" s="26" t="str"/>
      <x:c r="AJ43" s="26" t="str">
        <x:v>Not Started</x:v>
      </x:c>
      <x:c r="AK43" s="26" t="str"/>
      <x:c r="AL43" s="26" t="str"/>
    </x:row>
    <x:row r="44">
      <x:c r="A44" s="26" t="n">
        <x:v>124</x:v>
      </x:c>
      <x:c r="B44" s="26" t="n">
        <x:v>163</x:v>
      </x:c>
      <x:c r="C44" s="26" t="str">
        <x:v>Kumuram Bheem Asifabad</x:v>
      </x:c>
      <x:c r="D44" s="26" t="str">
        <x:v>Telangana</x:v>
      </x:c>
      <x:c r="E44" s="26" t="n">
        <x:v>4454</x:v>
      </x:c>
      <x:c r="F44" s="26" t="str">
        <x:v>PRJ-2026-0004454</x:v>
      </x:c>
      <x:c r="G44" s="26" t="str">
        <x:v>provision of water supplier</x:v>
      </x:c>
      <x:c r="H44" s="26" t="str">
        <x:v>Mission Saksham Anganwadi &amp; POSHAN 2.0</x:v>
      </x:c>
      <x:c r="I44" s="32" t="n">
        <x:v>46163</x:v>
      </x:c>
      <x:c r="J44" s="32" t="n">
        <x:v>46255</x:v>
      </x:c>
      <x:c r="K44" s="32"/>
      <x:c r="L44" s="26" t="str">
        <x:v>Active: On/After 01-Aug-2026</x:v>
      </x:c>
      <x:c r="M44" s="26" t="str">
        <x:v>Pending Mapping</x:v>
      </x:c>
      <x:c r="N44" s="26" t="str">
        <x:v>Original project JSON not available</x:v>
      </x:c>
      <x:c r="O44" s="26"/>
      <x:c r="P44" s="26" t="str"/>
      <x:c r="Q44" s="26" t="str"/>
      <x:c r="R44" s="26"/>
      <x:c r="S44" s="36"/>
      <x:c r="T44" s="26"/>
      <x:c r="U44" s="26"/>
      <x:c r="V44" s="26"/>
      <x:c r="W44" s="26" t="n">
        <x:v>1</x:v>
      </x:c>
      <x:c r="X44" s="26" t="n">
        <x:v>0</x:v>
      </x:c>
      <x:c r="Y44" s="26" t="n">
        <x:v>1</x:v>
      </x:c>
      <x:c r="Z44" s="26" t="n">
        <x:v>0</x:v>
      </x:c>
      <x:c r="AA44" s="26" t="n">
        <x:v>1</x:v>
      </x:c>
      <x:c r="AB44" s="38" t="n">
        <x:v>0</x:v>
      </x:c>
      <x:c r="AC44" s="26" t="str">
        <x:v>Committed / Not Delivered</x:v>
      </x:c>
      <x:c r="AD44" s="26" t="str">
        <x:v>Approval not recorded in response</x:v>
      </x:c>
      <x:c r="AE44" s="27" t="b">
        <x:v>1</x:v>
      </x:c>
      <x:c r="AF44" s="34" t="n">
        <x:v>46219.41039351852</x:v>
      </x:c>
      <x:c r="AG44" s="34"/>
      <x:c r="AH44" s="26" t="str">
        <x:v>Contribution API fields only; original project JSON needed for line-item names/centres/category</x:v>
      </x:c>
      <x:c r="AI44" s="26" t="str"/>
      <x:c r="AJ44" s="26" t="str">
        <x:v>Not Started</x:v>
      </x:c>
      <x:c r="AK44" s="26" t="str"/>
      <x:c r="AL44" s="26" t="str"/>
    </x:row>
    <x:row r="45">
      <x:c r="A45" s="26" t="n">
        <x:v>125</x:v>
      </x:c>
      <x:c r="B45" s="26" t="n">
        <x:v>164</x:v>
      </x:c>
      <x:c r="C45" s="26" t="str">
        <x:v>Kumuram Bheem Asifabad</x:v>
      </x:c>
      <x:c r="D45" s="26" t="str">
        <x:v>Telangana</x:v>
      </x:c>
      <x:c r="E45" s="26" t="n">
        <x:v>4522</x:v>
      </x:c>
      <x:c r="F45" s="26" t="str">
        <x:v>PRJ-2026-0004522</x:v>
      </x:c>
      <x:c r="G45" s="26" t="str">
        <x:v>provision of water supplier</x:v>
      </x:c>
      <x:c r="H45" s="26" t="str">
        <x:v>Mission Saksham Anganwadi &amp; POSHAN 2.0</x:v>
      </x:c>
      <x:c r="I45" s="32" t="n">
        <x:v>46163</x:v>
      </x:c>
      <x:c r="J45" s="32" t="n">
        <x:v>46255</x:v>
      </x:c>
      <x:c r="K45" s="32"/>
      <x:c r="L45" s="26" t="str">
        <x:v>Active: On/After 01-Aug-2026</x:v>
      </x:c>
      <x:c r="M45" s="26" t="str">
        <x:v>Pending Mapping</x:v>
      </x:c>
      <x:c r="N45" s="26" t="str">
        <x:v>Original project JSON not available</x:v>
      </x:c>
      <x:c r="O45" s="26"/>
      <x:c r="P45" s="26" t="str"/>
      <x:c r="Q45" s="26" t="str"/>
      <x:c r="R45" s="26"/>
      <x:c r="S45" s="36"/>
      <x:c r="T45" s="26"/>
      <x:c r="U45" s="26"/>
      <x:c r="V45" s="26"/>
      <x:c r="W45" s="26" t="n">
        <x:v>1</x:v>
      </x:c>
      <x:c r="X45" s="26" t="n">
        <x:v>0</x:v>
      </x:c>
      <x:c r="Y45" s="26" t="n">
        <x:v>1</x:v>
      </x:c>
      <x:c r="Z45" s="26" t="n">
        <x:v>0</x:v>
      </x:c>
      <x:c r="AA45" s="26" t="n">
        <x:v>1</x:v>
      </x:c>
      <x:c r="AB45" s="38" t="n">
        <x:v>0</x:v>
      </x:c>
      <x:c r="AC45" s="26" t="str">
        <x:v>Committed / Not Delivered</x:v>
      </x:c>
      <x:c r="AD45" s="26" t="str">
        <x:v>Approval not recorded in response</x:v>
      </x:c>
      <x:c r="AE45" s="27" t="b">
        <x:v>1</x:v>
      </x:c>
      <x:c r="AF45" s="34" t="n">
        <x:v>46219.41038194444</x:v>
      </x:c>
      <x:c r="AG45" s="34"/>
      <x:c r="AH45" s="26" t="str">
        <x:v>Contribution API fields only; original project JSON needed for line-item names/centres/category</x:v>
      </x:c>
      <x:c r="AI45" s="26" t="str"/>
      <x:c r="AJ45" s="26" t="str">
        <x:v>Not Started</x:v>
      </x:c>
      <x:c r="AK45" s="26" t="str"/>
      <x:c r="AL45" s="26" t="str"/>
    </x:row>
    <x:row r="46">
      <x:c r="A46" s="26" t="n">
        <x:v>126</x:v>
      </x:c>
      <x:c r="B46" s="26" t="n">
        <x:v>166</x:v>
      </x:c>
      <x:c r="C46" s="26" t="str">
        <x:v>Kumuram Bheem Asifabad</x:v>
      </x:c>
      <x:c r="D46" s="26" t="str">
        <x:v>Telangana</x:v>
      </x:c>
      <x:c r="E46" s="26" t="n">
        <x:v>5279</x:v>
      </x:c>
      <x:c r="F46" s="26" t="str">
        <x:v>PRJ-2026-0005279</x:v>
      </x:c>
      <x:c r="G46" s="26" t="str">
        <x:v>Upgradation of Anganwadi </x:v>
      </x:c>
      <x:c r="H46" s="26" t="str">
        <x:v>Mission Saksham Anganwadi &amp; POSHAN 2.0</x:v>
      </x:c>
      <x:c r="I46" s="32" t="n">
        <x:v>46163</x:v>
      </x:c>
      <x:c r="J46" s="32" t="n">
        <x:v>46254</x:v>
      </x:c>
      <x:c r="K46" s="32"/>
      <x:c r="L46" s="26" t="str">
        <x:v>Active: On/After 01-Aug-2026</x:v>
      </x:c>
      <x:c r="M46" s="26" t="str">
        <x:v>Pending Mapping</x:v>
      </x:c>
      <x:c r="N46" s="26" t="str">
        <x:v>Original project JSON not available</x:v>
      </x:c>
      <x:c r="O46" s="26"/>
      <x:c r="P46" s="26" t="str"/>
      <x:c r="Q46" s="26" t="str"/>
      <x:c r="R46" s="26"/>
      <x:c r="S46" s="36"/>
      <x:c r="T46" s="26"/>
      <x:c r="U46" s="26"/>
      <x:c r="V46" s="26"/>
      <x:c r="W46" s="26" t="n">
        <x:v>1</x:v>
      </x:c>
      <x:c r="X46" s="26" t="n">
        <x:v>0</x:v>
      </x:c>
      <x:c r="Y46" s="26" t="n">
        <x:v>2</x:v>
      </x:c>
      <x:c r="Z46" s="26" t="n">
        <x:v>0</x:v>
      </x:c>
      <x:c r="AA46" s="26" t="n">
        <x:v>2</x:v>
      </x:c>
      <x:c r="AB46" s="38" t="n">
        <x:v>0</x:v>
      </x:c>
      <x:c r="AC46" s="26" t="str">
        <x:v>Committed / Not Delivered</x:v>
      </x:c>
      <x:c r="AD46" s="26" t="str">
        <x:v>Approval not recorded in response</x:v>
      </x:c>
      <x:c r="AE46" s="27" t="b">
        <x:v>1</x:v>
      </x:c>
      <x:c r="AF46" s="34" t="n">
        <x:v>46219.41038194444</x:v>
      </x:c>
      <x:c r="AG46" s="34"/>
      <x:c r="AH46" s="26" t="str">
        <x:v>Contribution API fields only; original project JSON needed for line-item names/centres/category</x:v>
      </x:c>
      <x:c r="AI46" s="26" t="str"/>
      <x:c r="AJ46" s="26" t="str">
        <x:v>Not Started</x:v>
      </x:c>
      <x:c r="AK46" s="26" t="str"/>
      <x:c r="AL46" s="26" t="str"/>
    </x:row>
    <x:row r="47">
      <x:c r="A47" s="26" t="n">
        <x:v>127</x:v>
      </x:c>
      <x:c r="B47" s="26" t="n">
        <x:v>167</x:v>
      </x:c>
      <x:c r="C47" s="26" t="str">
        <x:v>Kumuram Bheem Asifabad</x:v>
      </x:c>
      <x:c r="D47" s="26" t="str">
        <x:v>Telangana</x:v>
      </x:c>
      <x:c r="E47" s="26" t="n">
        <x:v>5725</x:v>
      </x:c>
      <x:c r="F47" s="26" t="str">
        <x:v>PRJ-2026-0005725</x:v>
      </x:c>
      <x:c r="G47" s="26" t="str">
        <x:v>Upgradation of Anganwadies</x:v>
      </x:c>
      <x:c r="H47" s="26" t="str">
        <x:v>Mission Saksham Anganwadi &amp; POSHAN 2.0</x:v>
      </x:c>
      <x:c r="I47" s="32" t="n">
        <x:v>46163</x:v>
      </x:c>
      <x:c r="J47" s="32" t="n">
        <x:v>46255</x:v>
      </x:c>
      <x:c r="K47" s="32"/>
      <x:c r="L47" s="26" t="str">
        <x:v>Active: On/After 01-Aug-2026</x:v>
      </x:c>
      <x:c r="M47" s="26" t="str">
        <x:v>Pending Mapping</x:v>
      </x:c>
      <x:c r="N47" s="26" t="str">
        <x:v>Original project JSON not available</x:v>
      </x:c>
      <x:c r="O47" s="26"/>
      <x:c r="P47" s="26" t="str"/>
      <x:c r="Q47" s="26" t="str"/>
      <x:c r="R47" s="26"/>
      <x:c r="S47" s="36"/>
      <x:c r="T47" s="26"/>
      <x:c r="U47" s="26"/>
      <x:c r="V47" s="26"/>
      <x:c r="W47" s="26" t="n">
        <x:v>2</x:v>
      </x:c>
      <x:c r="X47" s="26" t="n">
        <x:v>0</x:v>
      </x:c>
      <x:c r="Y47" s="26" t="n">
        <x:v>12</x:v>
      </x:c>
      <x:c r="Z47" s="26" t="n">
        <x:v>0</x:v>
      </x:c>
      <x:c r="AA47" s="26" t="n">
        <x:v>12</x:v>
      </x:c>
      <x:c r="AB47" s="38" t="n">
        <x:v>0</x:v>
      </x:c>
      <x:c r="AC47" s="26" t="str">
        <x:v>Committed / Not Delivered</x:v>
      </x:c>
      <x:c r="AD47" s="26" t="str">
        <x:v>Approval not recorded in response</x:v>
      </x:c>
      <x:c r="AE47" s="27" t="b">
        <x:v>1</x:v>
      </x:c>
      <x:c r="AF47" s="34" t="n">
        <x:v>46219.41037037037</x:v>
      </x:c>
      <x:c r="AG47" s="34"/>
      <x:c r="AH47" s="26" t="str">
        <x:v>Contribution API fields only; original project JSON needed for line-item names/centres/category</x:v>
      </x:c>
      <x:c r="AI47" s="26" t="str"/>
      <x:c r="AJ47" s="26" t="str">
        <x:v>Not Started</x:v>
      </x:c>
      <x:c r="AK47" s="26" t="str"/>
      <x:c r="AL47" s="26" t="str"/>
    </x:row>
    <x:row r="48">
      <x:c r="A48" s="26" t="n">
        <x:v>128</x:v>
      </x:c>
      <x:c r="B48" s="26" t="n">
        <x:v>180</x:v>
      </x:c>
      <x:c r="C48" s="26" t="str">
        <x:v>Kumuram Bheem Asifabad</x:v>
      </x:c>
      <x:c r="D48" s="26" t="str">
        <x:v>Telangana</x:v>
      </x:c>
      <x:c r="E48" s="26" t="n">
        <x:v>9159</x:v>
      </x:c>
      <x:c r="F48" s="26" t="str">
        <x:v>PRJ-2026-0009159</x:v>
      </x:c>
      <x:c r="G48" s="26" t="str">
        <x:v>Proposal for upgradation of Anganwadi centre</x:v>
      </x:c>
      <x:c r="H48" s="26" t="str">
        <x:v>Mission Saksham Anganwadi &amp; POSHAN 2.0</x:v>
      </x:c>
      <x:c r="I48" s="32" t="n">
        <x:v>46164</x:v>
      </x:c>
      <x:c r="J48" s="32" t="n">
        <x:v>46295</x:v>
      </x:c>
      <x:c r="K48" s="32"/>
      <x:c r="L48" s="26" t="str">
        <x:v>Active: On/After 01-Aug-2026</x:v>
      </x:c>
      <x:c r="M48" s="26" t="str">
        <x:v>Pending Mapping</x:v>
      </x:c>
      <x:c r="N48" s="26" t="str">
        <x:v>Original project JSON not available</x:v>
      </x:c>
      <x:c r="O48" s="26"/>
      <x:c r="P48" s="26" t="str"/>
      <x:c r="Q48" s="26" t="str"/>
      <x:c r="R48" s="26"/>
      <x:c r="S48" s="36"/>
      <x:c r="T48" s="26"/>
      <x:c r="U48" s="26"/>
      <x:c r="V48" s="26"/>
      <x:c r="W48" s="26" t="n">
        <x:v>4</x:v>
      </x:c>
      <x:c r="X48" s="26" t="n">
        <x:v>0</x:v>
      </x:c>
      <x:c r="Y48" s="26" t="n">
        <x:v>8</x:v>
      </x:c>
      <x:c r="Z48" s="26" t="n">
        <x:v>0</x:v>
      </x:c>
      <x:c r="AA48" s="26" t="n">
        <x:v>8</x:v>
      </x:c>
      <x:c r="AB48" s="38" t="n">
        <x:v>0</x:v>
      </x:c>
      <x:c r="AC48" s="26" t="str">
        <x:v>Committed / Not Delivered</x:v>
      </x:c>
      <x:c r="AD48" s="26" t="str">
        <x:v>Approval not recorded in response</x:v>
      </x:c>
      <x:c r="AE48" s="27" t="b">
        <x:v>1</x:v>
      </x:c>
      <x:c r="AF48" s="34" t="n">
        <x:v>46219.40943287037</x:v>
      </x:c>
      <x:c r="AG48" s="34"/>
      <x:c r="AH48" s="26" t="str">
        <x:v>Contribution API fields only; original project JSON needed for line-item names/centres/category</x:v>
      </x:c>
      <x:c r="AI48" s="26" t="str"/>
      <x:c r="AJ48" s="26" t="str">
        <x:v>Not Started</x:v>
      </x:c>
      <x:c r="AK48" s="26" t="str"/>
      <x:c r="AL48" s="26" t="str"/>
    </x:row>
    <x:row r="49">
      <x:c r="A49" s="26" t="n">
        <x:v>129</x:v>
      </x:c>
      <x:c r="B49" s="26" t="n">
        <x:v>181</x:v>
      </x:c>
      <x:c r="C49" s="26" t="str">
        <x:v>Kumuram Bheem Asifabad</x:v>
      </x:c>
      <x:c r="D49" s="26" t="str">
        <x:v>Telangana</x:v>
      </x:c>
      <x:c r="E49" s="26" t="n">
        <x:v>9651</x:v>
      </x:c>
      <x:c r="F49" s="26" t="str">
        <x:v>PRJ-2026-0009651</x:v>
      </x:c>
      <x:c r="G49" s="26" t="str">
        <x:v>Proposal for upgradation of Anganwadi centre</x:v>
      </x:c>
      <x:c r="H49" s="26" t="str">
        <x:v>Mission Saksham Anganwadi &amp; POSHAN 2.0</x:v>
      </x:c>
      <x:c r="I49" s="32" t="n">
        <x:v>46164</x:v>
      </x:c>
      <x:c r="J49" s="32" t="n">
        <x:v>46295</x:v>
      </x:c>
      <x:c r="K49" s="32"/>
      <x:c r="L49" s="26" t="str">
        <x:v>Active: On/After 01-Aug-2026</x:v>
      </x:c>
      <x:c r="M49" s="26" t="str">
        <x:v>Pending Mapping</x:v>
      </x:c>
      <x:c r="N49" s="26" t="str">
        <x:v>Original project JSON not available</x:v>
      </x:c>
      <x:c r="O49" s="26"/>
      <x:c r="P49" s="26" t="str"/>
      <x:c r="Q49" s="26" t="str"/>
      <x:c r="R49" s="26"/>
      <x:c r="S49" s="36"/>
      <x:c r="T49" s="26"/>
      <x:c r="U49" s="26"/>
      <x:c r="V49" s="26"/>
      <x:c r="W49" s="26" t="n">
        <x:v>5</x:v>
      </x:c>
      <x:c r="X49" s="26" t="n">
        <x:v>0</x:v>
      </x:c>
      <x:c r="Y49" s="26" t="n">
        <x:v>23</x:v>
      </x:c>
      <x:c r="Z49" s="26" t="n">
        <x:v>0</x:v>
      </x:c>
      <x:c r="AA49" s="26" t="n">
        <x:v>23</x:v>
      </x:c>
      <x:c r="AB49" s="38" t="n">
        <x:v>0</x:v>
      </x:c>
      <x:c r="AC49" s="26" t="str">
        <x:v>Committed / Not Delivered</x:v>
      </x:c>
      <x:c r="AD49" s="26" t="str">
        <x:v>Approval not recorded in response</x:v>
      </x:c>
      <x:c r="AE49" s="27" t="b">
        <x:v>1</x:v>
      </x:c>
      <x:c r="AF49" s="34" t="n">
        <x:v>46219.40943287037</x:v>
      </x:c>
      <x:c r="AG49" s="34"/>
      <x:c r="AH49" s="26" t="str">
        <x:v>Contribution API fields only; original project JSON needed for line-item names/centres/category</x:v>
      </x:c>
      <x:c r="AI49" s="26" t="str"/>
      <x:c r="AJ49" s="26" t="str">
        <x:v>Not Started</x:v>
      </x:c>
      <x:c r="AK49" s="26" t="str"/>
      <x:c r="AL49" s="26" t="str"/>
    </x:row>
    <x:row r="50">
      <x:c r="A50" s="26" t="n">
        <x:v>130</x:v>
      </x:c>
      <x:c r="B50" s="26" t="n">
        <x:v>182</x:v>
      </x:c>
      <x:c r="C50" s="26" t="str">
        <x:v>Kumuram Bheem Asifabad</x:v>
      </x:c>
      <x:c r="D50" s="26" t="str">
        <x:v>Telangana</x:v>
      </x:c>
      <x:c r="E50" s="26" t="n">
        <x:v>9717</x:v>
      </x:c>
      <x:c r="F50" s="26" t="str">
        <x:v>PRJ-2026-0009717</x:v>
      </x:c>
      <x:c r="G50" s="26" t="str">
        <x:v>Proposal for Upgradation of Anganwadi centre</x:v>
      </x:c>
      <x:c r="H50" s="26" t="str">
        <x:v>Mission Saksham Anganwadi &amp; POSHAN 2.0</x:v>
      </x:c>
      <x:c r="I50" s="32" t="n">
        <x:v>46164</x:v>
      </x:c>
      <x:c r="J50" s="32" t="n">
        <x:v>46295</x:v>
      </x:c>
      <x:c r="K50" s="32"/>
      <x:c r="L50" s="26" t="str">
        <x:v>Active: On/After 01-Aug-2026</x:v>
      </x:c>
      <x:c r="M50" s="26" t="str">
        <x:v>Pending Mapping</x:v>
      </x:c>
      <x:c r="N50" s="26" t="str">
        <x:v>Original project JSON not available</x:v>
      </x:c>
      <x:c r="O50" s="26"/>
      <x:c r="P50" s="26" t="str"/>
      <x:c r="Q50" s="26" t="str"/>
      <x:c r="R50" s="26"/>
      <x:c r="S50" s="36"/>
      <x:c r="T50" s="26"/>
      <x:c r="U50" s="26"/>
      <x:c r="V50" s="26"/>
      <x:c r="W50" s="26" t="n">
        <x:v>4</x:v>
      </x:c>
      <x:c r="X50" s="26" t="n">
        <x:v>0</x:v>
      </x:c>
      <x:c r="Y50" s="26" t="n">
        <x:v>8</x:v>
      </x:c>
      <x:c r="Z50" s="26" t="n">
        <x:v>0</x:v>
      </x:c>
      <x:c r="AA50" s="26" t="n">
        <x:v>8</x:v>
      </x:c>
      <x:c r="AB50" s="38" t="n">
        <x:v>0</x:v>
      </x:c>
      <x:c r="AC50" s="26" t="str">
        <x:v>Committed / Not Delivered</x:v>
      </x:c>
      <x:c r="AD50" s="26" t="str">
        <x:v>Approval not recorded in response</x:v>
      </x:c>
      <x:c r="AE50" s="27" t="b">
        <x:v>1</x:v>
      </x:c>
      <x:c r="AF50" s="34" t="n">
        <x:v>46219.409421296295</x:v>
      </x:c>
      <x:c r="AG50" s="34"/>
      <x:c r="AH50" s="26" t="str">
        <x:v>Contribution API fields only; original project JSON needed for line-item names/centres/category</x:v>
      </x:c>
      <x:c r="AI50" s="26" t="str"/>
      <x:c r="AJ50" s="26" t="str">
        <x:v>Not Started</x:v>
      </x:c>
      <x:c r="AK50" s="26" t="str"/>
      <x:c r="AL50" s="26" t="str"/>
    </x:row>
    <x:row r="51">
      <x:c r="A51" s="26" t="n">
        <x:v>131</x:v>
      </x:c>
      <x:c r="B51" s="26" t="n">
        <x:v>183</x:v>
      </x:c>
      <x:c r="C51" s="26" t="str">
        <x:v>Kumuram Bheem Asifabad</x:v>
      </x:c>
      <x:c r="D51" s="26" t="str">
        <x:v>Telangana</x:v>
      </x:c>
      <x:c r="E51" s="26" t="n">
        <x:v>9810</x:v>
      </x:c>
      <x:c r="F51" s="26" t="str">
        <x:v>PRJ-2026-0009810</x:v>
      </x:c>
      <x:c r="G51" s="26" t="str">
        <x:v>Proposal for upgradation of Anganwadi centre</x:v>
      </x:c>
      <x:c r="H51" s="26" t="str">
        <x:v>Mission Saksham Anganwadi &amp; POSHAN 2.0</x:v>
      </x:c>
      <x:c r="I51" s="32" t="n">
        <x:v>46164</x:v>
      </x:c>
      <x:c r="J51" s="32" t="n">
        <x:v>46295</x:v>
      </x:c>
      <x:c r="K51" s="32"/>
      <x:c r="L51" s="26" t="str">
        <x:v>Active: On/After 01-Aug-2026</x:v>
      </x:c>
      <x:c r="M51" s="26" t="str">
        <x:v>Pending Mapping</x:v>
      </x:c>
      <x:c r="N51" s="26" t="str">
        <x:v>Original project JSON not available</x:v>
      </x:c>
      <x:c r="O51" s="26"/>
      <x:c r="P51" s="26" t="str"/>
      <x:c r="Q51" s="26" t="str"/>
      <x:c r="R51" s="26"/>
      <x:c r="S51" s="36"/>
      <x:c r="T51" s="26"/>
      <x:c r="U51" s="26"/>
      <x:c r="V51" s="26"/>
      <x:c r="W51" s="26" t="n">
        <x:v>5</x:v>
      </x:c>
      <x:c r="X51" s="26" t="n">
        <x:v>0</x:v>
      </x:c>
      <x:c r="Y51" s="26" t="n">
        <x:v>23</x:v>
      </x:c>
      <x:c r="Z51" s="26" t="n">
        <x:v>0</x:v>
      </x:c>
      <x:c r="AA51" s="26" t="n">
        <x:v>23</x:v>
      </x:c>
      <x:c r="AB51" s="38" t="n">
        <x:v>0</x:v>
      </x:c>
      <x:c r="AC51" s="26" t="str">
        <x:v>Committed / Not Delivered</x:v>
      </x:c>
      <x:c r="AD51" s="26" t="str">
        <x:v>Approval not recorded in response</x:v>
      </x:c>
      <x:c r="AE51" s="27" t="b">
        <x:v>1</x:v>
      </x:c>
      <x:c r="AF51" s="34" t="n">
        <x:v>46219.40940972222</x:v>
      </x:c>
      <x:c r="AG51" s="34"/>
      <x:c r="AH51" s="26" t="str">
        <x:v>Contribution API fields only; original project JSON needed for line-item names/centres/category</x:v>
      </x:c>
      <x:c r="AI51" s="26" t="str"/>
      <x:c r="AJ51" s="26" t="str">
        <x:v>Not Started</x:v>
      </x:c>
      <x:c r="AK51" s="26" t="str"/>
      <x:c r="AL51" s="26" t="str"/>
    </x:row>
    <x:row r="52">
      <x:c r="A52" s="26" t="n">
        <x:v>132</x:v>
      </x:c>
      <x:c r="B52" s="26" t="n">
        <x:v>187</x:v>
      </x:c>
      <x:c r="C52" s="26" t="str">
        <x:v>Kumuram Bheem Asifabad</x:v>
      </x:c>
      <x:c r="D52" s="26" t="str">
        <x:v>Telangana</x:v>
      </x:c>
      <x:c r="E52" s="26" t="n">
        <x:v>10421</x:v>
      </x:c>
      <x:c r="F52" s="26" t="str">
        <x:v>PRJ-2026-0010421</x:v>
      </x:c>
      <x:c r="G52" s="26" t="str">
        <x:v>Water filter, gas stove, ECCE metirial </x:v>
      </x:c>
      <x:c r="H52" s="26" t="str">
        <x:v>Mission Saksham Anganwadi &amp; POSHAN 2.0</x:v>
      </x:c>
      <x:c r="I52" s="32" t="n">
        <x:v>46164</x:v>
      </x:c>
      <x:c r="J52" s="32" t="n">
        <x:v>46265</x:v>
      </x:c>
      <x:c r="K52" s="32"/>
      <x:c r="L52" s="26" t="str">
        <x:v>Active: On/After 01-Aug-2026</x:v>
      </x:c>
      <x:c r="M52" s="26" t="str">
        <x:v>Pending Mapping</x:v>
      </x:c>
      <x:c r="N52" s="26" t="str">
        <x:v>Original project JSON not available</x:v>
      </x:c>
      <x:c r="O52" s="26"/>
      <x:c r="P52" s="26" t="str"/>
      <x:c r="Q52" s="26" t="str"/>
      <x:c r="R52" s="26"/>
      <x:c r="S52" s="36"/>
      <x:c r="T52" s="26"/>
      <x:c r="U52" s="26"/>
      <x:c r="V52" s="26"/>
      <x:c r="W52" s="26" t="n">
        <x:v>2</x:v>
      </x:c>
      <x:c r="X52" s="26" t="n">
        <x:v>0</x:v>
      </x:c>
      <x:c r="Y52" s="26" t="n">
        <x:v>2</x:v>
      </x:c>
      <x:c r="Z52" s="26" t="n">
        <x:v>0</x:v>
      </x:c>
      <x:c r="AA52" s="26" t="n">
        <x:v>2</x:v>
      </x:c>
      <x:c r="AB52" s="38" t="n">
        <x:v>0</x:v>
      </x:c>
      <x:c r="AC52" s="26" t="str">
        <x:v>Committed / Not Delivered</x:v>
      </x:c>
      <x:c r="AD52" s="26" t="str">
        <x:v>Approval not recorded in response</x:v>
      </x:c>
      <x:c r="AE52" s="27" t="b">
        <x:v>1</x:v>
      </x:c>
      <x:c r="AF52" s="34" t="n">
        <x:v>46219.40938657407</x:v>
      </x:c>
      <x:c r="AG52" s="34"/>
      <x:c r="AH52" s="26" t="str">
        <x:v>Contribution API fields only; original project JSON needed for line-item names/centres/category</x:v>
      </x:c>
      <x:c r="AI52" s="26" t="str"/>
      <x:c r="AJ52" s="26" t="str">
        <x:v>Not Started</x:v>
      </x:c>
      <x:c r="AK52" s="26" t="str"/>
      <x:c r="AL52" s="26" t="str"/>
    </x:row>
    <x:row r="53">
      <x:c r="A53" s="26" t="n">
        <x:v>133</x:v>
      </x:c>
      <x:c r="B53" s="26" t="n">
        <x:v>188</x:v>
      </x:c>
      <x:c r="C53" s="26" t="str">
        <x:v>Kumuram Bheem Asifabad</x:v>
      </x:c>
      <x:c r="D53" s="26" t="str">
        <x:v>Telangana</x:v>
      </x:c>
      <x:c r="E53" s="26" t="n">
        <x:v>10521</x:v>
      </x:c>
      <x:c r="F53" s="26" t="str">
        <x:v>PRJ-2026-0010521</x:v>
      </x:c>
      <x:c r="G53" s="26" t="str">
        <x:v>Water filter, ECCE metirial </x:v>
      </x:c>
      <x:c r="H53" s="26" t="str">
        <x:v>Mission Saksham Anganwadi &amp; POSHAN 2.0</x:v>
      </x:c>
      <x:c r="I53" s="32" t="n">
        <x:v>46164</x:v>
      </x:c>
      <x:c r="J53" s="32" t="n">
        <x:v>46265</x:v>
      </x:c>
      <x:c r="K53" s="32"/>
      <x:c r="L53" s="26" t="str">
        <x:v>Active: On/After 01-Aug-2026</x:v>
      </x:c>
      <x:c r="M53" s="26" t="str">
        <x:v>Pending Mapping</x:v>
      </x:c>
      <x:c r="N53" s="26" t="str">
        <x:v>Original project JSON not available</x:v>
      </x:c>
      <x:c r="O53" s="26"/>
      <x:c r="P53" s="26" t="str"/>
      <x:c r="Q53" s="26" t="str"/>
      <x:c r="R53" s="26"/>
      <x:c r="S53" s="36"/>
      <x:c r="T53" s="26"/>
      <x:c r="U53" s="26"/>
      <x:c r="V53" s="26"/>
      <x:c r="W53" s="26" t="n">
        <x:v>5</x:v>
      </x:c>
      <x:c r="X53" s="26" t="n">
        <x:v>0</x:v>
      </x:c>
      <x:c r="Y53" s="26" t="n">
        <x:v>8</x:v>
      </x:c>
      <x:c r="Z53" s="26" t="n">
        <x:v>0</x:v>
      </x:c>
      <x:c r="AA53" s="26" t="n">
        <x:v>8</x:v>
      </x:c>
      <x:c r="AB53" s="38" t="n">
        <x:v>0</x:v>
      </x:c>
      <x:c r="AC53" s="26" t="str">
        <x:v>Committed / Not Delivered</x:v>
      </x:c>
      <x:c r="AD53" s="26" t="str">
        <x:v>Approval not recorded in response</x:v>
      </x:c>
      <x:c r="AE53" s="27" t="b">
        <x:v>1</x:v>
      </x:c>
      <x:c r="AF53" s="34" t="n">
        <x:v>46219.409375</x:v>
      </x:c>
      <x:c r="AG53" s="34"/>
      <x:c r="AH53" s="26" t="str">
        <x:v>Contribution API fields only; original project JSON needed for line-item names/centres/category</x:v>
      </x:c>
      <x:c r="AI53" s="26" t="str"/>
      <x:c r="AJ53" s="26" t="str">
        <x:v>Not Started</x:v>
      </x:c>
      <x:c r="AK53" s="26" t="str"/>
      <x:c r="AL53" s="26" t="str"/>
    </x:row>
    <x:row r="54">
      <x:c r="A54" s="26" t="n">
        <x:v>135</x:v>
      </x:c>
      <x:c r="B54" s="26" t="n">
        <x:v>129</x:v>
      </x:c>
      <x:c r="C54" s="26" t="str">
        <x:v>Kumuram Bheem Asifabad</x:v>
      </x:c>
      <x:c r="D54" s="26" t="str">
        <x:v>Telangana</x:v>
      </x:c>
      <x:c r="E54" s="26" t="n">
        <x:v>4191</x:v>
      </x:c>
      <x:c r="F54" s="26" t="str">
        <x:v>PRJ-2026-0004191</x:v>
      </x:c>
      <x:c r="G54" s="26" t="str">
        <x:v>water filter</x:v>
      </x:c>
      <x:c r="H54" s="26" t="str">
        <x:v>Mission Saksham Anganwadi &amp; POSHAN 2.0</x:v>
      </x:c>
      <x:c r="I54" s="32" t="n">
        <x:v>46163</x:v>
      </x:c>
      <x:c r="J54" s="32" t="n">
        <x:v>46316</x:v>
      </x:c>
      <x:c r="K54" s="32"/>
      <x:c r="L54" s="26" t="str">
        <x:v>Active: On/After 01-Aug-2026</x:v>
      </x:c>
      <x:c r="M54" s="26" t="str">
        <x:v>Pending Mapping</x:v>
      </x:c>
      <x:c r="N54" s="26" t="str">
        <x:v>Original project JSON not available</x:v>
      </x:c>
      <x:c r="O54" s="26"/>
      <x:c r="P54" s="26" t="str"/>
      <x:c r="Q54" s="26" t="str"/>
      <x:c r="R54" s="26"/>
      <x:c r="S54" s="36"/>
      <x:c r="T54" s="26"/>
      <x:c r="U54" s="26"/>
      <x:c r="V54" s="26"/>
      <x:c r="W54" s="26" t="n">
        <x:v>1</x:v>
      </x:c>
      <x:c r="X54" s="26" t="n">
        <x:v>0</x:v>
      </x:c>
      <x:c r="Y54" s="26" t="n">
        <x:v>1</x:v>
      </x:c>
      <x:c r="Z54" s="26" t="n">
        <x:v>0</x:v>
      </x:c>
      <x:c r="AA54" s="26" t="n">
        <x:v>1</x:v>
      </x:c>
      <x:c r="AB54" s="38" t="n">
        <x:v>0</x:v>
      </x:c>
      <x:c r="AC54" s="26" t="str">
        <x:v>Committed / Not Delivered</x:v>
      </x:c>
      <x:c r="AD54" s="26" t="str">
        <x:v>Approval not recorded in response</x:v>
      </x:c>
      <x:c r="AE54" s="27" t="b">
        <x:v>1</x:v>
      </x:c>
      <x:c r="AF54" s="34" t="n">
        <x:v>46219.38929398148</x:v>
      </x:c>
      <x:c r="AG54" s="34"/>
      <x:c r="AH54" s="26" t="str">
        <x:v>Contribution API fields only; original project JSON needed for line-item names/centres/category</x:v>
      </x:c>
      <x:c r="AI54" s="26" t="str"/>
      <x:c r="AJ54" s="26" t="str">
        <x:v>Not Started</x:v>
      </x:c>
      <x:c r="AK54" s="26" t="str"/>
      <x:c r="AL54" s="26" t="str"/>
    </x:row>
    <x:row r="55">
      <x:c r="A55" s="26" t="n">
        <x:v>136</x:v>
      </x:c>
      <x:c r="B55" s="26" t="n">
        <x:v>128</x:v>
      </x:c>
      <x:c r="C55" s="26" t="str">
        <x:v>Kumuram Bheem Asifabad</x:v>
      </x:c>
      <x:c r="D55" s="26" t="str">
        <x:v>Telangana</x:v>
      </x:c>
      <x:c r="E55" s="26" t="n">
        <x:v>144</x:v>
      </x:c>
      <x:c r="F55" s="26" t="str">
        <x:v>PRJ-2026-0000144</x:v>
      </x:c>
      <x:c r="G55" s="26" t="str">
        <x:v>Upgradation of Anganwadi center</x:v>
      </x:c>
      <x:c r="H55" s="26" t="str">
        <x:v>Mission Saksham Anganwadi &amp; POSHAN 2.0</x:v>
      </x:c>
      <x:c r="I55" s="32" t="n">
        <x:v>46162</x:v>
      </x:c>
      <x:c r="J55" s="32" t="n">
        <x:v>46254</x:v>
      </x:c>
      <x:c r="K55" s="32"/>
      <x:c r="L55" s="26" t="str">
        <x:v>Active: On/After 01-Aug-2026</x:v>
      </x:c>
      <x:c r="M55" s="26" t="str">
        <x:v>Pending Mapping</x:v>
      </x:c>
      <x:c r="N55" s="26" t="str">
        <x:v>Original project JSON not available</x:v>
      </x:c>
      <x:c r="O55" s="26"/>
      <x:c r="P55" s="26" t="str"/>
      <x:c r="Q55" s="26" t="str"/>
      <x:c r="R55" s="26"/>
      <x:c r="S55" s="36"/>
      <x:c r="T55" s="26"/>
      <x:c r="U55" s="26"/>
      <x:c r="V55" s="26"/>
      <x:c r="W55" s="26" t="n">
        <x:v>3</x:v>
      </x:c>
      <x:c r="X55" s="26" t="n">
        <x:v>0</x:v>
      </x:c>
      <x:c r="Y55" s="26" t="n">
        <x:v>9</x:v>
      </x:c>
      <x:c r="Z55" s="26" t="n">
        <x:v>0</x:v>
      </x:c>
      <x:c r="AA55" s="26" t="n">
        <x:v>9</x:v>
      </x:c>
      <x:c r="AB55" s="38" t="n">
        <x:v>0</x:v>
      </x:c>
      <x:c r="AC55" s="26" t="str">
        <x:v>Committed / Not Delivered</x:v>
      </x:c>
      <x:c r="AD55" s="26" t="str">
        <x:v>Approval not recorded in response</x:v>
      </x:c>
      <x:c r="AE55" s="27" t="b">
        <x:v>1</x:v>
      </x:c>
      <x:c r="AF55" s="34" t="n">
        <x:v>46219.37427083333</x:v>
      </x:c>
      <x:c r="AG55" s="34"/>
      <x:c r="AH55" s="26" t="str">
        <x:v>Contribution API fields only; original project JSON needed for line-item names/centres/category</x:v>
      </x:c>
      <x:c r="AI55" s="26" t="str"/>
      <x:c r="AJ55" s="26" t="str">
        <x:v>Not Started</x:v>
      </x:c>
      <x:c r="AK55" s="26" t="str"/>
      <x:c r="AL55" s="26" t="str"/>
    </x:row>
    <x:row r="56">
      <x:c r="A56" s="26" t="n">
        <x:v>137</x:v>
      </x:c>
      <x:c r="B56" s="26" t="n">
        <x:v>132</x:v>
      </x:c>
      <x:c r="C56" s="26" t="str">
        <x:v>Kumuram Bheem Asifabad</x:v>
      </x:c>
      <x:c r="D56" s="26" t="str">
        <x:v>Telangana</x:v>
      </x:c>
      <x:c r="E56" s="26" t="n">
        <x:v>82</x:v>
      </x:c>
      <x:c r="F56" s="26" t="str">
        <x:v>PRJ-2026-0000082</x:v>
      </x:c>
      <x:c r="G56" s="26" t="str">
        <x:v>Requirement of Water Filter, Door,Ramps</x:v>
      </x:c>
      <x:c r="H56" s="26" t="str">
        <x:v>Mission Saksham Anganwadi &amp; POSHAN 2.0</x:v>
      </x:c>
      <x:c r="I56" s="32" t="n">
        <x:v>46163</x:v>
      </x:c>
      <x:c r="J56" s="32" t="n">
        <x:v>46347</x:v>
      </x:c>
      <x:c r="K56" s="32"/>
      <x:c r="L56" s="26" t="str">
        <x:v>Active: On/After 01-Aug-2026</x:v>
      </x:c>
      <x:c r="M56" s="26" t="str">
        <x:v>Pending Mapping</x:v>
      </x:c>
      <x:c r="N56" s="26" t="str">
        <x:v>Original project JSON not available</x:v>
      </x:c>
      <x:c r="O56" s="26"/>
      <x:c r="P56" s="26" t="str"/>
      <x:c r="Q56" s="26" t="str"/>
      <x:c r="R56" s="26"/>
      <x:c r="S56" s="36"/>
      <x:c r="T56" s="26"/>
      <x:c r="U56" s="26"/>
      <x:c r="V56" s="26"/>
      <x:c r="W56" s="26" t="n">
        <x:v>2</x:v>
      </x:c>
      <x:c r="X56" s="26" t="n">
        <x:v>0</x:v>
      </x:c>
      <x:c r="Y56" s="26" t="n">
        <x:v>2</x:v>
      </x:c>
      <x:c r="Z56" s="26" t="n">
        <x:v>0</x:v>
      </x:c>
      <x:c r="AA56" s="26" t="n">
        <x:v>2</x:v>
      </x:c>
      <x:c r="AB56" s="38" t="n">
        <x:v>0</x:v>
      </x:c>
      <x:c r="AC56" s="26" t="str">
        <x:v>Committed / Not Delivered</x:v>
      </x:c>
      <x:c r="AD56" s="26" t="str">
        <x:v>Approval not recorded in response</x:v>
      </x:c>
      <x:c r="AE56" s="27" t="b">
        <x:v>1</x:v>
      </x:c>
      <x:c r="AF56" s="34" t="n">
        <x:v>46218.51111111111</x:v>
      </x:c>
      <x:c r="AG56" s="34"/>
      <x:c r="AH56" s="26" t="str">
        <x:v>Contribution API fields only; original project JSON needed for line-item names/centres/category</x:v>
      </x:c>
      <x:c r="AI56" s="26" t="str"/>
      <x:c r="AJ56" s="26" t="str">
        <x:v>Not Started</x:v>
      </x:c>
      <x:c r="AK56" s="26" t="str"/>
      <x:c r="AL56" s="26" t="str"/>
    </x:row>
    <x:row r="57">
      <x:c r="A57" s="26" t="n">
        <x:v>138</x:v>
      </x:c>
      <x:c r="B57" s="26" t="n">
        <x:v>134</x:v>
      </x:c>
      <x:c r="C57" s="26" t="str">
        <x:v>Kumuram Bheem Asifabad</x:v>
      </x:c>
      <x:c r="D57" s="26" t="str">
        <x:v>Telangana</x:v>
      </x:c>
      <x:c r="E57" s="26" t="n">
        <x:v>223</x:v>
      </x:c>
      <x:c r="F57" s="26" t="str">
        <x:v>PRJ-2026-0000223</x:v>
      </x:c>
      <x:c r="G57" s="26" t="str">
        <x:v>Requirement of Toilet, Water filter, Poshan Vatika, Solar panel</x:v>
      </x:c>
      <x:c r="H57" s="26" t="str">
        <x:v>Mission Saksham Anganwadi &amp; POSHAN 2.0</x:v>
      </x:c>
      <x:c r="I57" s="32" t="n">
        <x:v>46163</x:v>
      </x:c>
      <x:c r="J57" s="32" t="n">
        <x:v>46347</x:v>
      </x:c>
      <x:c r="K57" s="32"/>
      <x:c r="L57" s="26" t="str">
        <x:v>Active: On/After 01-Aug-2026</x:v>
      </x:c>
      <x:c r="M57" s="26" t="str">
        <x:v>Pending Mapping</x:v>
      </x:c>
      <x:c r="N57" s="26" t="str">
        <x:v>Original project JSON not available</x:v>
      </x:c>
      <x:c r="O57" s="26"/>
      <x:c r="P57" s="26" t="str"/>
      <x:c r="Q57" s="26" t="str"/>
      <x:c r="R57" s="26"/>
      <x:c r="S57" s="36"/>
      <x:c r="T57" s="26"/>
      <x:c r="U57" s="26"/>
      <x:c r="V57" s="26"/>
      <x:c r="W57" s="26" t="n">
        <x:v>4</x:v>
      </x:c>
      <x:c r="X57" s="26" t="n">
        <x:v>0</x:v>
      </x:c>
      <x:c r="Y57" s="26" t="n">
        <x:v>5</x:v>
      </x:c>
      <x:c r="Z57" s="26" t="n">
        <x:v>0</x:v>
      </x:c>
      <x:c r="AA57" s="26" t="n">
        <x:v>5</x:v>
      </x:c>
      <x:c r="AB57" s="38" t="n">
        <x:v>0</x:v>
      </x:c>
      <x:c r="AC57" s="26" t="str">
        <x:v>Committed / Not Delivered</x:v>
      </x:c>
      <x:c r="AD57" s="26" t="str">
        <x:v>Approval not recorded in response</x:v>
      </x:c>
      <x:c r="AE57" s="27" t="b">
        <x:v>1</x:v>
      </x:c>
      <x:c r="AF57" s="34" t="n">
        <x:v>46218.511087962965</x:v>
      </x:c>
      <x:c r="AG57" s="34"/>
      <x:c r="AH57" s="26" t="str">
        <x:v>Contribution API fields only; original project JSON needed for line-item names/centres/category</x:v>
      </x:c>
      <x:c r="AI57" s="26" t="str"/>
      <x:c r="AJ57" s="26" t="str">
        <x:v>Not Started</x:v>
      </x:c>
      <x:c r="AK57" s="26" t="str"/>
      <x:c r="AL57" s="26" t="str"/>
    </x:row>
    <x:row r="58">
      <x:c r="A58" s="26" t="n">
        <x:v>139</x:v>
      </x:c>
      <x:c r="B58" s="26" t="n">
        <x:v>135</x:v>
      </x:c>
      <x:c r="C58" s="26" t="str">
        <x:v>Kumuram Bheem Asifabad</x:v>
      </x:c>
      <x:c r="D58" s="26" t="str">
        <x:v>Telangana</x:v>
      </x:c>
      <x:c r="E58" s="26" t="n">
        <x:v>245</x:v>
      </x:c>
      <x:c r="F58" s="26" t="str">
        <x:v>PRJ-2026-0000245</x:v>
      </x:c>
      <x:c r="G58" s="26" t="str">
        <x:v>Requirement of Water Filter, ECCE, GMD, Gas stove &amp; Regulator</x:v>
      </x:c>
      <x:c r="H58" s="26" t="str">
        <x:v>Mission Saksham Anganwadi &amp; POSHAN 2.0</x:v>
      </x:c>
      <x:c r="I58" s="32" t="n">
        <x:v>46163</x:v>
      </x:c>
      <x:c r="J58" s="32" t="n">
        <x:v>46347</x:v>
      </x:c>
      <x:c r="K58" s="32"/>
      <x:c r="L58" s="26" t="str">
        <x:v>Active: On/After 01-Aug-2026</x:v>
      </x:c>
      <x:c r="M58" s="26" t="str">
        <x:v>Pending Mapping</x:v>
      </x:c>
      <x:c r="N58" s="26" t="str">
        <x:v>Original project JSON not available</x:v>
      </x:c>
      <x:c r="O58" s="26"/>
      <x:c r="P58" s="26" t="str"/>
      <x:c r="Q58" s="26" t="str"/>
      <x:c r="R58" s="26"/>
      <x:c r="S58" s="36"/>
      <x:c r="T58" s="26"/>
      <x:c r="U58" s="26"/>
      <x:c r="V58" s="26"/>
      <x:c r="W58" s="26" t="n">
        <x:v>3</x:v>
      </x:c>
      <x:c r="X58" s="26" t="n">
        <x:v>0</x:v>
      </x:c>
      <x:c r="Y58" s="26" t="n">
        <x:v>8</x:v>
      </x:c>
      <x:c r="Z58" s="26" t="n">
        <x:v>0</x:v>
      </x:c>
      <x:c r="AA58" s="26" t="n">
        <x:v>8</x:v>
      </x:c>
      <x:c r="AB58" s="38" t="n">
        <x:v>0</x:v>
      </x:c>
      <x:c r="AC58" s="26" t="str">
        <x:v>Committed / Not Delivered</x:v>
      </x:c>
      <x:c r="AD58" s="26" t="str">
        <x:v>Approval not recorded in response</x:v>
      </x:c>
      <x:c r="AE58" s="27" t="b">
        <x:v>1</x:v>
      </x:c>
      <x:c r="AF58" s="34" t="n">
        <x:v>46218.51107638889</x:v>
      </x:c>
      <x:c r="AG58" s="34"/>
      <x:c r="AH58" s="26" t="str">
        <x:v>Contribution API fields only; original project JSON needed for line-item names/centres/category</x:v>
      </x:c>
      <x:c r="AI58" s="26" t="str"/>
      <x:c r="AJ58" s="26" t="str">
        <x:v>Not Started</x:v>
      </x:c>
      <x:c r="AK58" s="26" t="str"/>
      <x:c r="AL58" s="26" t="str"/>
    </x:row>
    <x:row r="59">
      <x:c r="A59" s="26" t="n">
        <x:v>140</x:v>
      </x:c>
      <x:c r="B59" s="26" t="n">
        <x:v>136</x:v>
      </x:c>
      <x:c r="C59" s="26" t="str">
        <x:v>Kumuram Bheem Asifabad</x:v>
      </x:c>
      <x:c r="D59" s="26" t="str">
        <x:v>Telangana</x:v>
      </x:c>
      <x:c r="E59" s="26" t="n">
        <x:v>250</x:v>
      </x:c>
      <x:c r="F59" s="26" t="str">
        <x:v>PRJ-2026-0000250</x:v>
      </x:c>
      <x:c r="G59" s="26" t="str">
        <x:v>Requirement of Water Filter, Solar Panel, GMD</x:v>
      </x:c>
      <x:c r="H59" s="26" t="str">
        <x:v>Mission Saksham Anganwadi &amp; POSHAN 2.0</x:v>
      </x:c>
      <x:c r="I59" s="32" t="n">
        <x:v>46163</x:v>
      </x:c>
      <x:c r="J59" s="32" t="n">
        <x:v>46347</x:v>
      </x:c>
      <x:c r="K59" s="32"/>
      <x:c r="L59" s="26" t="str">
        <x:v>Active: On/After 01-Aug-2026</x:v>
      </x:c>
      <x:c r="M59" s="26" t="str">
        <x:v>Pending Mapping</x:v>
      </x:c>
      <x:c r="N59" s="26" t="str">
        <x:v>Original project JSON not available</x:v>
      </x:c>
      <x:c r="O59" s="26"/>
      <x:c r="P59" s="26" t="str"/>
      <x:c r="Q59" s="26" t="str"/>
      <x:c r="R59" s="26"/>
      <x:c r="S59" s="36"/>
      <x:c r="T59" s="26"/>
      <x:c r="U59" s="26"/>
      <x:c r="V59" s="26"/>
      <x:c r="W59" s="26" t="n">
        <x:v>2</x:v>
      </x:c>
      <x:c r="X59" s="26" t="n">
        <x:v>0</x:v>
      </x:c>
      <x:c r="Y59" s="26" t="n">
        <x:v>2</x:v>
      </x:c>
      <x:c r="Z59" s="26" t="n">
        <x:v>0</x:v>
      </x:c>
      <x:c r="AA59" s="26" t="n">
        <x:v>2</x:v>
      </x:c>
      <x:c r="AB59" s="38" t="n">
        <x:v>0</x:v>
      </x:c>
      <x:c r="AC59" s="26" t="str">
        <x:v>Committed / Not Delivered</x:v>
      </x:c>
      <x:c r="AD59" s="26" t="str">
        <x:v>Approval not recorded in response</x:v>
      </x:c>
      <x:c r="AE59" s="27" t="b">
        <x:v>1</x:v>
      </x:c>
      <x:c r="AF59" s="34" t="n">
        <x:v>46218.51106481482</x:v>
      </x:c>
      <x:c r="AG59" s="34"/>
      <x:c r="AH59" s="26" t="str">
        <x:v>Contribution API fields only; original project JSON needed for line-item names/centres/category</x:v>
      </x:c>
      <x:c r="AI59" s="26" t="str"/>
      <x:c r="AJ59" s="26" t="str">
        <x:v>Not Started</x:v>
      </x:c>
      <x:c r="AK59" s="26" t="str"/>
      <x:c r="AL59" s="26" t="str"/>
    </x:row>
    <x:row r="60">
      <x:c r="A60" s="26" t="n">
        <x:v>141</x:v>
      </x:c>
      <x:c r="B60" s="26" t="n">
        <x:v>137</x:v>
      </x:c>
      <x:c r="C60" s="26" t="str">
        <x:v>Kumuram Bheem Asifabad</x:v>
      </x:c>
      <x:c r="D60" s="26" t="str">
        <x:v>Telangana</x:v>
      </x:c>
      <x:c r="E60" s="26" t="n">
        <x:v>874</x:v>
      </x:c>
      <x:c r="F60" s="26" t="str">
        <x:v>PRJ-2026-0000874</x:v>
      </x:c>
      <x:c r="G60" s="26" t="str">
        <x:v>Materials(Balls, Dining, Hand wash)</x:v>
      </x:c>
      <x:c r="H60" s="26" t="str">
        <x:v>Mission Saksham Anganwadi &amp; POSHAN 2.0</x:v>
      </x:c>
      <x:c r="I60" s="32" t="n">
        <x:v>46163</x:v>
      </x:c>
      <x:c r="J60" s="32" t="n">
        <x:v>46316</x:v>
      </x:c>
      <x:c r="K60" s="32"/>
      <x:c r="L60" s="26" t="str">
        <x:v>Active: On/After 01-Aug-2026</x:v>
      </x:c>
      <x:c r="M60" s="26" t="str">
        <x:v>Pending Mapping</x:v>
      </x:c>
      <x:c r="N60" s="26" t="str">
        <x:v>Original project JSON not available</x:v>
      </x:c>
      <x:c r="O60" s="26"/>
      <x:c r="P60" s="26" t="str"/>
      <x:c r="Q60" s="26" t="str"/>
      <x:c r="R60" s="26"/>
      <x:c r="S60" s="36"/>
      <x:c r="T60" s="26"/>
      <x:c r="U60" s="26"/>
      <x:c r="V60" s="26"/>
      <x:c r="W60" s="26" t="n">
        <x:v>3</x:v>
      </x:c>
      <x:c r="X60" s="26" t="n">
        <x:v>0</x:v>
      </x:c>
      <x:c r="Y60" s="26" t="n">
        <x:v>29</x:v>
      </x:c>
      <x:c r="Z60" s="26" t="n">
        <x:v>0</x:v>
      </x:c>
      <x:c r="AA60" s="26" t="n">
        <x:v>29</x:v>
      </x:c>
      <x:c r="AB60" s="38" t="n">
        <x:v>0</x:v>
      </x:c>
      <x:c r="AC60" s="26" t="str">
        <x:v>Committed / Not Delivered</x:v>
      </x:c>
      <x:c r="AD60" s="26" t="str">
        <x:v>Approval not recorded in response</x:v>
      </x:c>
      <x:c r="AE60" s="27" t="b">
        <x:v>1</x:v>
      </x:c>
      <x:c r="AF60" s="34" t="n">
        <x:v>46218.51106481482</x:v>
      </x:c>
      <x:c r="AG60" s="34"/>
      <x:c r="AH60" s="26" t="str">
        <x:v>Contribution API fields only; original project JSON needed for line-item names/centres/category</x:v>
      </x:c>
      <x:c r="AI60" s="26" t="str"/>
      <x:c r="AJ60" s="26" t="str">
        <x:v>Not Started</x:v>
      </x:c>
      <x:c r="AK60" s="26" t="str"/>
      <x:c r="AL60" s="26" t="str"/>
    </x:row>
    <x:row r="61">
      <x:c r="A61" s="26" t="n">
        <x:v>142</x:v>
      </x:c>
      <x:c r="B61" s="26" t="n">
        <x:v>138</x:v>
      </x:c>
      <x:c r="C61" s="26" t="str">
        <x:v>Kumuram Bheem Asifabad</x:v>
      </x:c>
      <x:c r="D61" s="26" t="str">
        <x:v>Telangana</x:v>
      </x:c>
      <x:c r="E61" s="26" t="n">
        <x:v>1014</x:v>
      </x:c>
      <x:c r="F61" s="26" t="str">
        <x:v>PRJ-2026-0001014</x:v>
      </x:c>
      <x:c r="G61" s="26" t="str">
        <x:v>Materials(Swing Sets, Gardening Equipment, Seeds)  </x:v>
      </x:c>
      <x:c r="H61" s="26" t="str">
        <x:v>Mission Saksham Anganwadi &amp; POSHAN 2.0</x:v>
      </x:c>
      <x:c r="I61" s="32" t="n">
        <x:v>46163</x:v>
      </x:c>
      <x:c r="J61" s="32" t="n">
        <x:v>46316</x:v>
      </x:c>
      <x:c r="K61" s="32"/>
      <x:c r="L61" s="26" t="str">
        <x:v>Active: On/After 01-Aug-2026</x:v>
      </x:c>
      <x:c r="M61" s="26" t="str">
        <x:v>Pending Mapping</x:v>
      </x:c>
      <x:c r="N61" s="26" t="str">
        <x:v>Original project JSON not available</x:v>
      </x:c>
      <x:c r="O61" s="26"/>
      <x:c r="P61" s="26" t="str"/>
      <x:c r="Q61" s="26" t="str"/>
      <x:c r="R61" s="26"/>
      <x:c r="S61" s="36"/>
      <x:c r="T61" s="26"/>
      <x:c r="U61" s="26"/>
      <x:c r="V61" s="26"/>
      <x:c r="W61" s="26" t="n">
        <x:v>3</x:v>
      </x:c>
      <x:c r="X61" s="26" t="n">
        <x:v>0</x:v>
      </x:c>
      <x:c r="Y61" s="26" t="n">
        <x:v>15</x:v>
      </x:c>
      <x:c r="Z61" s="26" t="n">
        <x:v>0</x:v>
      </x:c>
      <x:c r="AA61" s="26" t="n">
        <x:v>15</x:v>
      </x:c>
      <x:c r="AB61" s="38" t="n">
        <x:v>0</x:v>
      </x:c>
      <x:c r="AC61" s="26" t="str">
        <x:v>Committed / Not Delivered</x:v>
      </x:c>
      <x:c r="AD61" s="26" t="str">
        <x:v>Approval not recorded in response</x:v>
      </x:c>
      <x:c r="AE61" s="27" t="b">
        <x:v>1</x:v>
      </x:c>
      <x:c r="AF61" s="34" t="n">
        <x:v>46218.51105324074</x:v>
      </x:c>
      <x:c r="AG61" s="34"/>
      <x:c r="AH61" s="26" t="str">
        <x:v>Contribution API fields only; original project JSON needed for line-item names/centres/category</x:v>
      </x:c>
      <x:c r="AI61" s="26" t="str"/>
      <x:c r="AJ61" s="26" t="str">
        <x:v>Not Started</x:v>
      </x:c>
      <x:c r="AK61" s="26" t="str"/>
      <x:c r="AL61" s="26" t="str"/>
    </x:row>
    <x:row r="62">
      <x:c r="A62" s="26" t="n">
        <x:v>143</x:v>
      </x:c>
      <x:c r="B62" s="26" t="n">
        <x:v>139</x:v>
      </x:c>
      <x:c r="C62" s="26" t="str">
        <x:v>Kumuram Bheem Asifabad</x:v>
      </x:c>
      <x:c r="D62" s="26" t="str">
        <x:v>Telangana</x:v>
      </x:c>
      <x:c r="E62" s="26" t="n">
        <x:v>1105</x:v>
      </x:c>
      <x:c r="F62" s="26" t="str">
        <x:v>PRJ-2026-0001105</x:v>
      </x:c>
      <x:c r="G62" s="26" t="str">
        <x:v>Materials (Gardening Equipment, Seeds, Other Resources)  </x:v>
      </x:c>
      <x:c r="H62" s="26" t="str">
        <x:v>Mission Saksham Anganwadi &amp; POSHAN 2.0</x:v>
      </x:c>
      <x:c r="I62" s="32" t="n">
        <x:v>46163</x:v>
      </x:c>
      <x:c r="J62" s="32" t="n">
        <x:v>46316</x:v>
      </x:c>
      <x:c r="K62" s="32"/>
      <x:c r="L62" s="26" t="str">
        <x:v>Active: On/After 01-Aug-2026</x:v>
      </x:c>
      <x:c r="M62" s="26" t="str">
        <x:v>Pending Mapping</x:v>
      </x:c>
      <x:c r="N62" s="26" t="str">
        <x:v>Original project JSON not available</x:v>
      </x:c>
      <x:c r="O62" s="26"/>
      <x:c r="P62" s="26" t="str"/>
      <x:c r="Q62" s="26" t="str"/>
      <x:c r="R62" s="26"/>
      <x:c r="S62" s="36"/>
      <x:c r="T62" s="26"/>
      <x:c r="U62" s="26"/>
      <x:c r="V62" s="26"/>
      <x:c r="W62" s="26" t="n">
        <x:v>3</x:v>
      </x:c>
      <x:c r="X62" s="26" t="n">
        <x:v>0</x:v>
      </x:c>
      <x:c r="Y62" s="26" t="n">
        <x:v>21</x:v>
      </x:c>
      <x:c r="Z62" s="26" t="n">
        <x:v>0</x:v>
      </x:c>
      <x:c r="AA62" s="26" t="n">
        <x:v>21</x:v>
      </x:c>
      <x:c r="AB62" s="38" t="n">
        <x:v>0</x:v>
      </x:c>
      <x:c r="AC62" s="26" t="str">
        <x:v>Committed / Not Delivered</x:v>
      </x:c>
      <x:c r="AD62" s="26" t="str">
        <x:v>Approval not recorded in response</x:v>
      </x:c>
      <x:c r="AE62" s="27" t="b">
        <x:v>1</x:v>
      </x:c>
      <x:c r="AF62" s="34" t="n">
        <x:v>46218.511041666665</x:v>
      </x:c>
      <x:c r="AG62" s="34"/>
      <x:c r="AH62" s="26" t="str">
        <x:v>Contribution API fields only; original project JSON needed for line-item names/centres/category</x:v>
      </x:c>
      <x:c r="AI62" s="26" t="str"/>
      <x:c r="AJ62" s="26" t="str">
        <x:v>Not Started</x:v>
      </x:c>
      <x:c r="AK62" s="26" t="str"/>
      <x:c r="AL62" s="26" t="str"/>
    </x:row>
    <x:row r="63">
      <x:c r="A63" s="26" t="n">
        <x:v>144</x:v>
      </x:c>
      <x:c r="B63" s="26" t="n">
        <x:v>144</x:v>
      </x:c>
      <x:c r="C63" s="26" t="str">
        <x:v>Kumuram Bheem Asifabad</x:v>
      </x:c>
      <x:c r="D63" s="26" t="str">
        <x:v>Telangana</x:v>
      </x:c>
      <x:c r="E63" s="26" t="n">
        <x:v>2039</x:v>
      </x:c>
      <x:c r="F63" s="26" t="str">
        <x:v>PRJ-2026-0002039</x:v>
      </x:c>
      <x:c r="G63" s="26" t="str">
        <x:v>Upgradation of AWCs </x:v>
      </x:c>
      <x:c r="H63" s="26" t="str">
        <x:v>Mission Saksham Anganwadi &amp; POSHAN 2.0</x:v>
      </x:c>
      <x:c r="I63" s="32" t="n">
        <x:v>46163</x:v>
      </x:c>
      <x:c r="J63" s="32" t="n">
        <x:v>46316</x:v>
      </x:c>
      <x:c r="K63" s="32"/>
      <x:c r="L63" s="26" t="str">
        <x:v>Active: On/After 01-Aug-2026</x:v>
      </x:c>
      <x:c r="M63" s="26" t="str">
        <x:v>Pending Mapping</x:v>
      </x:c>
      <x:c r="N63" s="26" t="str">
        <x:v>Original project JSON not available</x:v>
      </x:c>
      <x:c r="O63" s="26"/>
      <x:c r="P63" s="26" t="str"/>
      <x:c r="Q63" s="26" t="str"/>
      <x:c r="R63" s="26"/>
      <x:c r="S63" s="36"/>
      <x:c r="T63" s="26"/>
      <x:c r="U63" s="26"/>
      <x:c r="V63" s="26"/>
      <x:c r="W63" s="26" t="n">
        <x:v>4</x:v>
      </x:c>
      <x:c r="X63" s="26" t="n">
        <x:v>0</x:v>
      </x:c>
      <x:c r="Y63" s="26" t="n">
        <x:v>4</x:v>
      </x:c>
      <x:c r="Z63" s="26" t="n">
        <x:v>0</x:v>
      </x:c>
      <x:c r="AA63" s="26" t="n">
        <x:v>4</x:v>
      </x:c>
      <x:c r="AB63" s="38" t="n">
        <x:v>0</x:v>
      </x:c>
      <x:c r="AC63" s="26" t="str">
        <x:v>Committed / Not Delivered</x:v>
      </x:c>
      <x:c r="AD63" s="26" t="str">
        <x:v>Approval not recorded in response</x:v>
      </x:c>
      <x:c r="AE63" s="27" t="b">
        <x:v>1</x:v>
      </x:c>
      <x:c r="AF63" s="34" t="n">
        <x:v>46218.51100694444</x:v>
      </x:c>
      <x:c r="AG63" s="34"/>
      <x:c r="AH63" s="26" t="str">
        <x:v>Contribution API fields only; original project JSON needed for line-item names/centres/category</x:v>
      </x:c>
      <x:c r="AI63" s="26" t="str"/>
      <x:c r="AJ63" s="26" t="str">
        <x:v>Not Started</x:v>
      </x:c>
      <x:c r="AK63" s="26" t="str"/>
      <x:c r="AL63" s="26" t="str"/>
    </x:row>
    <x:row r="64">
      <x:c r="A64" s="26" t="n">
        <x:v>145</x:v>
      </x:c>
      <x:c r="B64" s="26" t="n">
        <x:v>148</x:v>
      </x:c>
      <x:c r="C64" s="26" t="str">
        <x:v>Kumuram Bheem Asifabad</x:v>
      </x:c>
      <x:c r="D64" s="26" t="str">
        <x:v>Telangana</x:v>
      </x:c>
      <x:c r="E64" s="26" t="n">
        <x:v>2474</x:v>
      </x:c>
      <x:c r="F64" s="26" t="str">
        <x:v>PRJ-2026-0002474</x:v>
      </x:c>
      <x:c r="G64" s="26" t="str">
        <x:v>Materials (Toys, Balls, Swing Sets)  </x:v>
      </x:c>
      <x:c r="H64" s="26" t="str">
        <x:v>Mission Saksham Anganwadi &amp; POSHAN 2.0</x:v>
      </x:c>
      <x:c r="I64" s="32" t="n">
        <x:v>46163</x:v>
      </x:c>
      <x:c r="J64" s="32" t="n">
        <x:v>46316</x:v>
      </x:c>
      <x:c r="K64" s="32"/>
      <x:c r="L64" s="26" t="str">
        <x:v>Active: On/After 01-Aug-2026</x:v>
      </x:c>
      <x:c r="M64" s="26" t="str">
        <x:v>Pending Mapping</x:v>
      </x:c>
      <x:c r="N64" s="26" t="str">
        <x:v>Original project JSON not available</x:v>
      </x:c>
      <x:c r="O64" s="26"/>
      <x:c r="P64" s="26" t="str"/>
      <x:c r="Q64" s="26" t="str"/>
      <x:c r="R64" s="26"/>
      <x:c r="S64" s="36"/>
      <x:c r="T64" s="26"/>
      <x:c r="U64" s="26"/>
      <x:c r="V64" s="26"/>
      <x:c r="W64" s="26" t="n">
        <x:v>3</x:v>
      </x:c>
      <x:c r="X64" s="26" t="n">
        <x:v>0</x:v>
      </x:c>
      <x:c r="Y64" s="26" t="n">
        <x:v>34</x:v>
      </x:c>
      <x:c r="Z64" s="26" t="n">
        <x:v>0</x:v>
      </x:c>
      <x:c r="AA64" s="26" t="n">
        <x:v>34</x:v>
      </x:c>
      <x:c r="AB64" s="38" t="n">
        <x:v>0</x:v>
      </x:c>
      <x:c r="AC64" s="26" t="str">
        <x:v>Committed / Not Delivered</x:v>
      </x:c>
      <x:c r="AD64" s="26" t="str">
        <x:v>Approval not recorded in response</x:v>
      </x:c>
      <x:c r="AE64" s="27" t="b">
        <x:v>1</x:v>
      </x:c>
      <x:c r="AF64" s="34" t="n">
        <x:v>46218.51097222222</x:v>
      </x:c>
      <x:c r="AG64" s="34"/>
      <x:c r="AH64" s="26" t="str">
        <x:v>Contribution API fields only; original project JSON needed for line-item names/centres/category</x:v>
      </x:c>
      <x:c r="AI64" s="26" t="str"/>
      <x:c r="AJ64" s="26" t="str">
        <x:v>Not Started</x:v>
      </x:c>
      <x:c r="AK64" s="26" t="str"/>
      <x:c r="AL64" s="26" t="str"/>
    </x:row>
    <x:row r="65">
      <x:c r="A65" s="26" t="n">
        <x:v>146</x:v>
      </x:c>
      <x:c r="B65" s="26" t="n">
        <x:v>149</x:v>
      </x:c>
      <x:c r="C65" s="26" t="str">
        <x:v>Kumuram Bheem Asifabad</x:v>
      </x:c>
      <x:c r="D65" s="26" t="str">
        <x:v>Telangana</x:v>
      </x:c>
      <x:c r="E65" s="26" t="n">
        <x:v>2759</x:v>
      </x:c>
      <x:c r="F65" s="26" t="str">
        <x:v>PRJ-2026-0002759</x:v>
      </x:c>
      <x:c r="G65" s="26" t="str">
        <x:v>requirement of anganwadi facilities</x:v>
      </x:c>
      <x:c r="H65" s="26" t="str">
        <x:v>Mission Saksham Anganwadi &amp; POSHAN 2.0</x:v>
      </x:c>
      <x:c r="I65" s="32" t="n">
        <x:v>46163</x:v>
      </x:c>
      <x:c r="J65" s="32" t="n">
        <x:v>46316</x:v>
      </x:c>
      <x:c r="K65" s="32"/>
      <x:c r="L65" s="26" t="str">
        <x:v>Active: On/After 01-Aug-2026</x:v>
      </x:c>
      <x:c r="M65" s="26" t="str">
        <x:v>Pending Mapping</x:v>
      </x:c>
      <x:c r="N65" s="26" t="str">
        <x:v>Original project JSON not available</x:v>
      </x:c>
      <x:c r="O65" s="26"/>
      <x:c r="P65" s="26" t="str"/>
      <x:c r="Q65" s="26" t="str"/>
      <x:c r="R65" s="26"/>
      <x:c r="S65" s="36"/>
      <x:c r="T65" s="26"/>
      <x:c r="U65" s="26"/>
      <x:c r="V65" s="26"/>
      <x:c r="W65" s="26" t="n">
        <x:v>4</x:v>
      </x:c>
      <x:c r="X65" s="26" t="n">
        <x:v>0</x:v>
      </x:c>
      <x:c r="Y65" s="26" t="n">
        <x:v>4</x:v>
      </x:c>
      <x:c r="Z65" s="26" t="n">
        <x:v>0</x:v>
      </x:c>
      <x:c r="AA65" s="26" t="n">
        <x:v>4</x:v>
      </x:c>
      <x:c r="AB65" s="38" t="n">
        <x:v>0</x:v>
      </x:c>
      <x:c r="AC65" s="26" t="str">
        <x:v>Committed / Not Delivered</x:v>
      </x:c>
      <x:c r="AD65" s="26" t="str">
        <x:v>Approval not recorded in response</x:v>
      </x:c>
      <x:c r="AE65" s="27" t="b">
        <x:v>1</x:v>
      </x:c>
      <x:c r="AF65" s="34" t="n">
        <x:v>46218.51096064815</x:v>
      </x:c>
      <x:c r="AG65" s="34"/>
      <x:c r="AH65" s="26" t="str">
        <x:v>Contribution API fields only; original project JSON needed for line-item names/centres/category</x:v>
      </x:c>
      <x:c r="AI65" s="26" t="str"/>
      <x:c r="AJ65" s="26" t="str">
        <x:v>Not Started</x:v>
      </x:c>
      <x:c r="AK65" s="26" t="str"/>
      <x:c r="AL65" s="26" t="str"/>
    </x:row>
    <x:row r="66">
      <x:c r="A66" s="26" t="n">
        <x:v>147</x:v>
      </x:c>
      <x:c r="B66" s="26" t="n">
        <x:v>150</x:v>
      </x:c>
      <x:c r="C66" s="26" t="str">
        <x:v>Kumuram Bheem Asifabad</x:v>
      </x:c>
      <x:c r="D66" s="26" t="str">
        <x:v>Telangana</x:v>
      </x:c>
      <x:c r="E66" s="26" t="n">
        <x:v>2916</x:v>
      </x:c>
      <x:c r="F66" s="26" t="str">
        <x:v>PRJ-2026-0002916</x:v>
      </x:c>
      <x:c r="G66" s="26" t="str">
        <x:v>Upgradation of  2 Anganwadi centres</x:v>
      </x:c>
      <x:c r="H66" s="26" t="str">
        <x:v>Mission Saksham Anganwadi &amp; POSHAN 2.0</x:v>
      </x:c>
      <x:c r="I66" s="32" t="n">
        <x:v>46163</x:v>
      </x:c>
      <x:c r="J66" s="32" t="n">
        <x:v>46285</x:v>
      </x:c>
      <x:c r="K66" s="32"/>
      <x:c r="L66" s="26" t="str">
        <x:v>Active: On/After 01-Aug-2026</x:v>
      </x:c>
      <x:c r="M66" s="26" t="str">
        <x:v>Pending Mapping</x:v>
      </x:c>
      <x:c r="N66" s="26" t="str">
        <x:v>Original project JSON not available</x:v>
      </x:c>
      <x:c r="O66" s="26"/>
      <x:c r="P66" s="26" t="str"/>
      <x:c r="Q66" s="26" t="str"/>
      <x:c r="R66" s="26"/>
      <x:c r="S66" s="36"/>
      <x:c r="T66" s="26"/>
      <x:c r="U66" s="26"/>
      <x:c r="V66" s="26"/>
      <x:c r="W66" s="26" t="n">
        <x:v>5</x:v>
      </x:c>
      <x:c r="X66" s="26" t="n">
        <x:v>0</x:v>
      </x:c>
      <x:c r="Y66" s="26" t="n">
        <x:v>627</x:v>
      </x:c>
      <x:c r="Z66" s="26" t="n">
        <x:v>0</x:v>
      </x:c>
      <x:c r="AA66" s="26" t="n">
        <x:v>627</x:v>
      </x:c>
      <x:c r="AB66" s="38" t="n">
        <x:v>0</x:v>
      </x:c>
      <x:c r="AC66" s="26" t="str">
        <x:v>Committed / Not Delivered</x:v>
      </x:c>
      <x:c r="AD66" s="26" t="str">
        <x:v>Approval not recorded in response</x:v>
      </x:c>
      <x:c r="AE66" s="27" t="b">
        <x:v>1</x:v>
      </x:c>
      <x:c r="AF66" s="34" t="n">
        <x:v>46218.51096064815</x:v>
      </x:c>
      <x:c r="AG66" s="34"/>
      <x:c r="AH66" s="26" t="str">
        <x:v>Contribution API fields only; original project JSON needed for line-item names/centres/category</x:v>
      </x:c>
      <x:c r="AI66" s="26" t="str"/>
      <x:c r="AJ66" s="26" t="str">
        <x:v>Not Started</x:v>
      </x:c>
      <x:c r="AK66" s="26" t="str"/>
      <x:c r="AL66" s="26" t="str"/>
    </x:row>
    <x:row r="67">
      <x:c r="A67" s="26" t="n">
        <x:v>148</x:v>
      </x:c>
      <x:c r="B67" s="26" t="n">
        <x:v>151</x:v>
      </x:c>
      <x:c r="C67" s="26" t="str">
        <x:v>Kumuram Bheem Asifabad</x:v>
      </x:c>
      <x:c r="D67" s="26" t="str">
        <x:v>Telangana</x:v>
      </x:c>
      <x:c r="E67" s="26" t="n">
        <x:v>3184</x:v>
      </x:c>
      <x:c r="F67" s="26" t="str">
        <x:v>PRJ-2026-0003184</x:v>
      </x:c>
      <x:c r="G67" s="26" t="str">
        <x:v>Upgradation of AWCs </x:v>
      </x:c>
      <x:c r="H67" s="26" t="str">
        <x:v>Mission Saksham Anganwadi &amp; POSHAN 2.0</x:v>
      </x:c>
      <x:c r="I67" s="32" t="n">
        <x:v>46163</x:v>
      </x:c>
      <x:c r="J67" s="32" t="n">
        <x:v>46316</x:v>
      </x:c>
      <x:c r="K67" s="32"/>
      <x:c r="L67" s="26" t="str">
        <x:v>Active: On/After 01-Aug-2026</x:v>
      </x:c>
      <x:c r="M67" s="26" t="str">
        <x:v>Pending Mapping</x:v>
      </x:c>
      <x:c r="N67" s="26" t="str">
        <x:v>Original project JSON not available</x:v>
      </x:c>
      <x:c r="O67" s="26"/>
      <x:c r="P67" s="26" t="str"/>
      <x:c r="Q67" s="26" t="str"/>
      <x:c r="R67" s="26"/>
      <x:c r="S67" s="36"/>
      <x:c r="T67" s="26"/>
      <x:c r="U67" s="26"/>
      <x:c r="V67" s="26"/>
      <x:c r="W67" s="26" t="n">
        <x:v>3</x:v>
      </x:c>
      <x:c r="X67" s="26" t="n">
        <x:v>0</x:v>
      </x:c>
      <x:c r="Y67" s="26" t="n">
        <x:v>3</x:v>
      </x:c>
      <x:c r="Z67" s="26" t="n">
        <x:v>0</x:v>
      </x:c>
      <x:c r="AA67" s="26" t="n">
        <x:v>3</x:v>
      </x:c>
      <x:c r="AB67" s="38" t="n">
        <x:v>0</x:v>
      </x:c>
      <x:c r="AC67" s="26" t="str">
        <x:v>Committed / Not Delivered</x:v>
      </x:c>
      <x:c r="AD67" s="26" t="str">
        <x:v>Approval not recorded in response</x:v>
      </x:c>
      <x:c r="AE67" s="27" t="b">
        <x:v>1</x:v>
      </x:c>
      <x:c r="AF67" s="34" t="n">
        <x:v>46218.51094907407</x:v>
      </x:c>
      <x:c r="AG67" s="34"/>
      <x:c r="AH67" s="26" t="str">
        <x:v>Contribution API fields only; original project JSON needed for line-item names/centres/category</x:v>
      </x:c>
      <x:c r="AI67" s="26" t="str"/>
      <x:c r="AJ67" s="26" t="str">
        <x:v>Not Started</x:v>
      </x:c>
      <x:c r="AK67" s="26" t="str"/>
      <x:c r="AL67" s="26" t="str"/>
    </x:row>
    <x:row r="68">
      <x:c r="A68" s="26" t="n">
        <x:v>149</x:v>
      </x:c>
      <x:c r="B68" s="26" t="n">
        <x:v>154</x:v>
      </x:c>
      <x:c r="C68" s="26" t="str">
        <x:v>Kumuram Bheem Asifabad</x:v>
      </x:c>
      <x:c r="D68" s="26" t="str">
        <x:v>Telangana</x:v>
      </x:c>
      <x:c r="E68" s="26" t="n">
        <x:v>3497</x:v>
      </x:c>
      <x:c r="F68" s="26" t="str">
        <x:v>PRJ-2026-0003497</x:v>
      </x:c>
      <x:c r="G68" s="26" t="str">
        <x:v>Material(Gardening Equipment, Seeds, Other Sources)</x:v>
      </x:c>
      <x:c r="H68" s="26" t="str">
        <x:v>Mission Saksham Anganwadi &amp; POSHAN 2.0</x:v>
      </x:c>
      <x:c r="I68" s="32" t="n">
        <x:v>46163</x:v>
      </x:c>
      <x:c r="J68" s="32" t="n">
        <x:v>46316</x:v>
      </x:c>
      <x:c r="K68" s="32"/>
      <x:c r="L68" s="26" t="str">
        <x:v>Active: On/After 01-Aug-2026</x:v>
      </x:c>
      <x:c r="M68" s="26" t="str">
        <x:v>Pending Mapping</x:v>
      </x:c>
      <x:c r="N68" s="26" t="str">
        <x:v>Original project JSON not available</x:v>
      </x:c>
      <x:c r="O68" s="26"/>
      <x:c r="P68" s="26" t="str"/>
      <x:c r="Q68" s="26" t="str"/>
      <x:c r="R68" s="26"/>
      <x:c r="S68" s="36"/>
      <x:c r="T68" s="26"/>
      <x:c r="U68" s="26"/>
      <x:c r="V68" s="26"/>
      <x:c r="W68" s="26" t="n">
        <x:v>3</x:v>
      </x:c>
      <x:c r="X68" s="26" t="n">
        <x:v>0</x:v>
      </x:c>
      <x:c r="Y68" s="26" t="n">
        <x:v>21</x:v>
      </x:c>
      <x:c r="Z68" s="26" t="n">
        <x:v>0</x:v>
      </x:c>
      <x:c r="AA68" s="26" t="n">
        <x:v>21</x:v>
      </x:c>
      <x:c r="AB68" s="38" t="n">
        <x:v>0</x:v>
      </x:c>
      <x:c r="AC68" s="26" t="str">
        <x:v>Committed / Not Delivered</x:v>
      </x:c>
      <x:c r="AD68" s="26" t="str">
        <x:v>Approval not recorded in response</x:v>
      </x:c>
      <x:c r="AE68" s="27" t="b">
        <x:v>1</x:v>
      </x:c>
      <x:c r="AF68" s="34" t="n">
        <x:v>46218.510925925926</x:v>
      </x:c>
      <x:c r="AG68" s="34"/>
      <x:c r="AH68" s="26" t="str">
        <x:v>Contribution API fields only; original project JSON needed for line-item names/centres/category</x:v>
      </x:c>
      <x:c r="AI68" s="26" t="str"/>
      <x:c r="AJ68" s="26" t="str">
        <x:v>Not Started</x:v>
      </x:c>
      <x:c r="AK68" s="26" t="str"/>
      <x:c r="AL68" s="26" t="str"/>
    </x:row>
    <x:row r="69">
      <x:c r="A69" s="26" t="n">
        <x:v>150</x:v>
      </x:c>
      <x:c r="B69" s="26" t="n">
        <x:v>155</x:v>
      </x:c>
      <x:c r="C69" s="26" t="str">
        <x:v>Kumuram Bheem Asifabad</x:v>
      </x:c>
      <x:c r="D69" s="26" t="str">
        <x:v>Telangana</x:v>
      </x:c>
      <x:c r="E69" s="26" t="n">
        <x:v>3647</x:v>
      </x:c>
      <x:c r="F69" s="26" t="str">
        <x:v>PRJ-2026-0003647</x:v>
      </x:c>
      <x:c r="G69" s="26" t="str">
        <x:v>requirement of anganwadi facilities</x:v>
      </x:c>
      <x:c r="H69" s="26" t="str">
        <x:v>Mission Saksham Anganwadi &amp; POSHAN 2.0</x:v>
      </x:c>
      <x:c r="I69" s="32" t="n">
        <x:v>46163</x:v>
      </x:c>
      <x:c r="J69" s="32" t="n">
        <x:v>46316</x:v>
      </x:c>
      <x:c r="K69" s="32"/>
      <x:c r="L69" s="26" t="str">
        <x:v>Active: On/After 01-Aug-2026</x:v>
      </x:c>
      <x:c r="M69" s="26" t="str">
        <x:v>Pending Mapping</x:v>
      </x:c>
      <x:c r="N69" s="26" t="str">
        <x:v>Original project JSON not available</x:v>
      </x:c>
      <x:c r="O69" s="26"/>
      <x:c r="P69" s="26" t="str"/>
      <x:c r="Q69" s="26" t="str"/>
      <x:c r="R69" s="26"/>
      <x:c r="S69" s="36"/>
      <x:c r="T69" s="26"/>
      <x:c r="U69" s="26"/>
      <x:c r="V69" s="26"/>
      <x:c r="W69" s="26" t="n">
        <x:v>5</x:v>
      </x:c>
      <x:c r="X69" s="26" t="n">
        <x:v>0</x:v>
      </x:c>
      <x:c r="Y69" s="26" t="n">
        <x:v>17</x:v>
      </x:c>
      <x:c r="Z69" s="26" t="n">
        <x:v>0</x:v>
      </x:c>
      <x:c r="AA69" s="26" t="n">
        <x:v>17</x:v>
      </x:c>
      <x:c r="AB69" s="38" t="n">
        <x:v>0</x:v>
      </x:c>
      <x:c r="AC69" s="26" t="str">
        <x:v>Committed / Not Delivered</x:v>
      </x:c>
      <x:c r="AD69" s="26" t="str">
        <x:v>Approval not recorded in response</x:v>
      </x:c>
      <x:c r="AE69" s="27" t="b">
        <x:v>1</x:v>
      </x:c>
      <x:c r="AF69" s="34" t="n">
        <x:v>46218.51091435185</x:v>
      </x:c>
      <x:c r="AG69" s="34"/>
      <x:c r="AH69" s="26" t="str">
        <x:v>Contribution API fields only; original project JSON needed for line-item names/centres/category</x:v>
      </x:c>
      <x:c r="AI69" s="26" t="str"/>
      <x:c r="AJ69" s="26" t="str">
        <x:v>Not Started</x:v>
      </x:c>
      <x:c r="AK69" s="26" t="str"/>
      <x:c r="AL69" s="26" t="str"/>
    </x:row>
    <x:row r="70">
      <x:c r="A70" s="26" t="n">
        <x:v>151</x:v>
      </x:c>
      <x:c r="B70" s="26" t="n">
        <x:v>157</x:v>
      </x:c>
      <x:c r="C70" s="26" t="str">
        <x:v>Kumuram Bheem Asifabad</x:v>
      </x:c>
      <x:c r="D70" s="26" t="str">
        <x:v>Telangana</x:v>
      </x:c>
      <x:c r="E70" s="26" t="n">
        <x:v>4085</x:v>
      </x:c>
      <x:c r="F70" s="26" t="str">
        <x:v>PRJ-2026-0004085</x:v>
      </x:c>
      <x:c r="G70" s="26" t="str">
        <x:v>Upgradation of AWCs </x:v>
      </x:c>
      <x:c r="H70" s="26" t="str">
        <x:v>Mission Saksham Anganwadi &amp; POSHAN 2.0</x:v>
      </x:c>
      <x:c r="I70" s="32" t="n">
        <x:v>46163</x:v>
      </x:c>
      <x:c r="J70" s="32" t="n">
        <x:v>46316</x:v>
      </x:c>
      <x:c r="K70" s="32"/>
      <x:c r="L70" s="26" t="str">
        <x:v>Active: On/After 01-Aug-2026</x:v>
      </x:c>
      <x:c r="M70" s="26" t="str">
        <x:v>Pending Mapping</x:v>
      </x:c>
      <x:c r="N70" s="26" t="str">
        <x:v>Original project JSON not available</x:v>
      </x:c>
      <x:c r="O70" s="26"/>
      <x:c r="P70" s="26" t="str"/>
      <x:c r="Q70" s="26" t="str"/>
      <x:c r="R70" s="26"/>
      <x:c r="S70" s="36"/>
      <x:c r="T70" s="26"/>
      <x:c r="U70" s="26"/>
      <x:c r="V70" s="26"/>
      <x:c r="W70" s="26" t="n">
        <x:v>6</x:v>
      </x:c>
      <x:c r="X70" s="26" t="n">
        <x:v>0</x:v>
      </x:c>
      <x:c r="Y70" s="26" t="n">
        <x:v>6</x:v>
      </x:c>
      <x:c r="Z70" s="26" t="n">
        <x:v>0</x:v>
      </x:c>
      <x:c r="AA70" s="26" t="n">
        <x:v>6</x:v>
      </x:c>
      <x:c r="AB70" s="38" t="n">
        <x:v>0</x:v>
      </x:c>
      <x:c r="AC70" s="26" t="str">
        <x:v>Committed / Not Delivered</x:v>
      </x:c>
      <x:c r="AD70" s="26" t="str">
        <x:v>Approval not recorded in response</x:v>
      </x:c>
      <x:c r="AE70" s="27" t="b">
        <x:v>1</x:v>
      </x:c>
      <x:c r="AF70" s="34" t="n">
        <x:v>46218.51090277778</x:v>
      </x:c>
      <x:c r="AG70" s="34"/>
      <x:c r="AH70" s="26" t="str">
        <x:v>Contribution API fields only; original project JSON needed for line-item names/centres/category</x:v>
      </x:c>
      <x:c r="AI70" s="26" t="str"/>
      <x:c r="AJ70" s="26" t="str">
        <x:v>Not Started</x:v>
      </x:c>
      <x:c r="AK70" s="26" t="str"/>
      <x:c r="AL70" s="26" t="str"/>
    </x:row>
    <x:row r="71">
      <x:c r="A71" s="26" t="n">
        <x:v>152</x:v>
      </x:c>
      <x:c r="B71" s="26" t="n">
        <x:v>160</x:v>
      </x:c>
      <x:c r="C71" s="26" t="str">
        <x:v>Kumuram Bheem Asifabad</x:v>
      </x:c>
      <x:c r="D71" s="26" t="str">
        <x:v>Telangana</x:v>
      </x:c>
      <x:c r="E71" s="26" t="n">
        <x:v>4275</x:v>
      </x:c>
      <x:c r="F71" s="26" t="str">
        <x:v>PRJ-2026-0004275</x:v>
      </x:c>
      <x:c r="G71" s="26" t="str">
        <x:v>Upgradation of AWCs </x:v>
      </x:c>
      <x:c r="H71" s="26" t="str">
        <x:v>Mission Saksham Anganwadi &amp; POSHAN 2.0</x:v>
      </x:c>
      <x:c r="I71" s="32" t="n">
        <x:v>46163</x:v>
      </x:c>
      <x:c r="J71" s="32" t="n">
        <x:v>46316</x:v>
      </x:c>
      <x:c r="K71" s="32"/>
      <x:c r="L71" s="26" t="str">
        <x:v>Active: On/After 01-Aug-2026</x:v>
      </x:c>
      <x:c r="M71" s="26" t="str">
        <x:v>Pending Mapping</x:v>
      </x:c>
      <x:c r="N71" s="26" t="str">
        <x:v>Original project JSON not available</x:v>
      </x:c>
      <x:c r="O71" s="26"/>
      <x:c r="P71" s="26" t="str"/>
      <x:c r="Q71" s="26" t="str"/>
      <x:c r="R71" s="26"/>
      <x:c r="S71" s="36"/>
      <x:c r="T71" s="26"/>
      <x:c r="U71" s="26"/>
      <x:c r="V71" s="26"/>
      <x:c r="W71" s="26" t="n">
        <x:v>5</x:v>
      </x:c>
      <x:c r="X71" s="26" t="n">
        <x:v>0</x:v>
      </x:c>
      <x:c r="Y71" s="26" t="n">
        <x:v>5</x:v>
      </x:c>
      <x:c r="Z71" s="26" t="n">
        <x:v>0</x:v>
      </x:c>
      <x:c r="AA71" s="26" t="n">
        <x:v>5</x:v>
      </x:c>
      <x:c r="AB71" s="38" t="n">
        <x:v>0</x:v>
      </x:c>
      <x:c r="AC71" s="26" t="str">
        <x:v>Committed / Not Delivered</x:v>
      </x:c>
      <x:c r="AD71" s="26" t="str">
        <x:v>Approval not recorded in response</x:v>
      </x:c>
      <x:c r="AE71" s="27" t="b">
        <x:v>1</x:v>
      </x:c>
      <x:c r="AF71" s="34" t="n">
        <x:v>46218.51086805556</x:v>
      </x:c>
      <x:c r="AG71" s="34"/>
      <x:c r="AH71" s="26" t="str">
        <x:v>Contribution API fields only; original project JSON needed for line-item names/centres/category</x:v>
      </x:c>
      <x:c r="AI71" s="26" t="str"/>
      <x:c r="AJ71" s="26" t="str">
        <x:v>Not Started</x:v>
      </x:c>
      <x:c r="AK71" s="26" t="str"/>
      <x:c r="AL71" s="26" t="str"/>
    </x:row>
    <x:row r="72">
      <x:c r="A72" s="26" t="n">
        <x:v>153</x:v>
      </x:c>
      <x:c r="B72" s="26" t="n">
        <x:v>165</x:v>
      </x:c>
      <x:c r="C72" s="26" t="str">
        <x:v>Kumuram Bheem Asifabad</x:v>
      </x:c>
      <x:c r="D72" s="26" t="str">
        <x:v>Telangana</x:v>
      </x:c>
      <x:c r="E72" s="26" t="n">
        <x:v>4650</x:v>
      </x:c>
      <x:c r="F72" s="26" t="str">
        <x:v>PRJ-2026-0004650</x:v>
      </x:c>
      <x:c r="G72" s="26" t="str">
        <x:v>Upgradation of AWCs </x:v>
      </x:c>
      <x:c r="H72" s="26" t="str">
        <x:v>Mission Saksham Anganwadi &amp; POSHAN 2.0</x:v>
      </x:c>
      <x:c r="I72" s="32" t="n">
        <x:v>46163</x:v>
      </x:c>
      <x:c r="J72" s="32" t="n">
        <x:v>46316</x:v>
      </x:c>
      <x:c r="K72" s="32"/>
      <x:c r="L72" s="26" t="str">
        <x:v>Active: On/After 01-Aug-2026</x:v>
      </x:c>
      <x:c r="M72" s="26" t="str">
        <x:v>Pending Mapping</x:v>
      </x:c>
      <x:c r="N72" s="26" t="str">
        <x:v>Original project JSON not available</x:v>
      </x:c>
      <x:c r="O72" s="26"/>
      <x:c r="P72" s="26" t="str"/>
      <x:c r="Q72" s="26" t="str"/>
      <x:c r="R72" s="26"/>
      <x:c r="S72" s="36"/>
      <x:c r="T72" s="26"/>
      <x:c r="U72" s="26"/>
      <x:c r="V72" s="26"/>
      <x:c r="W72" s="26" t="n">
        <x:v>6</x:v>
      </x:c>
      <x:c r="X72" s="26" t="n">
        <x:v>0</x:v>
      </x:c>
      <x:c r="Y72" s="26" t="n">
        <x:v>6</x:v>
      </x:c>
      <x:c r="Z72" s="26" t="n">
        <x:v>0</x:v>
      </x:c>
      <x:c r="AA72" s="26" t="n">
        <x:v>6</x:v>
      </x:c>
      <x:c r="AB72" s="38" t="n">
        <x:v>0</x:v>
      </x:c>
      <x:c r="AC72" s="26" t="str">
        <x:v>Committed / Not Delivered</x:v>
      </x:c>
      <x:c r="AD72" s="26" t="str">
        <x:v>Approval not recorded in response</x:v>
      </x:c>
      <x:c r="AE72" s="27" t="b">
        <x:v>1</x:v>
      </x:c>
      <x:c r="AF72" s="34" t="n">
        <x:v>46218.51082175926</x:v>
      </x:c>
      <x:c r="AG72" s="34"/>
      <x:c r="AH72" s="26" t="str">
        <x:v>Contribution API fields only; original project JSON needed for line-item names/centres/category</x:v>
      </x:c>
      <x:c r="AI72" s="26" t="str"/>
      <x:c r="AJ72" s="26" t="str">
        <x:v>Not Started</x:v>
      </x:c>
      <x:c r="AK72" s="26" t="str"/>
      <x:c r="AL72" s="26" t="str"/>
    </x:row>
    <x:row r="73">
      <x:c r="A73" s="26" t="n">
        <x:v>154</x:v>
      </x:c>
      <x:c r="B73" s="26" t="n">
        <x:v>168</x:v>
      </x:c>
      <x:c r="C73" s="26" t="str">
        <x:v>Kumuram Bheem Asifabad</x:v>
      </x:c>
      <x:c r="D73" s="26" t="str">
        <x:v>Telangana</x:v>
      </x:c>
      <x:c r="E73" s="26" t="n">
        <x:v>5917</x:v>
      </x:c>
      <x:c r="F73" s="26" t="str">
        <x:v>PRJ-2026-0005917</x:v>
      </x:c>
      <x:c r="G73" s="26" t="str">
        <x:v>upgradation of anganwadi center</x:v>
      </x:c>
      <x:c r="H73" s="26" t="str">
        <x:v>Mission Saksham Anganwadi &amp; POSHAN 2.0</x:v>
      </x:c>
      <x:c r="I73" s="32" t="n">
        <x:v>46163</x:v>
      </x:c>
      <x:c r="J73" s="32" t="n">
        <x:v>46255</x:v>
      </x:c>
      <x:c r="K73" s="32"/>
      <x:c r="L73" s="26" t="str">
        <x:v>Active: On/After 01-Aug-2026</x:v>
      </x:c>
      <x:c r="M73" s="26" t="str">
        <x:v>Pending Mapping</x:v>
      </x:c>
      <x:c r="N73" s="26" t="str">
        <x:v>Original project JSON not available</x:v>
      </x:c>
      <x:c r="O73" s="26"/>
      <x:c r="P73" s="26" t="str"/>
      <x:c r="Q73" s="26" t="str"/>
      <x:c r="R73" s="26"/>
      <x:c r="S73" s="36"/>
      <x:c r="T73" s="26"/>
      <x:c r="U73" s="26"/>
      <x:c r="V73" s="26"/>
      <x:c r="W73" s="26" t="n">
        <x:v>4</x:v>
      </x:c>
      <x:c r="X73" s="26" t="n">
        <x:v>0</x:v>
      </x:c>
      <x:c r="Y73" s="26" t="n">
        <x:v>9</x:v>
      </x:c>
      <x:c r="Z73" s="26" t="n">
        <x:v>0</x:v>
      </x:c>
      <x:c r="AA73" s="26" t="n">
        <x:v>9</x:v>
      </x:c>
      <x:c r="AB73" s="38" t="n">
        <x:v>0</x:v>
      </x:c>
      <x:c r="AC73" s="26" t="str">
        <x:v>Committed / Not Delivered</x:v>
      </x:c>
      <x:c r="AD73" s="26" t="str">
        <x:v>Approval not recorded in response</x:v>
      </x:c>
      <x:c r="AE73" s="27" t="b">
        <x:v>1</x:v>
      </x:c>
      <x:c r="AF73" s="34" t="n">
        <x:v>46218.51079861111</x:v>
      </x:c>
      <x:c r="AG73" s="34"/>
      <x:c r="AH73" s="26" t="str">
        <x:v>Contribution API fields only; original project JSON needed for line-item names/centres/category</x:v>
      </x:c>
      <x:c r="AI73" s="26" t="str"/>
      <x:c r="AJ73" s="26" t="str">
        <x:v>Not Started</x:v>
      </x:c>
      <x:c r="AK73" s="26" t="str"/>
      <x:c r="AL73" s="26" t="str"/>
    </x:row>
    <x:row r="74">
      <x:c r="A74" s="26" t="n">
        <x:v>155</x:v>
      </x:c>
      <x:c r="B74" s="26" t="n">
        <x:v>169</x:v>
      </x:c>
      <x:c r="C74" s="26" t="str">
        <x:v>Kumuram Bheem Asifabad</x:v>
      </x:c>
      <x:c r="D74" s="26" t="str">
        <x:v>Telangana</x:v>
      </x:c>
      <x:c r="E74" s="26" t="n">
        <x:v>6699</x:v>
      </x:c>
      <x:c r="F74" s="26" t="str">
        <x:v>PRJ-2026-0006699</x:v>
      </x:c>
      <x:c r="G74" s="26" t="str">
        <x:v>Proposal for upgradation of AWC</x:v>
      </x:c>
      <x:c r="H74" s="26" t="str">
        <x:v>Mission Saksham Anganwadi &amp; POSHAN 2.0</x:v>
      </x:c>
      <x:c r="I74" s="32" t="n">
        <x:v>46163</x:v>
      </x:c>
      <x:c r="J74" s="32" t="n">
        <x:v>46295</x:v>
      </x:c>
      <x:c r="K74" s="32"/>
      <x:c r="L74" s="26" t="str">
        <x:v>Active: On/After 01-Aug-2026</x:v>
      </x:c>
      <x:c r="M74" s="26" t="str">
        <x:v>Pending Mapping</x:v>
      </x:c>
      <x:c r="N74" s="26" t="str">
        <x:v>Original project JSON not available</x:v>
      </x:c>
      <x:c r="O74" s="26"/>
      <x:c r="P74" s="26" t="str"/>
      <x:c r="Q74" s="26" t="str"/>
      <x:c r="R74" s="26"/>
      <x:c r="S74" s="36"/>
      <x:c r="T74" s="26"/>
      <x:c r="U74" s="26"/>
      <x:c r="V74" s="26"/>
      <x:c r="W74" s="26" t="n">
        <x:v>5</x:v>
      </x:c>
      <x:c r="X74" s="26" t="n">
        <x:v>0</x:v>
      </x:c>
      <x:c r="Y74" s="26" t="n">
        <x:v>23</x:v>
      </x:c>
      <x:c r="Z74" s="26" t="n">
        <x:v>0</x:v>
      </x:c>
      <x:c r="AA74" s="26" t="n">
        <x:v>23</x:v>
      </x:c>
      <x:c r="AB74" s="38" t="n">
        <x:v>0</x:v>
      </x:c>
      <x:c r="AC74" s="26" t="str">
        <x:v>Committed / Not Delivered</x:v>
      </x:c>
      <x:c r="AD74" s="26" t="str">
        <x:v>Approval not recorded in response</x:v>
      </x:c>
      <x:c r="AE74" s="27" t="b">
        <x:v>1</x:v>
      </x:c>
      <x:c r="AF74" s="34" t="n">
        <x:v>46218.510787037034</x:v>
      </x:c>
      <x:c r="AG74" s="34"/>
      <x:c r="AH74" s="26" t="str">
        <x:v>Contribution API fields only; original project JSON needed for line-item names/centres/category</x:v>
      </x:c>
      <x:c r="AI74" s="26" t="str"/>
      <x:c r="AJ74" s="26" t="str">
        <x:v>Not Started</x:v>
      </x:c>
      <x:c r="AK74" s="26" t="str"/>
      <x:c r="AL74" s="26" t="str"/>
    </x:row>
    <x:row r="75">
      <x:c r="A75" s="26" t="n">
        <x:v>156</x:v>
      </x:c>
      <x:c r="B75" s="26" t="n">
        <x:v>170</x:v>
      </x:c>
      <x:c r="C75" s="26" t="str">
        <x:v>Kumuram Bheem Asifabad</x:v>
      </x:c>
      <x:c r="D75" s="26" t="str">
        <x:v>Telangana</x:v>
      </x:c>
      <x:c r="E75" s="26" t="n">
        <x:v>6705</x:v>
      </x:c>
      <x:c r="F75" s="26" t="str">
        <x:v>PRJ-2026-0006705</x:v>
      </x:c>
      <x:c r="G75" s="26" t="str">
        <x:v>AWC Upgradation</x:v>
      </x:c>
      <x:c r="H75" s="26" t="str">
        <x:v>Mission Saksham Anganwadi &amp; POSHAN 2.0</x:v>
      </x:c>
      <x:c r="I75" s="32" t="n">
        <x:v>46164</x:v>
      </x:c>
      <x:c r="J75" s="32" t="n">
        <x:v>46255</x:v>
      </x:c>
      <x:c r="K75" s="32"/>
      <x:c r="L75" s="26" t="str">
        <x:v>Active: On/After 01-Aug-2026</x:v>
      </x:c>
      <x:c r="M75" s="26" t="str">
        <x:v>Pending Mapping</x:v>
      </x:c>
      <x:c r="N75" s="26" t="str">
        <x:v>Original project JSON not available</x:v>
      </x:c>
      <x:c r="O75" s="26"/>
      <x:c r="P75" s="26" t="str"/>
      <x:c r="Q75" s="26" t="str"/>
      <x:c r="R75" s="26"/>
      <x:c r="S75" s="36"/>
      <x:c r="T75" s="26"/>
      <x:c r="U75" s="26"/>
      <x:c r="V75" s="26"/>
      <x:c r="W75" s="26" t="n">
        <x:v>6</x:v>
      </x:c>
      <x:c r="X75" s="26" t="n">
        <x:v>0</x:v>
      </x:c>
      <x:c r="Y75" s="26" t="n">
        <x:v>38</x:v>
      </x:c>
      <x:c r="Z75" s="26" t="n">
        <x:v>0</x:v>
      </x:c>
      <x:c r="AA75" s="26" t="n">
        <x:v>38</x:v>
      </x:c>
      <x:c r="AB75" s="38" t="n">
        <x:v>0</x:v>
      </x:c>
      <x:c r="AC75" s="26" t="str">
        <x:v>Committed / Not Delivered</x:v>
      </x:c>
      <x:c r="AD75" s="26" t="str">
        <x:v>Approval not recorded in response</x:v>
      </x:c>
      <x:c r="AE75" s="27" t="b">
        <x:v>1</x:v>
      </x:c>
      <x:c r="AF75" s="34" t="n">
        <x:v>46218.510787037034</x:v>
      </x:c>
      <x:c r="AG75" s="34"/>
      <x:c r="AH75" s="26" t="str">
        <x:v>Contribution API fields only; original project JSON needed for line-item names/centres/category</x:v>
      </x:c>
      <x:c r="AI75" s="26" t="str"/>
      <x:c r="AJ75" s="26" t="str">
        <x:v>Not Started</x:v>
      </x:c>
      <x:c r="AK75" s="26" t="str"/>
      <x:c r="AL75" s="26" t="str"/>
    </x:row>
    <x:row r="76">
      <x:c r="A76" s="26" t="n">
        <x:v>157</x:v>
      </x:c>
      <x:c r="B76" s="26" t="n">
        <x:v>171</x:v>
      </x:c>
      <x:c r="C76" s="26" t="str">
        <x:v>Kumuram Bheem Asifabad</x:v>
      </x:c>
      <x:c r="D76" s="26" t="str">
        <x:v>Telangana</x:v>
      </x:c>
      <x:c r="E76" s="26" t="n">
        <x:v>6718</x:v>
      </x:c>
      <x:c r="F76" s="26" t="str">
        <x:v>PRJ-2026-0006718</x:v>
      </x:c>
      <x:c r="G76" s="26" t="str">
        <x:v>Proposal for upgradation of AWC</x:v>
      </x:c>
      <x:c r="H76" s="26" t="str">
        <x:v>Mission Saksham Anganwadi &amp; POSHAN 2.0</x:v>
      </x:c>
      <x:c r="I76" s="32" t="n">
        <x:v>46164</x:v>
      </x:c>
      <x:c r="J76" s="32" t="n">
        <x:v>46295</x:v>
      </x:c>
      <x:c r="K76" s="32"/>
      <x:c r="L76" s="26" t="str">
        <x:v>Active: On/After 01-Aug-2026</x:v>
      </x:c>
      <x:c r="M76" s="26" t="str">
        <x:v>Pending Mapping</x:v>
      </x:c>
      <x:c r="N76" s="26" t="str">
        <x:v>Original project JSON not available</x:v>
      </x:c>
      <x:c r="O76" s="26"/>
      <x:c r="P76" s="26" t="str"/>
      <x:c r="Q76" s="26" t="str"/>
      <x:c r="R76" s="26"/>
      <x:c r="S76" s="36"/>
      <x:c r="T76" s="26"/>
      <x:c r="U76" s="26"/>
      <x:c r="V76" s="26"/>
      <x:c r="W76" s="26" t="n">
        <x:v>5</x:v>
      </x:c>
      <x:c r="X76" s="26" t="n">
        <x:v>0</x:v>
      </x:c>
      <x:c r="Y76" s="26" t="n">
        <x:v>23</x:v>
      </x:c>
      <x:c r="Z76" s="26" t="n">
        <x:v>0</x:v>
      </x:c>
      <x:c r="AA76" s="26" t="n">
        <x:v>23</x:v>
      </x:c>
      <x:c r="AB76" s="38" t="n">
        <x:v>0</x:v>
      </x:c>
      <x:c r="AC76" s="26" t="str">
        <x:v>Committed / Not Delivered</x:v>
      </x:c>
      <x:c r="AD76" s="26" t="str">
        <x:v>Approval not recorded in response</x:v>
      </x:c>
      <x:c r="AE76" s="27" t="b">
        <x:v>1</x:v>
      </x:c>
      <x:c r="AF76" s="34" t="n">
        <x:v>46218.510775462964</x:v>
      </x:c>
      <x:c r="AG76" s="34"/>
      <x:c r="AH76" s="26" t="str">
        <x:v>Contribution API fields only; original project JSON needed for line-item names/centres/category</x:v>
      </x:c>
      <x:c r="AI76" s="26" t="str"/>
      <x:c r="AJ76" s="26" t="str">
        <x:v>Not Started</x:v>
      </x:c>
      <x:c r="AK76" s="26" t="str"/>
      <x:c r="AL76" s="26" t="str"/>
    </x:row>
    <x:row r="77">
      <x:c r="A77" s="26" t="n">
        <x:v>158</x:v>
      </x:c>
      <x:c r="B77" s="26" t="n">
        <x:v>172</x:v>
      </x:c>
      <x:c r="C77" s="26" t="str">
        <x:v>Kumuram Bheem Asifabad</x:v>
      </x:c>
      <x:c r="D77" s="26" t="str">
        <x:v>Telangana</x:v>
      </x:c>
      <x:c r="E77" s="26" t="n">
        <x:v>6727</x:v>
      </x:c>
      <x:c r="F77" s="26" t="str">
        <x:v>PRJ-2026-0006727</x:v>
      </x:c>
      <x:c r="G77" s="26" t="str">
        <x:v>AWC Upgradation</x:v>
      </x:c>
      <x:c r="H77" s="26" t="str">
        <x:v>Mission Saksham Anganwadi &amp; POSHAN 2.0</x:v>
      </x:c>
      <x:c r="I77" s="32" t="n">
        <x:v>46164</x:v>
      </x:c>
      <x:c r="J77" s="32" t="n">
        <x:v>46256</x:v>
      </x:c>
      <x:c r="K77" s="32"/>
      <x:c r="L77" s="26" t="str">
        <x:v>Active: On/After 01-Aug-2026</x:v>
      </x:c>
      <x:c r="M77" s="26" t="str">
        <x:v>Pending Mapping</x:v>
      </x:c>
      <x:c r="N77" s="26" t="str">
        <x:v>Original project JSON not available</x:v>
      </x:c>
      <x:c r="O77" s="26"/>
      <x:c r="P77" s="26" t="str"/>
      <x:c r="Q77" s="26" t="str"/>
      <x:c r="R77" s="26"/>
      <x:c r="S77" s="36"/>
      <x:c r="T77" s="26"/>
      <x:c r="U77" s="26"/>
      <x:c r="V77" s="26"/>
      <x:c r="W77" s="26" t="n">
        <x:v>4</x:v>
      </x:c>
      <x:c r="X77" s="26" t="n">
        <x:v>0</x:v>
      </x:c>
      <x:c r="Y77" s="26" t="n">
        <x:v>9</x:v>
      </x:c>
      <x:c r="Z77" s="26" t="n">
        <x:v>0</x:v>
      </x:c>
      <x:c r="AA77" s="26" t="n">
        <x:v>9</x:v>
      </x:c>
      <x:c r="AB77" s="38" t="n">
        <x:v>0</x:v>
      </x:c>
      <x:c r="AC77" s="26" t="str">
        <x:v>Committed / Not Delivered</x:v>
      </x:c>
      <x:c r="AD77" s="26" t="str">
        <x:v>Approval not recorded in response</x:v>
      </x:c>
      <x:c r="AE77" s="27" t="b">
        <x:v>1</x:v>
      </x:c>
      <x:c r="AF77" s="34" t="n">
        <x:v>46218.51076388889</x:v>
      </x:c>
      <x:c r="AG77" s="34"/>
      <x:c r="AH77" s="26" t="str">
        <x:v>Contribution API fields only; original project JSON needed for line-item names/centres/category</x:v>
      </x:c>
      <x:c r="AI77" s="26" t="str"/>
      <x:c r="AJ77" s="26" t="str">
        <x:v>Not Started</x:v>
      </x:c>
      <x:c r="AK77" s="26" t="str"/>
      <x:c r="AL77" s="26" t="str"/>
    </x:row>
    <x:row r="78">
      <x:c r="A78" s="26" t="n">
        <x:v>159</x:v>
      </x:c>
      <x:c r="B78" s="26" t="n">
        <x:v>174</x:v>
      </x:c>
      <x:c r="C78" s="26" t="str">
        <x:v>Kumuram Bheem Asifabad</x:v>
      </x:c>
      <x:c r="D78" s="26" t="str">
        <x:v>Telangana</x:v>
      </x:c>
      <x:c r="E78" s="26" t="n">
        <x:v>8217</x:v>
      </x:c>
      <x:c r="F78" s="26" t="str">
        <x:v>PRJ-2026-0008217</x:v>
      </x:c>
      <x:c r="G78" s="26" t="str">
        <x:v>Proposal for upgradation of anganwadi centre</x:v>
      </x:c>
      <x:c r="H78" s="26" t="str">
        <x:v>Mission Saksham Anganwadi &amp; POSHAN 2.0</x:v>
      </x:c>
      <x:c r="I78" s="32" t="n">
        <x:v>46164</x:v>
      </x:c>
      <x:c r="J78" s="32" t="n">
        <x:v>46265</x:v>
      </x:c>
      <x:c r="K78" s="32"/>
      <x:c r="L78" s="26" t="str">
        <x:v>Active: On/After 01-Aug-2026</x:v>
      </x:c>
      <x:c r="M78" s="26" t="str">
        <x:v>Pending Mapping</x:v>
      </x:c>
      <x:c r="N78" s="26" t="str">
        <x:v>Original project JSON not available</x:v>
      </x:c>
      <x:c r="O78" s="26"/>
      <x:c r="P78" s="26" t="str"/>
      <x:c r="Q78" s="26" t="str"/>
      <x:c r="R78" s="26"/>
      <x:c r="S78" s="36"/>
      <x:c r="T78" s="26"/>
      <x:c r="U78" s="26"/>
      <x:c r="V78" s="26"/>
      <x:c r="W78" s="26" t="n">
        <x:v>5</x:v>
      </x:c>
      <x:c r="X78" s="26" t="n">
        <x:v>0</x:v>
      </x:c>
      <x:c r="Y78" s="26" t="n">
        <x:v>23</x:v>
      </x:c>
      <x:c r="Z78" s="26" t="n">
        <x:v>0</x:v>
      </x:c>
      <x:c r="AA78" s="26" t="n">
        <x:v>23</x:v>
      </x:c>
      <x:c r="AB78" s="38" t="n">
        <x:v>0</x:v>
      </x:c>
      <x:c r="AC78" s="26" t="str">
        <x:v>Committed / Not Delivered</x:v>
      </x:c>
      <x:c r="AD78" s="26" t="str">
        <x:v>Approval not recorded in response</x:v>
      </x:c>
      <x:c r="AE78" s="27" t="b">
        <x:v>1</x:v>
      </x:c>
      <x:c r="AF78" s="34" t="n">
        <x:v>46218.51075231482</x:v>
      </x:c>
      <x:c r="AG78" s="34"/>
      <x:c r="AH78" s="26" t="str">
        <x:v>Contribution API fields only; original project JSON needed for line-item names/centres/category</x:v>
      </x:c>
      <x:c r="AI78" s="26" t="str"/>
      <x:c r="AJ78" s="26" t="str">
        <x:v>Not Started</x:v>
      </x:c>
      <x:c r="AK78" s="26" t="str"/>
      <x:c r="AL78" s="26" t="str"/>
    </x:row>
    <x:row r="79">
      <x:c r="A79" s="26" t="n">
        <x:v>160</x:v>
      </x:c>
      <x:c r="B79" s="26" t="n">
        <x:v>175</x:v>
      </x:c>
      <x:c r="C79" s="26" t="str">
        <x:v>Kumuram Bheem Asifabad</x:v>
      </x:c>
      <x:c r="D79" s="26" t="str">
        <x:v>Telangana</x:v>
      </x:c>
      <x:c r="E79" s="26" t="n">
        <x:v>8702</x:v>
      </x:c>
      <x:c r="F79" s="26" t="str">
        <x:v>PRJ-2026-0008702</x:v>
      </x:c>
      <x:c r="G79" s="26" t="str">
        <x:v>Proposal for Anganwadi centre upgradation</x:v>
      </x:c>
      <x:c r="H79" s="26" t="str">
        <x:v>Mission Saksham Anganwadi &amp; POSHAN 2.0</x:v>
      </x:c>
      <x:c r="I79" s="32" t="n">
        <x:v>46164</x:v>
      </x:c>
      <x:c r="J79" s="32" t="n">
        <x:v>46295</x:v>
      </x:c>
      <x:c r="K79" s="32"/>
      <x:c r="L79" s="26" t="str">
        <x:v>Active: On/After 01-Aug-2026</x:v>
      </x:c>
      <x:c r="M79" s="26" t="str">
        <x:v>Pending Mapping</x:v>
      </x:c>
      <x:c r="N79" s="26" t="str">
        <x:v>Original project JSON not available</x:v>
      </x:c>
      <x:c r="O79" s="26"/>
      <x:c r="P79" s="26" t="str"/>
      <x:c r="Q79" s="26" t="str"/>
      <x:c r="R79" s="26"/>
      <x:c r="S79" s="36"/>
      <x:c r="T79" s="26"/>
      <x:c r="U79" s="26"/>
      <x:c r="V79" s="26"/>
      <x:c r="W79" s="26" t="n">
        <x:v>5</x:v>
      </x:c>
      <x:c r="X79" s="26" t="n">
        <x:v>0</x:v>
      </x:c>
      <x:c r="Y79" s="26" t="n">
        <x:v>23</x:v>
      </x:c>
      <x:c r="Z79" s="26" t="n">
        <x:v>0</x:v>
      </x:c>
      <x:c r="AA79" s="26" t="n">
        <x:v>23</x:v>
      </x:c>
      <x:c r="AB79" s="38" t="n">
        <x:v>0</x:v>
      </x:c>
      <x:c r="AC79" s="26" t="str">
        <x:v>Committed / Not Delivered</x:v>
      </x:c>
      <x:c r="AD79" s="26" t="str">
        <x:v>Approval not recorded in response</x:v>
      </x:c>
      <x:c r="AE79" s="27" t="b">
        <x:v>1</x:v>
      </x:c>
      <x:c r="AF79" s="34" t="n">
        <x:v>46218.51074074074</x:v>
      </x:c>
      <x:c r="AG79" s="34"/>
      <x:c r="AH79" s="26" t="str">
        <x:v>Contribution API fields only; original project JSON needed for line-item names/centres/category</x:v>
      </x:c>
      <x:c r="AI79" s="26" t="str"/>
      <x:c r="AJ79" s="26" t="str">
        <x:v>Not Started</x:v>
      </x:c>
      <x:c r="AK79" s="26" t="str"/>
      <x:c r="AL79" s="26" t="str"/>
    </x:row>
    <x:row r="80">
      <x:c r="A80" s="26" t="n">
        <x:v>161</x:v>
      </x:c>
      <x:c r="B80" s="26" t="n">
        <x:v>176</x:v>
      </x:c>
      <x:c r="C80" s="26" t="str">
        <x:v>Kumuram Bheem Asifabad</x:v>
      </x:c>
      <x:c r="D80" s="26" t="str">
        <x:v>Telangana</x:v>
      </x:c>
      <x:c r="E80" s="26" t="n">
        <x:v>8770</x:v>
      </x:c>
      <x:c r="F80" s="26" t="str">
        <x:v>PRJ-2026-0008770</x:v>
      </x:c>
      <x:c r="G80" s="26" t="str">
        <x:v>Proposal for upgradation of Anganwadi centre</x:v>
      </x:c>
      <x:c r="H80" s="26" t="str">
        <x:v>Mission Saksham Anganwadi &amp; POSHAN 2.0</x:v>
      </x:c>
      <x:c r="I80" s="32" t="n">
        <x:v>46164</x:v>
      </x:c>
      <x:c r="J80" s="32" t="n">
        <x:v>46295</x:v>
      </x:c>
      <x:c r="K80" s="32"/>
      <x:c r="L80" s="26" t="str">
        <x:v>Active: On/After 01-Aug-2026</x:v>
      </x:c>
      <x:c r="M80" s="26" t="str">
        <x:v>Pending Mapping</x:v>
      </x:c>
      <x:c r="N80" s="26" t="str">
        <x:v>Original project JSON not available</x:v>
      </x:c>
      <x:c r="O80" s="26"/>
      <x:c r="P80" s="26" t="str"/>
      <x:c r="Q80" s="26" t="str"/>
      <x:c r="R80" s="26"/>
      <x:c r="S80" s="36"/>
      <x:c r="T80" s="26"/>
      <x:c r="U80" s="26"/>
      <x:c r="V80" s="26"/>
      <x:c r="W80" s="26" t="n">
        <x:v>5</x:v>
      </x:c>
      <x:c r="X80" s="26" t="n">
        <x:v>0</x:v>
      </x:c>
      <x:c r="Y80" s="26" t="n">
        <x:v>23</x:v>
      </x:c>
      <x:c r="Z80" s="26" t="n">
        <x:v>0</x:v>
      </x:c>
      <x:c r="AA80" s="26" t="n">
        <x:v>23</x:v>
      </x:c>
      <x:c r="AB80" s="38" t="n">
        <x:v>0</x:v>
      </x:c>
      <x:c r="AC80" s="26" t="str">
        <x:v>Committed / Not Delivered</x:v>
      </x:c>
      <x:c r="AD80" s="26" t="str">
        <x:v>Approval not recorded in response</x:v>
      </x:c>
      <x:c r="AE80" s="27" t="b">
        <x:v>1</x:v>
      </x:c>
      <x:c r="AF80" s="34" t="n">
        <x:v>46218.51074074074</x:v>
      </x:c>
      <x:c r="AG80" s="34"/>
      <x:c r="AH80" s="26" t="str">
        <x:v>Contribution API fields only; original project JSON needed for line-item names/centres/category</x:v>
      </x:c>
      <x:c r="AI80" s="26" t="str"/>
      <x:c r="AJ80" s="26" t="str">
        <x:v>Not Started</x:v>
      </x:c>
      <x:c r="AK80" s="26" t="str"/>
      <x:c r="AL80" s="26" t="str"/>
    </x:row>
    <x:row r="81">
      <x:c r="A81" s="26" t="n">
        <x:v>162</x:v>
      </x:c>
      <x:c r="B81" s="26" t="n">
        <x:v>177</x:v>
      </x:c>
      <x:c r="C81" s="26" t="str">
        <x:v>Kumuram Bheem Asifabad</x:v>
      </x:c>
      <x:c r="D81" s="26" t="str">
        <x:v>Telangana</x:v>
      </x:c>
      <x:c r="E81" s="26" t="n">
        <x:v>8926</x:v>
      </x:c>
      <x:c r="F81" s="26" t="str">
        <x:v>PRJ-2026-0008926</x:v>
      </x:c>
      <x:c r="G81" s="26" t="str">
        <x:v>Proposal for upgradation of Anganwadi centre</x:v>
      </x:c>
      <x:c r="H81" s="26" t="str">
        <x:v>Mission Saksham Anganwadi &amp; POSHAN 2.0</x:v>
      </x:c>
      <x:c r="I81" s="32" t="n">
        <x:v>46164</x:v>
      </x:c>
      <x:c r="J81" s="32" t="n">
        <x:v>46295</x:v>
      </x:c>
      <x:c r="K81" s="32"/>
      <x:c r="L81" s="26" t="str">
        <x:v>Active: On/After 01-Aug-2026</x:v>
      </x:c>
      <x:c r="M81" s="26" t="str">
        <x:v>Pending Mapping</x:v>
      </x:c>
      <x:c r="N81" s="26" t="str">
        <x:v>Original project JSON not available</x:v>
      </x:c>
      <x:c r="O81" s="26"/>
      <x:c r="P81" s="26" t="str"/>
      <x:c r="Q81" s="26" t="str"/>
      <x:c r="R81" s="26"/>
      <x:c r="S81" s="36"/>
      <x:c r="T81" s="26"/>
      <x:c r="U81" s="26"/>
      <x:c r="V81" s="26"/>
      <x:c r="W81" s="26" t="n">
        <x:v>5</x:v>
      </x:c>
      <x:c r="X81" s="26" t="n">
        <x:v>0</x:v>
      </x:c>
      <x:c r="Y81" s="26" t="n">
        <x:v>23</x:v>
      </x:c>
      <x:c r="Z81" s="26" t="n">
        <x:v>0</x:v>
      </x:c>
      <x:c r="AA81" s="26" t="n">
        <x:v>23</x:v>
      </x:c>
      <x:c r="AB81" s="38" t="n">
        <x:v>0</x:v>
      </x:c>
      <x:c r="AC81" s="26" t="str">
        <x:v>Committed / Not Delivered</x:v>
      </x:c>
      <x:c r="AD81" s="26" t="str">
        <x:v>Approval not recorded in response</x:v>
      </x:c>
      <x:c r="AE81" s="27" t="b">
        <x:v>1</x:v>
      </x:c>
      <x:c r="AF81" s="34" t="n">
        <x:v>46218.510729166665</x:v>
      </x:c>
      <x:c r="AG81" s="34"/>
      <x:c r="AH81" s="26" t="str">
        <x:v>Contribution API fields only; original project JSON needed for line-item names/centres/category</x:v>
      </x:c>
      <x:c r="AI81" s="26" t="str"/>
      <x:c r="AJ81" s="26" t="str">
        <x:v>Not Started</x:v>
      </x:c>
      <x:c r="AK81" s="26" t="str"/>
      <x:c r="AL81" s="26" t="str"/>
    </x:row>
    <x:row r="82">
      <x:c r="A82" s="26" t="n">
        <x:v>163</x:v>
      </x:c>
      <x:c r="B82" s="26" t="n">
        <x:v>178</x:v>
      </x:c>
      <x:c r="C82" s="26" t="str">
        <x:v>Kumuram Bheem Asifabad</x:v>
      </x:c>
      <x:c r="D82" s="26" t="str">
        <x:v>Telangana</x:v>
      </x:c>
      <x:c r="E82" s="26" t="n">
        <x:v>9007</x:v>
      </x:c>
      <x:c r="F82" s="26" t="str">
        <x:v>PRJ-2026-0009007</x:v>
      </x:c>
      <x:c r="G82" s="26" t="str">
        <x:v>Proposal for upgradation of Anganwadi centre</x:v>
      </x:c>
      <x:c r="H82" s="26" t="str">
        <x:v>Mission Saksham Anganwadi &amp; POSHAN 2.0</x:v>
      </x:c>
      <x:c r="I82" s="32" t="n">
        <x:v>46164</x:v>
      </x:c>
      <x:c r="J82" s="32" t="n">
        <x:v>46295</x:v>
      </x:c>
      <x:c r="K82" s="32"/>
      <x:c r="L82" s="26" t="str">
        <x:v>Active: On/After 01-Aug-2026</x:v>
      </x:c>
      <x:c r="M82" s="26" t="str">
        <x:v>Pending Mapping</x:v>
      </x:c>
      <x:c r="N82" s="26" t="str">
        <x:v>Original project JSON not available</x:v>
      </x:c>
      <x:c r="O82" s="26"/>
      <x:c r="P82" s="26" t="str"/>
      <x:c r="Q82" s="26" t="str"/>
      <x:c r="R82" s="26"/>
      <x:c r="S82" s="36"/>
      <x:c r="T82" s="26"/>
      <x:c r="U82" s="26"/>
      <x:c r="V82" s="26"/>
      <x:c r="W82" s="26" t="n">
        <x:v>5</x:v>
      </x:c>
      <x:c r="X82" s="26" t="n">
        <x:v>0</x:v>
      </x:c>
      <x:c r="Y82" s="26" t="n">
        <x:v>19</x:v>
      </x:c>
      <x:c r="Z82" s="26" t="n">
        <x:v>0</x:v>
      </x:c>
      <x:c r="AA82" s="26" t="n">
        <x:v>19</x:v>
      </x:c>
      <x:c r="AB82" s="38" t="n">
        <x:v>0</x:v>
      </x:c>
      <x:c r="AC82" s="26" t="str">
        <x:v>Committed / Not Delivered</x:v>
      </x:c>
      <x:c r="AD82" s="26" t="str">
        <x:v>Approval not recorded in response</x:v>
      </x:c>
      <x:c r="AE82" s="27" t="b">
        <x:v>1</x:v>
      </x:c>
      <x:c r="AF82" s="34" t="n">
        <x:v>46218.510717592595</x:v>
      </x:c>
      <x:c r="AG82" s="34"/>
      <x:c r="AH82" s="26" t="str">
        <x:v>Contribution API fields only; original project JSON needed for line-item names/centres/category</x:v>
      </x:c>
      <x:c r="AI82" s="26" t="str"/>
      <x:c r="AJ82" s="26" t="str">
        <x:v>Not Started</x:v>
      </x:c>
      <x:c r="AK82" s="26" t="str"/>
      <x:c r="AL82" s="26" t="str"/>
    </x:row>
    <x:row r="83">
      <x:c r="A83" s="26" t="n">
        <x:v>164</x:v>
      </x:c>
      <x:c r="B83" s="26" t="n">
        <x:v>179</x:v>
      </x:c>
      <x:c r="C83" s="26" t="str">
        <x:v>Kumuram Bheem Asifabad</x:v>
      </x:c>
      <x:c r="D83" s="26" t="str">
        <x:v>Telangana</x:v>
      </x:c>
      <x:c r="E83" s="26" t="n">
        <x:v>9085</x:v>
      </x:c>
      <x:c r="F83" s="26" t="str">
        <x:v>PRJ-2026-0009085</x:v>
      </x:c>
      <x:c r="G83" s="26" t="str">
        <x:v>Proposal for upgradation of Anganwadi centre</x:v>
      </x:c>
      <x:c r="H83" s="26" t="str">
        <x:v>Mission Saksham Anganwadi &amp; POSHAN 2.0</x:v>
      </x:c>
      <x:c r="I83" s="32" t="n">
        <x:v>46164</x:v>
      </x:c>
      <x:c r="J83" s="32" t="n">
        <x:v>46295</x:v>
      </x:c>
      <x:c r="K83" s="32"/>
      <x:c r="L83" s="26" t="str">
        <x:v>Active: On/After 01-Aug-2026</x:v>
      </x:c>
      <x:c r="M83" s="26" t="str">
        <x:v>Pending Mapping</x:v>
      </x:c>
      <x:c r="N83" s="26" t="str">
        <x:v>Original project JSON not available</x:v>
      </x:c>
      <x:c r="O83" s="26"/>
      <x:c r="P83" s="26" t="str"/>
      <x:c r="Q83" s="26" t="str"/>
      <x:c r="R83" s="26"/>
      <x:c r="S83" s="36"/>
      <x:c r="T83" s="26"/>
      <x:c r="U83" s="26"/>
      <x:c r="V83" s="26"/>
      <x:c r="W83" s="26" t="n">
        <x:v>4</x:v>
      </x:c>
      <x:c r="X83" s="26" t="n">
        <x:v>0</x:v>
      </x:c>
      <x:c r="Y83" s="26" t="n">
        <x:v>8</x:v>
      </x:c>
      <x:c r="Z83" s="26" t="n">
        <x:v>0</x:v>
      </x:c>
      <x:c r="AA83" s="26" t="n">
        <x:v>8</x:v>
      </x:c>
      <x:c r="AB83" s="38" t="n">
        <x:v>0</x:v>
      </x:c>
      <x:c r="AC83" s="26" t="str">
        <x:v>Committed / Not Delivered</x:v>
      </x:c>
      <x:c r="AD83" s="26" t="str">
        <x:v>Approval not recorded in response</x:v>
      </x:c>
      <x:c r="AE83" s="27" t="b">
        <x:v>1</x:v>
      </x:c>
      <x:c r="AF83" s="34" t="n">
        <x:v>46218.51070601852</x:v>
      </x:c>
      <x:c r="AG83" s="34"/>
      <x:c r="AH83" s="26" t="str">
        <x:v>Contribution API fields only; original project JSON needed for line-item names/centres/category</x:v>
      </x:c>
      <x:c r="AI83" s="26" t="str"/>
      <x:c r="AJ83" s="26" t="str">
        <x:v>Not Started</x:v>
      </x:c>
      <x:c r="AK83" s="26" t="str"/>
      <x:c r="AL83" s="26" t="str"/>
    </x:row>
    <x:row r="84">
      <x:c r="A84" s="26" t="n">
        <x:v>165</x:v>
      </x:c>
      <x:c r="B84" s="26" t="n">
        <x:v>127</x:v>
      </x:c>
      <x:c r="C84" s="26" t="str">
        <x:v>Kumuram Bheem Asifabad</x:v>
      </x:c>
      <x:c r="D84" s="26" t="str">
        <x:v>Telangana</x:v>
      </x:c>
      <x:c r="E84" s="26" t="n">
        <x:v>6307</x:v>
      </x:c>
      <x:c r="F84" s="26" t="str">
        <x:v>PRJ-2026-0006307</x:v>
      </x:c>
      <x:c r="G84" s="26" t="str">
        <x:v>Rain Water Harvesting System : Water Filter Kitchen Construction : Poshan Vatika  kitchen Shelves : Gas stove, regulator : Solar Panel : Civil Repair : Toilet</x:v>
      </x:c>
      <x:c r="H84" s="26" t="str">
        <x:v>Mission Saksham Anganwadi &amp; POSHAN 2.0</x:v>
      </x:c>
      <x:c r="I84" s="32" t="n">
        <x:v>46163</x:v>
      </x:c>
      <x:c r="J84" s="32" t="n">
        <x:v>46255</x:v>
      </x:c>
      <x:c r="K84" s="32"/>
      <x:c r="L84" s="26" t="str">
        <x:v>Active: On/After 01-Aug-2026</x:v>
      </x:c>
      <x:c r="M84" s="26" t="str">
        <x:v>Pending Mapping</x:v>
      </x:c>
      <x:c r="N84" s="26" t="str">
        <x:v>Original project JSON not available</x:v>
      </x:c>
      <x:c r="O84" s="26"/>
      <x:c r="P84" s="26" t="str"/>
      <x:c r="Q84" s="26" t="str"/>
      <x:c r="R84" s="26"/>
      <x:c r="S84" s="36"/>
      <x:c r="T84" s="26"/>
      <x:c r="U84" s="26"/>
      <x:c r="V84" s="26"/>
      <x:c r="W84" s="26" t="n">
        <x:v>4</x:v>
      </x:c>
      <x:c r="X84" s="26" t="n">
        <x:v>0</x:v>
      </x:c>
      <x:c r="Y84" s="26" t="n">
        <x:v>4</x:v>
      </x:c>
      <x:c r="Z84" s="26" t="n">
        <x:v>0</x:v>
      </x:c>
      <x:c r="AA84" s="26" t="n">
        <x:v>4</x:v>
      </x:c>
      <x:c r="AB84" s="38" t="n">
        <x:v>0</x:v>
      </x:c>
      <x:c r="AC84" s="26" t="str">
        <x:v>Committed / Not Delivered</x:v>
      </x:c>
      <x:c r="AD84" s="26" t="str">
        <x:v>Approval not recorded in response</x:v>
      </x:c>
      <x:c r="AE84" s="27" t="b">
        <x:v>1</x:v>
      </x:c>
      <x:c r="AF84" s="34" t="n">
        <x:v>46218.41637731482</x:v>
      </x:c>
      <x:c r="AG84" s="34"/>
      <x:c r="AH84" s="26" t="str">
        <x:v>Contribution API fields only; original project JSON needed for line-item names/centres/category</x:v>
      </x:c>
      <x:c r="AI84" s="26" t="str"/>
      <x:c r="AJ84" s="26" t="str">
        <x:v>Not Started</x:v>
      </x:c>
      <x:c r="AK84" s="26" t="str"/>
      <x:c r="AL84" s="26" t="str"/>
    </x:row>
    <x:row r="85">
      <x:c r="A85" s="26" t="n">
        <x:v>166</x:v>
      </x:c>
      <x:c r="B85" s="26" t="n">
        <x:v>126</x:v>
      </x:c>
      <x:c r="C85" s="26" t="str">
        <x:v>Kumuram Bheem Asifabad</x:v>
      </x:c>
      <x:c r="D85" s="26" t="str">
        <x:v>Telangana</x:v>
      </x:c>
      <x:c r="E85" s="26" t="n">
        <x:v>10339</x:v>
      </x:c>
      <x:c r="F85" s="26" t="str">
        <x:v>PRJ-2026-0010339</x:v>
      </x:c>
      <x:c r="G85" s="26" t="str">
        <x:v>Water filter, gas stove </x:v>
      </x:c>
      <x:c r="H85" s="26" t="str">
        <x:v>Mission Saksham Anganwadi &amp; POSHAN 2.0</x:v>
      </x:c>
      <x:c r="I85" s="32" t="n">
        <x:v>46164</x:v>
      </x:c>
      <x:c r="J85" s="32" t="n">
        <x:v>46265</x:v>
      </x:c>
      <x:c r="K85" s="32"/>
      <x:c r="L85" s="26" t="str">
        <x:v>Active: On/After 01-Aug-2026</x:v>
      </x:c>
      <x:c r="M85" s="26" t="str">
        <x:v>Pending Mapping</x:v>
      </x:c>
      <x:c r="N85" s="26" t="str">
        <x:v>Original project JSON not available</x:v>
      </x:c>
      <x:c r="O85" s="26"/>
      <x:c r="P85" s="26" t="str"/>
      <x:c r="Q85" s="26" t="str"/>
      <x:c r="R85" s="26"/>
      <x:c r="S85" s="36"/>
      <x:c r="T85" s="26"/>
      <x:c r="U85" s="26"/>
      <x:c r="V85" s="26"/>
      <x:c r="W85" s="26" t="n">
        <x:v>2</x:v>
      </x:c>
      <x:c r="X85" s="26" t="n">
        <x:v>0</x:v>
      </x:c>
      <x:c r="Y85" s="26" t="n">
        <x:v>2</x:v>
      </x:c>
      <x:c r="Z85" s="26" t="n">
        <x:v>0</x:v>
      </x:c>
      <x:c r="AA85" s="26" t="n">
        <x:v>2</x:v>
      </x:c>
      <x:c r="AB85" s="38" t="n">
        <x:v>0</x:v>
      </x:c>
      <x:c r="AC85" s="26" t="str">
        <x:v>Committed / Not Delivered</x:v>
      </x:c>
      <x:c r="AD85" s="26" t="str">
        <x:v>Approval not recorded in response</x:v>
      </x:c>
      <x:c r="AE85" s="27" t="b">
        <x:v>1</x:v>
      </x:c>
      <x:c r="AF85" s="34" t="n">
        <x:v>46218.411516203705</x:v>
      </x:c>
      <x:c r="AG85" s="34"/>
      <x:c r="AH85" s="26" t="str">
        <x:v>Contribution API fields only; original project JSON needed for line-item names/centres/category</x:v>
      </x:c>
      <x:c r="AI85" s="26" t="str"/>
      <x:c r="AJ85" s="26" t="str">
        <x:v>Not Started</x:v>
      </x:c>
      <x:c r="AK85" s="26" t="str"/>
      <x:c r="AL85" s="26" t="str"/>
    </x:row>
    <x:row r="86">
      <x:c r="A86" s="26" t="n">
        <x:v>167</x:v>
      </x:c>
      <x:c r="B86" s="26" t="n">
        <x:v>125</x:v>
      </x:c>
      <x:c r="C86" s="26" t="str">
        <x:v>Kumuram Bheem Asifabad</x:v>
      </x:c>
      <x:c r="D86" s="26" t="str">
        <x:v>Telangana</x:v>
      </x:c>
      <x:c r="E86" s="26" t="n">
        <x:v>10748</x:v>
      </x:c>
      <x:c r="F86" s="26" t="str">
        <x:v>PRJ-2026-0010748</x:v>
      </x:c>
      <x:c r="G86" s="26" t="str">
        <x:v>Water filter </x:v>
      </x:c>
      <x:c r="H86" s="26" t="str">
        <x:v>Mission Saksham Anganwadi &amp; POSHAN 2.0</x:v>
      </x:c>
      <x:c r="I86" s="32" t="n">
        <x:v>46164</x:v>
      </x:c>
      <x:c r="J86" s="32" t="n">
        <x:v>46265</x:v>
      </x:c>
      <x:c r="K86" s="32"/>
      <x:c r="L86" s="26" t="str">
        <x:v>Active: On/After 01-Aug-2026</x:v>
      </x:c>
      <x:c r="M86" s="26" t="str">
        <x:v>Pending Mapping</x:v>
      </x:c>
      <x:c r="N86" s="26" t="str">
        <x:v>Original project JSON not available</x:v>
      </x:c>
      <x:c r="O86" s="26"/>
      <x:c r="P86" s="26" t="str"/>
      <x:c r="Q86" s="26" t="str"/>
      <x:c r="R86" s="26"/>
      <x:c r="S86" s="36"/>
      <x:c r="T86" s="26"/>
      <x:c r="U86" s="26"/>
      <x:c r="V86" s="26"/>
      <x:c r="W86" s="26" t="n">
        <x:v>7</x:v>
      </x:c>
      <x:c r="X86" s="26" t="n">
        <x:v>0</x:v>
      </x:c>
      <x:c r="Y86" s="26" t="n">
        <x:v>8</x:v>
      </x:c>
      <x:c r="Z86" s="26" t="n">
        <x:v>0</x:v>
      </x:c>
      <x:c r="AA86" s="26" t="n">
        <x:v>8</x:v>
      </x:c>
      <x:c r="AB86" s="38" t="n">
        <x:v>0</x:v>
      </x:c>
      <x:c r="AC86" s="26" t="str">
        <x:v>Committed / Not Delivered</x:v>
      </x:c>
      <x:c r="AD86" s="26" t="str">
        <x:v>Approval not recorded in response</x:v>
      </x:c>
      <x:c r="AE86" s="27" t="b">
        <x:v>1</x:v>
      </x:c>
      <x:c r="AF86" s="34" t="n">
        <x:v>46218.40939814815</x:v>
      </x:c>
      <x:c r="AG86" s="34"/>
      <x:c r="AH86" s="26" t="str">
        <x:v>Contribution API fields only; original project JSON needed for line-item names/centres/category</x:v>
      </x:c>
      <x:c r="AI86" s="26" t="str"/>
      <x:c r="AJ86" s="26" t="str">
        <x:v>Not Started</x:v>
      </x:c>
      <x:c r="AK86" s="26" t="str"/>
      <x:c r="AL86" s="26" t="str"/>
    </x:row>
    <x:row r="87">
      <x:c r="A87" s="26" t="n">
        <x:v>168</x:v>
      </x:c>
      <x:c r="B87" s="26" t="n">
        <x:v>124</x:v>
      </x:c>
      <x:c r="C87" s="26" t="str">
        <x:v>Kumuram Bheem Asifabad</x:v>
      </x:c>
      <x:c r="D87" s="26" t="str">
        <x:v>Telangana</x:v>
      </x:c>
      <x:c r="E87" s="26" t="n">
        <x:v>10255</x:v>
      </x:c>
      <x:c r="F87" s="26" t="str">
        <x:v>PRJ-2026-0010255</x:v>
      </x:c>
      <x:c r="G87" s="26" t="str">
        <x:v>Rain Water Harvesting System : Water Filter Kitchen Construction : Poshan Vatika  kitchen Shelves : Gas stove, regulator : Solar Panel : Civil Repair : Toilet</x:v>
      </x:c>
      <x:c r="H87" s="26" t="str">
        <x:v>Mission Saksham Anganwadi &amp; POSHAN 2.0</x:v>
      </x:c>
      <x:c r="I87" s="32" t="n">
        <x:v>46164</x:v>
      </x:c>
      <x:c r="J87" s="32" t="n">
        <x:v>46255</x:v>
      </x:c>
      <x:c r="K87" s="32"/>
      <x:c r="L87" s="26" t="str">
        <x:v>Active: On/After 01-Aug-2026</x:v>
      </x:c>
      <x:c r="M87" s="26" t="str">
        <x:v>Pending Mapping</x:v>
      </x:c>
      <x:c r="N87" s="26" t="str">
        <x:v>Original project JSON not available</x:v>
      </x:c>
      <x:c r="O87" s="26"/>
      <x:c r="P87" s="26" t="str"/>
      <x:c r="Q87" s="26" t="str"/>
      <x:c r="R87" s="26"/>
      <x:c r="S87" s="36"/>
      <x:c r="T87" s="26"/>
      <x:c r="U87" s="26"/>
      <x:c r="V87" s="26"/>
      <x:c r="W87" s="26" t="n">
        <x:v>4</x:v>
      </x:c>
      <x:c r="X87" s="26" t="n">
        <x:v>0</x:v>
      </x:c>
      <x:c r="Y87" s="26" t="n">
        <x:v>4</x:v>
      </x:c>
      <x:c r="Z87" s="26" t="n">
        <x:v>0</x:v>
      </x:c>
      <x:c r="AA87" s="26" t="n">
        <x:v>4</x:v>
      </x:c>
      <x:c r="AB87" s="38" t="n">
        <x:v>0</x:v>
      </x:c>
      <x:c r="AC87" s="26" t="str">
        <x:v>Committed / Not Delivered</x:v>
      </x:c>
      <x:c r="AD87" s="26" t="str">
        <x:v>Approval not recorded in response</x:v>
      </x:c>
      <x:c r="AE87" s="27" t="b">
        <x:v>1</x:v>
      </x:c>
      <x:c r="AF87" s="34" t="n">
        <x:v>46218.40608796296</x:v>
      </x:c>
      <x:c r="AG87" s="34"/>
      <x:c r="AH87" s="26" t="str">
        <x:v>Contribution API fields only; original project JSON needed for line-item names/centres/category</x:v>
      </x:c>
      <x:c r="AI87" s="26" t="str"/>
      <x:c r="AJ87" s="26" t="str">
        <x:v>Not Started</x:v>
      </x:c>
      <x:c r="AK87" s="26" t="str"/>
      <x:c r="AL87" s="26" t="str"/>
    </x:row>
    <x:row r="88">
      <x:c r="A88" s="26" t="n">
        <x:v>169</x:v>
      </x:c>
      <x:c r="B88" s="26" t="n">
        <x:v>120</x:v>
      </x:c>
      <x:c r="C88" s="26" t="str">
        <x:v>Kumuram Bheem Asifabad</x:v>
      </x:c>
      <x:c r="D88" s="26" t="str">
        <x:v>Telangana</x:v>
      </x:c>
      <x:c r="E88" s="26" t="n">
        <x:v>10748</x:v>
      </x:c>
      <x:c r="F88" s="26" t="str">
        <x:v>PRJ-2026-0010748</x:v>
      </x:c>
      <x:c r="G88" s="26" t="str">
        <x:v>Water filter </x:v>
      </x:c>
      <x:c r="H88" s="26" t="str">
        <x:v>Mission Saksham Anganwadi &amp; POSHAN 2.0</x:v>
      </x:c>
      <x:c r="I88" s="32" t="n">
        <x:v>46164</x:v>
      </x:c>
      <x:c r="J88" s="32" t="n">
        <x:v>46265</x:v>
      </x:c>
      <x:c r="K88" s="32"/>
      <x:c r="L88" s="26" t="str">
        <x:v>Active: On/After 01-Aug-2026</x:v>
      </x:c>
      <x:c r="M88" s="26" t="str">
        <x:v>Pending Mapping</x:v>
      </x:c>
      <x:c r="N88" s="26" t="str">
        <x:v>Original project JSON not available</x:v>
      </x:c>
      <x:c r="O88" s="26"/>
      <x:c r="P88" s="26" t="str"/>
      <x:c r="Q88" s="26" t="str"/>
      <x:c r="R88" s="26"/>
      <x:c r="S88" s="36"/>
      <x:c r="T88" s="26"/>
      <x:c r="U88" s="26"/>
      <x:c r="V88" s="26"/>
      <x:c r="W88" s="26" t="n">
        <x:v>4</x:v>
      </x:c>
      <x:c r="X88" s="26" t="n">
        <x:v>0</x:v>
      </x:c>
      <x:c r="Y88" s="26" t="n">
        <x:v>8</x:v>
      </x:c>
      <x:c r="Z88" s="26" t="n">
        <x:v>0</x:v>
      </x:c>
      <x:c r="AA88" s="26" t="n">
        <x:v>8</x:v>
      </x:c>
      <x:c r="AB88" s="38" t="n">
        <x:v>0</x:v>
      </x:c>
      <x:c r="AC88" s="26" t="str">
        <x:v>Committed / Not Delivered</x:v>
      </x:c>
      <x:c r="AD88" s="26" t="str">
        <x:v>Approval not recorded in response</x:v>
      </x:c>
      <x:c r="AE88" s="27" t="b">
        <x:v>1</x:v>
      </x:c>
      <x:c r="AF88" s="34" t="n">
        <x:v>46215.35917824074</x:v>
      </x:c>
      <x:c r="AG88" s="34"/>
      <x:c r="AH88" s="26" t="str">
        <x:v>Contribution API fields only; original project JSON needed for line-item names/centres/category</x:v>
      </x:c>
      <x:c r="AI88" s="26" t="str"/>
      <x:c r="AJ88" s="26" t="str">
        <x:v>Not Started</x:v>
      </x:c>
      <x:c r="AK88" s="26" t="str"/>
      <x:c r="AL88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8d79a72faa5349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8.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13.130000114440918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PANKHUDI Contributions — Medak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56</x:v>
      </x:c>
      <x:c r="B4" s="26" t="n">
        <x:v>236</x:v>
      </x:c>
      <x:c r="C4" s="26" t="str">
        <x:v>Medak</x:v>
      </x:c>
      <x:c r="D4" s="26" t="str">
        <x:v>Telangana</x:v>
      </x:c>
      <x:c r="E4" s="26" t="n">
        <x:v>14755</x:v>
      </x:c>
      <x:c r="F4" s="26" t="str">
        <x:v>PRJ-2026-0014755</x:v>
      </x:c>
      <x:c r="G4" s="26" t="str">
        <x:v>AWC Upgradation Koppulapally Thanda</x:v>
      </x:c>
      <x:c r="H4" s="26" t="str">
        <x:v>Mission Saksham Anganwadi &amp; POSHAN 2.0</x:v>
      </x:c>
      <x:c r="I4" s="32" t="n">
        <x:v>46167</x:v>
      </x:c>
      <x:c r="J4" s="32" t="n">
        <x:v>46351</x:v>
      </x:c>
      <x:c r="K4" s="32"/>
      <x:c r="L4" s="26" t="str">
        <x:v>Active: On/After 01-Aug-2026</x:v>
      </x:c>
      <x:c r="M4" s="26" t="str">
        <x:v>Pending Mapping</x:v>
      </x:c>
      <x:c r="N4" s="26" t="str">
        <x:v>Original project JSON not available</x:v>
      </x:c>
      <x:c r="O4" s="26"/>
      <x:c r="P4" s="26" t="str"/>
      <x:c r="Q4" s="26" t="str"/>
      <x:c r="R4" s="26"/>
      <x:c r="S4" s="36"/>
      <x:c r="T4" s="26"/>
      <x:c r="U4" s="26"/>
      <x:c r="V4" s="26"/>
      <x:c r="W4" s="26" t="n">
        <x:v>5</x:v>
      </x:c>
      <x:c r="X4" s="26" t="n">
        <x:v>0</x:v>
      </x:c>
      <x:c r="Y4" s="26" t="n">
        <x:v>30</x:v>
      </x:c>
      <x:c r="Z4" s="26" t="n">
        <x:v>0</x:v>
      </x:c>
      <x:c r="AA4" s="26" t="n">
        <x:v>30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46219.85320601852</x:v>
      </x:c>
      <x:c r="AG4" s="34"/>
      <x:c r="AH4" s="26" t="str">
        <x:v>Contribution API fields only; original project JSON needed for line-item names/centres/category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57</x:v>
      </x:c>
      <x:c r="B5" s="26" t="n">
        <x:v>234</x:v>
      </x:c>
      <x:c r="C5" s="26" t="str">
        <x:v>Medak</x:v>
      </x:c>
      <x:c r="D5" s="26" t="str">
        <x:v>Telangana</x:v>
      </x:c>
      <x:c r="E5" s="26" t="n">
        <x:v>14756</x:v>
      </x:c>
      <x:c r="F5" s="26" t="str">
        <x:v>PRJ-2026-0014756</x:v>
      </x:c>
      <x:c r="G5" s="26" t="str">
        <x:v>AWC Upgradation Station Masaipet </x:v>
      </x:c>
      <x:c r="H5" s="26" t="str">
        <x:v>Mission Saksham Anganwadi &amp; POSHAN 2.0</x:v>
      </x:c>
      <x:c r="I5" s="32" t="n">
        <x:v>46167</x:v>
      </x:c>
      <x:c r="J5" s="32" t="n">
        <x:v>46351</x:v>
      </x:c>
      <x:c r="K5" s="32"/>
      <x:c r="L5" s="26" t="str">
        <x:v>Active: On/After 01-Aug-2026</x:v>
      </x:c>
      <x:c r="M5" s="26" t="str">
        <x:v>Pending Mapping</x:v>
      </x:c>
      <x:c r="N5" s="26" t="str">
        <x:v>Original project JSON not available</x:v>
      </x:c>
      <x:c r="O5" s="26"/>
      <x:c r="P5" s="26" t="str"/>
      <x:c r="Q5" s="26" t="str"/>
      <x:c r="R5" s="26"/>
      <x:c r="S5" s="36"/>
      <x:c r="T5" s="26"/>
      <x:c r="U5" s="26"/>
      <x:c r="V5" s="26"/>
      <x:c r="W5" s="26" t="n">
        <x:v>5</x:v>
      </x:c>
      <x:c r="X5" s="26" t="n">
        <x:v>0</x:v>
      </x:c>
      <x:c r="Y5" s="26" t="n">
        <x:v>29</x:v>
      </x:c>
      <x:c r="Z5" s="26" t="n">
        <x:v>0</x:v>
      </x:c>
      <x:c r="AA5" s="26" t="n">
        <x:v>29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46219.85319444445</x:v>
      </x:c>
      <x:c r="AG5" s="34"/>
      <x:c r="AH5" s="26" t="str">
        <x:v>Contribution API fields only; original project JSON needed for line-item names/centres/category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58</x:v>
      </x:c>
      <x:c r="B6" s="26" t="n">
        <x:v>235</x:v>
      </x:c>
      <x:c r="C6" s="26" t="str">
        <x:v>Medak</x:v>
      </x:c>
      <x:c r="D6" s="26" t="str">
        <x:v>Telangana</x:v>
      </x:c>
      <x:c r="E6" s="26" t="n">
        <x:v>14761</x:v>
      </x:c>
      <x:c r="F6" s="26" t="str">
        <x:v>PRJ-2026-0014761</x:v>
      </x:c>
      <x:c r="G6" s="26" t="str">
        <x:v>AWC Upgradation Hastalpur</x:v>
      </x:c>
      <x:c r="H6" s="26" t="str">
        <x:v>Mission Saksham Anganwadi &amp; POSHAN 2.0</x:v>
      </x:c>
      <x:c r="I6" s="32" t="n">
        <x:v>46167</x:v>
      </x:c>
      <x:c r="J6" s="32" t="n">
        <x:v>46351</x:v>
      </x:c>
      <x:c r="K6" s="32"/>
      <x:c r="L6" s="26" t="str">
        <x:v>Active: On/After 01-Aug-2026</x:v>
      </x:c>
      <x:c r="M6" s="26" t="str">
        <x:v>Pending Mapping</x:v>
      </x:c>
      <x:c r="N6" s="26" t="str">
        <x:v>Original project JSON not available</x:v>
      </x:c>
      <x:c r="O6" s="26"/>
      <x:c r="P6" s="26" t="str"/>
      <x:c r="Q6" s="26" t="str"/>
      <x:c r="R6" s="26"/>
      <x:c r="S6" s="36"/>
      <x:c r="T6" s="26"/>
      <x:c r="U6" s="26"/>
      <x:c r="V6" s="26"/>
      <x:c r="W6" s="26" t="n">
        <x:v>4</x:v>
      </x:c>
      <x:c r="X6" s="26" t="n">
        <x:v>0</x:v>
      </x:c>
      <x:c r="Y6" s="26" t="n">
        <x:v>29</x:v>
      </x:c>
      <x:c r="Z6" s="26" t="n">
        <x:v>0</x:v>
      </x:c>
      <x:c r="AA6" s="26" t="n">
        <x:v>29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46219.85319444445</x:v>
      </x:c>
      <x:c r="AG6" s="34"/>
      <x:c r="AH6" s="26" t="str">
        <x:v>Contribution API fields only; original project JSON needed for line-item names/centres/category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59</x:v>
      </x:c>
      <x:c r="B7" s="26" t="n">
        <x:v>232</x:v>
      </x:c>
      <x:c r="C7" s="26" t="str">
        <x:v>Medak</x:v>
      </x:c>
      <x:c r="D7" s="26" t="str">
        <x:v>Telangana</x:v>
      </x:c>
      <x:c r="E7" s="26" t="n">
        <x:v>14765</x:v>
      </x:c>
      <x:c r="F7" s="26" t="str">
        <x:v>PRJ-2026-0014765</x:v>
      </x:c>
      <x:c r="G7" s="26" t="str">
        <x:v>AWC Upgradation Ramanthapur LT</x:v>
      </x:c>
      <x:c r="H7" s="26" t="str">
        <x:v>Mission Saksham Anganwadi &amp; POSHAN 2.0</x:v>
      </x:c>
      <x:c r="I7" s="32" t="n">
        <x:v>46167</x:v>
      </x:c>
      <x:c r="J7" s="32" t="n">
        <x:v>46351</x:v>
      </x:c>
      <x:c r="K7" s="32"/>
      <x:c r="L7" s="26" t="str">
        <x:v>Active: On/After 01-Aug-2026</x:v>
      </x:c>
      <x:c r="M7" s="26" t="str">
        <x:v>Pending Mapping</x:v>
      </x:c>
      <x:c r="N7" s="26" t="str">
        <x:v>Original project JSON not available</x:v>
      </x:c>
      <x:c r="O7" s="26"/>
      <x:c r="P7" s="26" t="str"/>
      <x:c r="Q7" s="26" t="str"/>
      <x:c r="R7" s="26"/>
      <x:c r="S7" s="36"/>
      <x:c r="T7" s="26"/>
      <x:c r="U7" s="26"/>
      <x:c r="V7" s="26"/>
      <x:c r="W7" s="26" t="n">
        <x:v>5</x:v>
      </x:c>
      <x:c r="X7" s="26" t="n">
        <x:v>0</x:v>
      </x:c>
      <x:c r="Y7" s="26" t="n">
        <x:v>29</x:v>
      </x:c>
      <x:c r="Z7" s="26" t="n">
        <x:v>0</x:v>
      </x:c>
      <x:c r="AA7" s="26" t="n">
        <x:v>29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46219.85318287037</x:v>
      </x:c>
      <x:c r="AG7" s="34"/>
      <x:c r="AH7" s="26" t="str">
        <x:v>Contribution API fields only; original project JSON needed for line-item names/centres/category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60</x:v>
      </x:c>
      <x:c r="B8" s="26" t="n">
        <x:v>233</x:v>
      </x:c>
      <x:c r="C8" s="26" t="str">
        <x:v>Medak</x:v>
      </x:c>
      <x:c r="D8" s="26" t="str">
        <x:v>Telangana</x:v>
      </x:c>
      <x:c r="E8" s="26" t="n">
        <x:v>14759</x:v>
      </x:c>
      <x:c r="F8" s="26" t="str">
        <x:v>PRJ-2026-0014759</x:v>
      </x:c>
      <x:c r="G8" s="26" t="str">
        <x:v>AWC Upgradation Masaipet V</x:v>
      </x:c>
      <x:c r="H8" s="26" t="str">
        <x:v>Mission Saksham Anganwadi &amp; POSHAN 2.0</x:v>
      </x:c>
      <x:c r="I8" s="32" t="n">
        <x:v>46167</x:v>
      </x:c>
      <x:c r="J8" s="32" t="n">
        <x:v>46351</x:v>
      </x:c>
      <x:c r="K8" s="32"/>
      <x:c r="L8" s="26" t="str">
        <x:v>Active: On/After 01-Aug-2026</x:v>
      </x:c>
      <x:c r="M8" s="26" t="str">
        <x:v>Pending Mapping</x:v>
      </x:c>
      <x:c r="N8" s="26" t="str">
        <x:v>Original project JSON not available</x:v>
      </x:c>
      <x:c r="O8" s="26"/>
      <x:c r="P8" s="26" t="str"/>
      <x:c r="Q8" s="26" t="str"/>
      <x:c r="R8" s="26"/>
      <x:c r="S8" s="36"/>
      <x:c r="T8" s="26"/>
      <x:c r="U8" s="26"/>
      <x:c r="V8" s="26"/>
      <x:c r="W8" s="26" t="n">
        <x:v>5</x:v>
      </x:c>
      <x:c r="X8" s="26" t="n">
        <x:v>0</x:v>
      </x:c>
      <x:c r="Y8" s="26" t="n">
        <x:v>29</x:v>
      </x:c>
      <x:c r="Z8" s="26" t="n">
        <x:v>0</x:v>
      </x:c>
      <x:c r="AA8" s="26" t="n">
        <x:v>29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46219.85318287037</x:v>
      </x:c>
      <x:c r="AG8" s="34"/>
      <x:c r="AH8" s="26" t="str">
        <x:v>Contribution API fields only; original project JSON needed for line-item names/centres/category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61</x:v>
      </x:c>
      <x:c r="B9" s="26" t="n">
        <x:v>231</x:v>
      </x:c>
      <x:c r="C9" s="26" t="str">
        <x:v>Medak</x:v>
      </x:c>
      <x:c r="D9" s="26" t="str">
        <x:v>Telangana</x:v>
      </x:c>
      <x:c r="E9" s="26" t="n">
        <x:v>14771</x:v>
      </x:c>
      <x:c r="F9" s="26" t="str">
        <x:v>PRJ-2026-0014771</x:v>
      </x:c>
      <x:c r="G9" s="26" t="str">
        <x:v>AWC Upgradation Bandamedipally</x:v>
      </x:c>
      <x:c r="H9" s="26" t="str">
        <x:v>Mission Saksham Anganwadi &amp; POSHAN 2.0</x:v>
      </x:c>
      <x:c r="I9" s="32" t="n">
        <x:v>46167</x:v>
      </x:c>
      <x:c r="J9" s="32" t="n">
        <x:v>46351</x:v>
      </x:c>
      <x:c r="K9" s="32"/>
      <x:c r="L9" s="26" t="str">
        <x:v>Active: On/After 01-Aug-2026</x:v>
      </x:c>
      <x:c r="M9" s="26" t="str">
        <x:v>Pending Mapping</x:v>
      </x:c>
      <x:c r="N9" s="26" t="str">
        <x:v>Original project JSON not available</x:v>
      </x:c>
      <x:c r="O9" s="26"/>
      <x:c r="P9" s="26" t="str"/>
      <x:c r="Q9" s="26" t="str"/>
      <x:c r="R9" s="26"/>
      <x:c r="S9" s="36"/>
      <x:c r="T9" s="26"/>
      <x:c r="U9" s="26"/>
      <x:c r="V9" s="26"/>
      <x:c r="W9" s="26" t="n">
        <x:v>5</x:v>
      </x:c>
      <x:c r="X9" s="26" t="n">
        <x:v>0</x:v>
      </x:c>
      <x:c r="Y9" s="26" t="n">
        <x:v>29</x:v>
      </x:c>
      <x:c r="Z9" s="26" t="n">
        <x:v>0</x:v>
      </x:c>
      <x:c r="AA9" s="26" t="n">
        <x:v>29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46219.853171296294</x:v>
      </x:c>
      <x:c r="AG9" s="34"/>
      <x:c r="AH9" s="26" t="str">
        <x:v>Contribution API fields only; original project JSON needed for line-item names/centres/category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62</x:v>
      </x:c>
      <x:c r="B10" s="26" t="n">
        <x:v>229</x:v>
      </x:c>
      <x:c r="C10" s="26" t="str">
        <x:v>Medak</x:v>
      </x:c>
      <x:c r="D10" s="26" t="str">
        <x:v>Telangana</x:v>
      </x:c>
      <x:c r="E10" s="26" t="n">
        <x:v>114082</x:v>
      </x:c>
      <x:c r="F10" s="26" t="str">
        <x:v>PRJ-2026-0114082</x:v>
      </x:c>
      <x:c r="G10" s="26" t="str">
        <x:v>AWC Upgradation of Komatipally-2</x:v>
      </x:c>
      <x:c r="H10" s="26" t="str">
        <x:v>Mission Saksham Anganwadi &amp; POSHAN 2.0</x:v>
      </x:c>
      <x:c r="I10" s="32" t="n">
        <x:v>46198</x:v>
      </x:c>
      <x:c r="J10" s="32" t="n">
        <x:v>46381</x:v>
      </x:c>
      <x:c r="K10" s="32"/>
      <x:c r="L10" s="26" t="str">
        <x:v>Active: On/After 01-Aug-2026</x:v>
      </x:c>
      <x:c r="M10" s="26" t="str">
        <x:v>Pending Mapping</x:v>
      </x:c>
      <x:c r="N10" s="26" t="str">
        <x:v>Original project JSON not available</x:v>
      </x:c>
      <x:c r="O10" s="26"/>
      <x:c r="P10" s="26" t="str"/>
      <x:c r="Q10" s="26" t="str"/>
      <x:c r="R10" s="26"/>
      <x:c r="S10" s="36"/>
      <x:c r="T10" s="26"/>
      <x:c r="U10" s="26"/>
      <x:c r="V10" s="26"/>
      <x:c r="W10" s="26" t="n">
        <x:v>6</x:v>
      </x:c>
      <x:c r="X10" s="26" t="n">
        <x:v>0</x:v>
      </x:c>
      <x:c r="Y10" s="26" t="n">
        <x:v>29</x:v>
      </x:c>
      <x:c r="Z10" s="26" t="n">
        <x:v>0</x:v>
      </x:c>
      <x:c r="AA10" s="26" t="n">
        <x:v>29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46219.853159722225</x:v>
      </x:c>
      <x:c r="AG10" s="34"/>
      <x:c r="AH10" s="26" t="str">
        <x:v>Contribution API fields only; original project JSON needed for line-item names/centres/category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63</x:v>
      </x:c>
      <x:c r="B11" s="26" t="n">
        <x:v>230</x:v>
      </x:c>
      <x:c r="C11" s="26" t="str">
        <x:v>Medak</x:v>
      </x:c>
      <x:c r="D11" s="26" t="str">
        <x:v>Telangana</x:v>
      </x:c>
      <x:c r="E11" s="26" t="n">
        <x:v>114017</x:v>
      </x:c>
      <x:c r="F11" s="26" t="str">
        <x:v>PRJ-2026-0114017</x:v>
      </x:c>
      <x:c r="G11" s="26" t="str">
        <x:v>AWC Upgradation of Cheriapally</x:v>
      </x:c>
      <x:c r="H11" s="26" t="str">
        <x:v>Mission Saksham Anganwadi &amp; POSHAN 2.0</x:v>
      </x:c>
      <x:c r="I11" s="32" t="n">
        <x:v>46198</x:v>
      </x:c>
      <x:c r="J11" s="32" t="n">
        <x:v>46381</x:v>
      </x:c>
      <x:c r="K11" s="32"/>
      <x:c r="L11" s="26" t="str">
        <x:v>Active: On/After 01-Aug-2026</x:v>
      </x:c>
      <x:c r="M11" s="26" t="str">
        <x:v>Pending Mapping</x:v>
      </x:c>
      <x:c r="N11" s="26" t="str">
        <x:v>Original project JSON not available</x:v>
      </x:c>
      <x:c r="O11" s="26"/>
      <x:c r="P11" s="26" t="str"/>
      <x:c r="Q11" s="26" t="str"/>
      <x:c r="R11" s="26"/>
      <x:c r="S11" s="36"/>
      <x:c r="T11" s="26"/>
      <x:c r="U11" s="26"/>
      <x:c r="V11" s="26"/>
      <x:c r="W11" s="26" t="n">
        <x:v>6</x:v>
      </x:c>
      <x:c r="X11" s="26" t="n">
        <x:v>0</x:v>
      </x:c>
      <x:c r="Y11" s="26" t="n">
        <x:v>27</x:v>
      </x:c>
      <x:c r="Z11" s="26" t="n">
        <x:v>0</x:v>
      </x:c>
      <x:c r="AA11" s="26" t="n">
        <x:v>27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46219.853159722225</x:v>
      </x:c>
      <x:c r="AG11" s="34"/>
      <x:c r="AH11" s="26" t="str">
        <x:v>Contribution API fields only; original project JSON needed for line-item names/centres/category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64</x:v>
      </x:c>
      <x:c r="B12" s="26" t="n">
        <x:v>227</x:v>
      </x:c>
      <x:c r="C12" s="26" t="str">
        <x:v>Medak</x:v>
      </x:c>
      <x:c r="D12" s="26" t="str">
        <x:v>Telangana</x:v>
      </x:c>
      <x:c r="E12" s="26" t="n">
        <x:v>114202</x:v>
      </x:c>
      <x:c r="F12" s="26" t="str">
        <x:v>PRJ-2026-0114202</x:v>
      </x:c>
      <x:c r="G12" s="26" t="str">
        <x:v>AWC Upgradation of Manepally</x:v>
      </x:c>
      <x:c r="H12" s="26" t="str">
        <x:v>Mission Saksham Anganwadi &amp; POSHAN 2.0</x:v>
      </x:c>
      <x:c r="I12" s="32" t="n">
        <x:v>46198</x:v>
      </x:c>
      <x:c r="J12" s="32" t="n">
        <x:v>46381</x:v>
      </x:c>
      <x:c r="K12" s="32"/>
      <x:c r="L12" s="26" t="str">
        <x:v>Active: On/After 01-Aug-2026</x:v>
      </x:c>
      <x:c r="M12" s="26" t="str">
        <x:v>Pending Mapping</x:v>
      </x:c>
      <x:c r="N12" s="26" t="str">
        <x:v>Original project JSON not available</x:v>
      </x:c>
      <x:c r="O12" s="26"/>
      <x:c r="P12" s="26" t="str"/>
      <x:c r="Q12" s="26" t="str"/>
      <x:c r="R12" s="26"/>
      <x:c r="S12" s="36"/>
      <x:c r="T12" s="26"/>
      <x:c r="U12" s="26"/>
      <x:c r="V12" s="26"/>
      <x:c r="W12" s="26" t="n">
        <x:v>4</x:v>
      </x:c>
      <x:c r="X12" s="26" t="n">
        <x:v>0</x:v>
      </x:c>
      <x:c r="Y12" s="26" t="n">
        <x:v>28</x:v>
      </x:c>
      <x:c r="Z12" s="26" t="n">
        <x:v>0</x:v>
      </x:c>
      <x:c r="AA12" s="26" t="n">
        <x:v>28</x:v>
      </x:c>
      <x:c r="AB12" s="38" t="n"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46219.85314814815</x:v>
      </x:c>
      <x:c r="AG12" s="34"/>
      <x:c r="AH12" s="26" t="str">
        <x:v>Contribution API fields only; original project JSON needed for line-item names/centres/category</x:v>
      </x:c>
      <x:c r="AI12" s="26" t="str"/>
      <x:c r="AJ12" s="26" t="str">
        <x:v>Not Started</x:v>
      </x:c>
      <x:c r="AK12" s="26" t="str"/>
      <x:c r="AL12" s="26" t="str"/>
    </x:row>
    <x:row r="13">
      <x:c r="A13" s="26" t="n">
        <x:v>65</x:v>
      </x:c>
      <x:c r="B13" s="26" t="n">
        <x:v>228</x:v>
      </x:c>
      <x:c r="C13" s="26" t="str">
        <x:v>Medak</x:v>
      </x:c>
      <x:c r="D13" s="26" t="str">
        <x:v>Telangana</x:v>
      </x:c>
      <x:c r="E13" s="26" t="n">
        <x:v>114248</x:v>
      </x:c>
      <x:c r="F13" s="26" t="str">
        <x:v>PRJ-2026-0114248</x:v>
      </x:c>
      <x:c r="G13" s="26" t="str">
        <x:v>AWC Upgradation of Mangalparthy</x:v>
      </x:c>
      <x:c r="H13" s="26" t="str">
        <x:v>Mission Saksham Anganwadi &amp; POSHAN 2.0</x:v>
      </x:c>
      <x:c r="I13" s="32" t="n">
        <x:v>46198</x:v>
      </x:c>
      <x:c r="J13" s="32" t="n">
        <x:v>46381</x:v>
      </x:c>
      <x:c r="K13" s="32"/>
      <x:c r="L13" s="26" t="str">
        <x:v>Active: On/After 01-Aug-2026</x:v>
      </x:c>
      <x:c r="M13" s="26" t="str">
        <x:v>Pending Mapping</x:v>
      </x:c>
      <x:c r="N13" s="26" t="str">
        <x:v>Original project JSON not available</x:v>
      </x:c>
      <x:c r="O13" s="26"/>
      <x:c r="P13" s="26" t="str"/>
      <x:c r="Q13" s="26" t="str"/>
      <x:c r="R13" s="26"/>
      <x:c r="S13" s="36"/>
      <x:c r="T13" s="26"/>
      <x:c r="U13" s="26"/>
      <x:c r="V13" s="26"/>
      <x:c r="W13" s="26" t="n">
        <x:v>4</x:v>
      </x:c>
      <x:c r="X13" s="26" t="n">
        <x:v>0</x:v>
      </x:c>
      <x:c r="Y13" s="26" t="n">
        <x:v>28</x:v>
      </x:c>
      <x:c r="Z13" s="26" t="n">
        <x:v>0</x:v>
      </x:c>
      <x:c r="AA13" s="26" t="n">
        <x:v>28</x:v>
      </x:c>
      <x:c r="AB13" s="38" t="n">
        <x:v>0</x:v>
      </x:c>
      <x:c r="AC13" s="26" t="str">
        <x:v>Committed / Not Delivered</x:v>
      </x:c>
      <x:c r="AD13" s="26" t="str">
        <x:v>Approval not recorded in response</x:v>
      </x:c>
      <x:c r="AE13" s="27" t="b">
        <x:v>1</x:v>
      </x:c>
      <x:c r="AF13" s="34" t="n">
        <x:v>46219.85314814815</x:v>
      </x:c>
      <x:c r="AG13" s="34"/>
      <x:c r="AH13" s="26" t="str">
        <x:v>Contribution API fields only; original project JSON needed for line-item names/centres/category</x:v>
      </x:c>
      <x:c r="AI13" s="26" t="str"/>
      <x:c r="AJ13" s="26" t="str">
        <x:v>Not Started</x:v>
      </x:c>
      <x:c r="AK13" s="26" t="str"/>
      <x:c r="AL13" s="26" t="str"/>
    </x:row>
    <x:row r="14">
      <x:c r="A14" s="26" t="n">
        <x:v>66</x:v>
      </x:c>
      <x:c r="B14" s="26" t="n">
        <x:v>225</x:v>
      </x:c>
      <x:c r="C14" s="26" t="str">
        <x:v>Medak</x:v>
      </x:c>
      <x:c r="D14" s="26" t="str">
        <x:v>Telangana</x:v>
      </x:c>
      <x:c r="E14" s="26" t="n">
        <x:v>114320</x:v>
      </x:c>
      <x:c r="F14" s="26" t="str">
        <x:v>PRJ-2026-0114320</x:v>
      </x:c>
      <x:c r="G14" s="26" t="str">
        <x:v>AWC Upgradation of Mangalparthy III</x:v>
      </x:c>
      <x:c r="H14" s="26" t="str">
        <x:v>Mission Saksham Anganwadi &amp; POSHAN 2.0</x:v>
      </x:c>
      <x:c r="I14" s="32" t="n">
        <x:v>46198</x:v>
      </x:c>
      <x:c r="J14" s="32" t="n">
        <x:v>46381</x:v>
      </x:c>
      <x:c r="K14" s="32"/>
      <x:c r="L14" s="26" t="str">
        <x:v>Active: On/After 01-Aug-2026</x:v>
      </x:c>
      <x:c r="M14" s="26" t="str">
        <x:v>Pending Mapping</x:v>
      </x:c>
      <x:c r="N14" s="26" t="str">
        <x:v>Original project JSON not available</x:v>
      </x:c>
      <x:c r="O14" s="26"/>
      <x:c r="P14" s="26" t="str"/>
      <x:c r="Q14" s="26" t="str"/>
      <x:c r="R14" s="26"/>
      <x:c r="S14" s="36"/>
      <x:c r="T14" s="26"/>
      <x:c r="U14" s="26"/>
      <x:c r="V14" s="26"/>
      <x:c r="W14" s="26" t="n">
        <x:v>6</x:v>
      </x:c>
      <x:c r="X14" s="26" t="n">
        <x:v>0</x:v>
      </x:c>
      <x:c r="Y14" s="26" t="n">
        <x:v>30</x:v>
      </x:c>
      <x:c r="Z14" s="26" t="n">
        <x:v>0</x:v>
      </x:c>
      <x:c r="AA14" s="26" t="n">
        <x:v>30</x:v>
      </x:c>
      <x:c r="AB14" s="38" t="n">
        <x:v>0</x:v>
      </x:c>
      <x:c r="AC14" s="26" t="str">
        <x:v>Committed / Not Delivered</x:v>
      </x:c>
      <x:c r="AD14" s="26" t="str">
        <x:v>Approval not recorded in response</x:v>
      </x:c>
      <x:c r="AE14" s="27" t="b">
        <x:v>1</x:v>
      </x:c>
      <x:c r="AF14" s="34" t="n">
        <x:v>46219.85313657407</x:v>
      </x:c>
      <x:c r="AG14" s="34"/>
      <x:c r="AH14" s="26" t="str">
        <x:v>Contribution API fields only; original project JSON needed for line-item names/centres/category</x:v>
      </x:c>
      <x:c r="AI14" s="26" t="str"/>
      <x:c r="AJ14" s="26" t="str">
        <x:v>Not Started</x:v>
      </x:c>
      <x:c r="AK14" s="26" t="str"/>
      <x:c r="AL14" s="26" t="str"/>
    </x:row>
    <x:row r="15">
      <x:c r="A15" s="26" t="n">
        <x:v>67</x:v>
      </x:c>
      <x:c r="B15" s="26" t="n">
        <x:v>226</x:v>
      </x:c>
      <x:c r="C15" s="26" t="str">
        <x:v>Medak</x:v>
      </x:c>
      <x:c r="D15" s="26" t="str">
        <x:v>Telangana</x:v>
      </x:c>
      <x:c r="E15" s="26" t="n">
        <x:v>114350</x:v>
      </x:c>
      <x:c r="F15" s="26" t="str">
        <x:v>PRJ-2026-0114350</x:v>
      </x:c>
      <x:c r="G15" s="26" t="str">
        <x:v>AWC Upgradation of Mangalparthy Thanda</x:v>
      </x:c>
      <x:c r="H15" s="26" t="str">
        <x:v>Mission Saksham Anganwadi &amp; POSHAN 2.0</x:v>
      </x:c>
      <x:c r="I15" s="32" t="n">
        <x:v>46198</x:v>
      </x:c>
      <x:c r="J15" s="32" t="n">
        <x:v>46381</x:v>
      </x:c>
      <x:c r="K15" s="32"/>
      <x:c r="L15" s="26" t="str">
        <x:v>Active: On/After 01-Aug-2026</x:v>
      </x:c>
      <x:c r="M15" s="26" t="str">
        <x:v>Pending Mapping</x:v>
      </x:c>
      <x:c r="N15" s="26" t="str">
        <x:v>Original project JSON not available</x:v>
      </x:c>
      <x:c r="O15" s="26"/>
      <x:c r="P15" s="26" t="str"/>
      <x:c r="Q15" s="26" t="str"/>
      <x:c r="R15" s="26"/>
      <x:c r="S15" s="36"/>
      <x:c r="T15" s="26"/>
      <x:c r="U15" s="26"/>
      <x:c r="V15" s="26"/>
      <x:c r="W15" s="26" t="n">
        <x:v>5</x:v>
      </x:c>
      <x:c r="X15" s="26" t="n">
        <x:v>0</x:v>
      </x:c>
      <x:c r="Y15" s="26" t="n">
        <x:v>29</x:v>
      </x:c>
      <x:c r="Z15" s="26" t="n">
        <x:v>0</x:v>
      </x:c>
      <x:c r="AA15" s="26" t="n">
        <x:v>29</x:v>
      </x:c>
      <x:c r="AB15" s="38" t="n">
        <x:v>0</x:v>
      </x:c>
      <x:c r="AC15" s="26" t="str">
        <x:v>Committed / Not Delivered</x:v>
      </x:c>
      <x:c r="AD15" s="26" t="str">
        <x:v>Approval not recorded in response</x:v>
      </x:c>
      <x:c r="AE15" s="27" t="b">
        <x:v>1</x:v>
      </x:c>
      <x:c r="AF15" s="34" t="n">
        <x:v>46219.85313657407</x:v>
      </x:c>
      <x:c r="AG15" s="34"/>
      <x:c r="AH15" s="26" t="str">
        <x:v>Contribution API fields only; original project JSON needed for line-item names/centres/category</x:v>
      </x:c>
      <x:c r="AI15" s="26" t="str"/>
      <x:c r="AJ15" s="26" t="str">
        <x:v>Not Started</x:v>
      </x:c>
      <x:c r="AK15" s="26" t="str"/>
      <x:c r="AL15" s="26" t="str"/>
    </x:row>
    <x:row r="16">
      <x:c r="A16" s="26" t="n">
        <x:v>68</x:v>
      </x:c>
      <x:c r="B16" s="26" t="n">
        <x:v>223</x:v>
      </x:c>
      <x:c r="C16" s="26" t="str">
        <x:v>Medak</x:v>
      </x:c>
      <x:c r="D16" s="26" t="str">
        <x:v>Telangana</x:v>
      </x:c>
      <x:c r="E16" s="26" t="n">
        <x:v>114444</x:v>
      </x:c>
      <x:c r="F16" s="26" t="str">
        <x:v>PRJ-2026-0114444</x:v>
      </x:c>
      <x:c r="G16" s="26" t="str">
        <x:v>AWC Upgradation Of Veldurthy-III</x:v>
      </x:c>
      <x:c r="H16" s="26" t="str">
        <x:v>Mission Saksham Anganwadi &amp; POSHAN 2.0</x:v>
      </x:c>
      <x:c r="I16" s="32" t="n">
        <x:v>46198</x:v>
      </x:c>
      <x:c r="J16" s="32" t="n">
        <x:v>46381</x:v>
      </x:c>
      <x:c r="K16" s="32"/>
      <x:c r="L16" s="26" t="str">
        <x:v>Active: On/After 01-Aug-2026</x:v>
      </x:c>
      <x:c r="M16" s="26" t="str">
        <x:v>Pending Mapping</x:v>
      </x:c>
      <x:c r="N16" s="26" t="str">
        <x:v>Original project JSON not available</x:v>
      </x:c>
      <x:c r="O16" s="26"/>
      <x:c r="P16" s="26" t="str"/>
      <x:c r="Q16" s="26" t="str"/>
      <x:c r="R16" s="26"/>
      <x:c r="S16" s="36"/>
      <x:c r="T16" s="26"/>
      <x:c r="U16" s="26"/>
      <x:c r="V16" s="26"/>
      <x:c r="W16" s="26" t="n">
        <x:v>4</x:v>
      </x:c>
      <x:c r="X16" s="26" t="n">
        <x:v>0</x:v>
      </x:c>
      <x:c r="Y16" s="26" t="n">
        <x:v>28</x:v>
      </x:c>
      <x:c r="Z16" s="26" t="n">
        <x:v>0</x:v>
      </x:c>
      <x:c r="AA16" s="26" t="n">
        <x:v>28</x:v>
      </x:c>
      <x:c r="AB16" s="38" t="n">
        <x:v>0</x:v>
      </x:c>
      <x:c r="AC16" s="26" t="str">
        <x:v>Committed / Not Delivered</x:v>
      </x:c>
      <x:c r="AD16" s="26" t="str">
        <x:v>Approval not recorded in response</x:v>
      </x:c>
      <x:c r="AE16" s="27" t="b">
        <x:v>1</x:v>
      </x:c>
      <x:c r="AF16" s="34" t="n">
        <x:v>46219.853125</x:v>
      </x:c>
      <x:c r="AG16" s="34"/>
      <x:c r="AH16" s="26" t="str">
        <x:v>Contribution API fields only; original project JSON needed for line-item names/centres/category</x:v>
      </x:c>
      <x:c r="AI16" s="26" t="str"/>
      <x:c r="AJ16" s="26" t="str">
        <x:v>Not Started</x:v>
      </x:c>
      <x:c r="AK16" s="26" t="str"/>
      <x:c r="AL16" s="26" t="str"/>
    </x:row>
    <x:row r="17">
      <x:c r="A17" s="26" t="n">
        <x:v>69</x:v>
      </x:c>
      <x:c r="B17" s="26" t="n">
        <x:v>224</x:v>
      </x:c>
      <x:c r="C17" s="26" t="str">
        <x:v>Medak</x:v>
      </x:c>
      <x:c r="D17" s="26" t="str">
        <x:v>Telangana</x:v>
      </x:c>
      <x:c r="E17" s="26" t="n">
        <x:v>114473</x:v>
      </x:c>
      <x:c r="F17" s="26" t="str">
        <x:v>PRJ-2026-0114473</x:v>
      </x:c>
      <x:c r="G17" s="26" t="str">
        <x:v>AWC Upgradation of Veldurthy-V</x:v>
      </x:c>
      <x:c r="H17" s="26" t="str">
        <x:v>Mission Saksham Anganwadi &amp; POSHAN 2.0</x:v>
      </x:c>
      <x:c r="I17" s="32" t="n">
        <x:v>46198</x:v>
      </x:c>
      <x:c r="J17" s="32" t="n">
        <x:v>46381</x:v>
      </x:c>
      <x:c r="K17" s="32"/>
      <x:c r="L17" s="26" t="str">
        <x:v>Active: On/After 01-Aug-2026</x:v>
      </x:c>
      <x:c r="M17" s="26" t="str">
        <x:v>Pending Mapping</x:v>
      </x:c>
      <x:c r="N17" s="26" t="str">
        <x:v>Original project JSON not available</x:v>
      </x:c>
      <x:c r="O17" s="26"/>
      <x:c r="P17" s="26" t="str"/>
      <x:c r="Q17" s="26" t="str"/>
      <x:c r="R17" s="26"/>
      <x:c r="S17" s="36"/>
      <x:c r="T17" s="26"/>
      <x:c r="U17" s="26"/>
      <x:c r="V17" s="26"/>
      <x:c r="W17" s="26" t="n">
        <x:v>4</x:v>
      </x:c>
      <x:c r="X17" s="26" t="n">
        <x:v>0</x:v>
      </x:c>
      <x:c r="Y17" s="26" t="n">
        <x:v>28</x:v>
      </x:c>
      <x:c r="Z17" s="26" t="n">
        <x:v>0</x:v>
      </x:c>
      <x:c r="AA17" s="26" t="n">
        <x:v>28</x:v>
      </x:c>
      <x:c r="AB17" s="38" t="n">
        <x:v>0</x:v>
      </x:c>
      <x:c r="AC17" s="26" t="str">
        <x:v>Committed / Not Delivered</x:v>
      </x:c>
      <x:c r="AD17" s="26" t="str">
        <x:v>Approval not recorded in response</x:v>
      </x:c>
      <x:c r="AE17" s="27" t="b">
        <x:v>1</x:v>
      </x:c>
      <x:c r="AF17" s="34" t="n">
        <x:v>46219.853125</x:v>
      </x:c>
      <x:c r="AG17" s="34"/>
      <x:c r="AH17" s="26" t="str">
        <x:v>Contribution API fields only; original project JSON needed for line-item names/centres/category</x:v>
      </x:c>
      <x:c r="AI17" s="26" t="str"/>
      <x:c r="AJ17" s="26" t="str">
        <x:v>Not Started</x:v>
      </x:c>
      <x:c r="AK17" s="26" t="str"/>
      <x:c r="AL17" s="26" t="str"/>
    </x:row>
    <x:row r="18">
      <x:c r="A18" s="26" t="n">
        <x:v>70</x:v>
      </x:c>
      <x:c r="B18" s="26" t="n">
        <x:v>221</x:v>
      </x:c>
      <x:c r="C18" s="26" t="str">
        <x:v>Medak</x:v>
      </x:c>
      <x:c r="D18" s="26" t="str">
        <x:v>Telangana</x:v>
      </x:c>
      <x:c r="E18" s="26" t="n">
        <x:v>114696</x:v>
      </x:c>
      <x:c r="F18" s="26" t="str">
        <x:v>PRJ-2026-0114696</x:v>
      </x:c>
      <x:c r="G18" s="26" t="str">
        <x:v>Upgradation of awc</x:v>
      </x:c>
      <x:c r="H18" s="26" t="str">
        <x:v>Mission Saksham Anganwadi &amp; POSHAN 2.0</x:v>
      </x:c>
      <x:c r="I18" s="32" t="n">
        <x:v>46198</x:v>
      </x:c>
      <x:c r="J18" s="32" t="n">
        <x:v>46381</x:v>
      </x:c>
      <x:c r="K18" s="32"/>
      <x:c r="L18" s="26" t="str">
        <x:v>Active: On/After 01-Aug-2026</x:v>
      </x:c>
      <x:c r="M18" s="26" t="str">
        <x:v>Pending Mapping</x:v>
      </x:c>
      <x:c r="N18" s="26" t="str">
        <x:v>Original project JSON not available</x:v>
      </x:c>
      <x:c r="O18" s="26"/>
      <x:c r="P18" s="26" t="str"/>
      <x:c r="Q18" s="26" t="str"/>
      <x:c r="R18" s="26"/>
      <x:c r="S18" s="36"/>
      <x:c r="T18" s="26"/>
      <x:c r="U18" s="26"/>
      <x:c r="V18" s="26"/>
      <x:c r="W18" s="26" t="n">
        <x:v>1</x:v>
      </x:c>
      <x:c r="X18" s="26" t="n">
        <x:v>0</x:v>
      </x:c>
      <x:c r="Y18" s="26" t="n">
        <x:v>4</x:v>
      </x:c>
      <x:c r="Z18" s="26" t="n">
        <x:v>0</x:v>
      </x:c>
      <x:c r="AA18" s="26" t="n">
        <x:v>4</x:v>
      </x:c>
      <x:c r="AB18" s="38" t="n">
        <x:v>0</x:v>
      </x:c>
      <x:c r="AC18" s="26" t="str">
        <x:v>Committed / Not Delivered</x:v>
      </x:c>
      <x:c r="AD18" s="26" t="str">
        <x:v>Approval not recorded in response</x:v>
      </x:c>
      <x:c r="AE18" s="27" t="b">
        <x:v>1</x:v>
      </x:c>
      <x:c r="AF18" s="34" t="n">
        <x:v>46219.853113425925</x:v>
      </x:c>
      <x:c r="AG18" s="34"/>
      <x:c r="AH18" s="26" t="str">
        <x:v>Contribution API fields only; original project JSON needed for line-item names/centres/category</x:v>
      </x:c>
      <x:c r="AI18" s="26" t="str"/>
      <x:c r="AJ18" s="26" t="str">
        <x:v>Not Started</x:v>
      </x:c>
      <x:c r="AK18" s="26" t="str"/>
      <x:c r="AL18" s="26" t="str"/>
    </x:row>
    <x:row r="19">
      <x:c r="A19" s="26" t="n">
        <x:v>71</x:v>
      </x:c>
      <x:c r="B19" s="26" t="n">
        <x:v>222</x:v>
      </x:c>
      <x:c r="C19" s="26" t="str">
        <x:v>Medak</x:v>
      </x:c>
      <x:c r="D19" s="26" t="str">
        <x:v>Telangana</x:v>
      </x:c>
      <x:c r="E19" s="26" t="n">
        <x:v>114584</x:v>
      </x:c>
      <x:c r="F19" s="26" t="str">
        <x:v>PRJ-2026-0114584</x:v>
      </x:c>
      <x:c r="G19" s="26" t="str">
        <x:v>AWC Upgradradation of Yashwanthraopet II</x:v>
      </x:c>
      <x:c r="H19" s="26" t="str">
        <x:v>Mission Saksham Anganwadi &amp; POSHAN 2.0</x:v>
      </x:c>
      <x:c r="I19" s="32" t="n">
        <x:v>46198</x:v>
      </x:c>
      <x:c r="J19" s="32" t="n">
        <x:v>46381</x:v>
      </x:c>
      <x:c r="K19" s="32"/>
      <x:c r="L19" s="26" t="str">
        <x:v>Active: On/After 01-Aug-2026</x:v>
      </x:c>
      <x:c r="M19" s="26" t="str">
        <x:v>Pending Mapping</x:v>
      </x:c>
      <x:c r="N19" s="26" t="str">
        <x:v>Original project JSON not available</x:v>
      </x:c>
      <x:c r="O19" s="26"/>
      <x:c r="P19" s="26" t="str"/>
      <x:c r="Q19" s="26" t="str"/>
      <x:c r="R19" s="26"/>
      <x:c r="S19" s="36"/>
      <x:c r="T19" s="26"/>
      <x:c r="U19" s="26"/>
      <x:c r="V19" s="26"/>
      <x:c r="W19" s="26" t="n">
        <x:v>5</x:v>
      </x:c>
      <x:c r="X19" s="26" t="n">
        <x:v>0</x:v>
      </x:c>
      <x:c r="Y19" s="26" t="n">
        <x:v>36</x:v>
      </x:c>
      <x:c r="Z19" s="26" t="n">
        <x:v>0</x:v>
      </x:c>
      <x:c r="AA19" s="26" t="n">
        <x:v>36</x:v>
      </x:c>
      <x:c r="AB19" s="38" t="n">
        <x:v>0</x:v>
      </x:c>
      <x:c r="AC19" s="26" t="str">
        <x:v>Committed / Not Delivered</x:v>
      </x:c>
      <x:c r="AD19" s="26" t="str">
        <x:v>Approval not recorded in response</x:v>
      </x:c>
      <x:c r="AE19" s="27" t="b">
        <x:v>1</x:v>
      </x:c>
      <x:c r="AF19" s="34" t="n">
        <x:v>46219.853113425925</x:v>
      </x:c>
      <x:c r="AG19" s="34"/>
      <x:c r="AH19" s="26" t="str">
        <x:v>Contribution API fields only; original project JSON needed for line-item names/centres/category</x:v>
      </x:c>
      <x:c r="AI19" s="26" t="str"/>
      <x:c r="AJ19" s="26" t="str">
        <x:v>Not Started</x:v>
      </x:c>
      <x:c r="AK19" s="26" t="str"/>
      <x:c r="AL19" s="26" t="str"/>
    </x:row>
    <x:row r="20">
      <x:c r="A20" s="26" t="n">
        <x:v>72</x:v>
      </x:c>
      <x:c r="B20" s="26" t="n">
        <x:v>220</x:v>
      </x:c>
      <x:c r="C20" s="26" t="str">
        <x:v>Medak</x:v>
      </x:c>
      <x:c r="D20" s="26" t="str">
        <x:v>Telangana</x:v>
      </x:c>
      <x:c r="E20" s="26" t="n">
        <x:v>114728</x:v>
      </x:c>
      <x:c r="F20" s="26" t="str">
        <x:v>PRJ-2026-0114728</x:v>
      </x:c>
      <x:c r="G20" s="26" t="str">
        <x:v>Upgradation of awc</x:v>
      </x:c>
      <x:c r="H20" s="26" t="str">
        <x:v>Mission Saksham Anganwadi &amp; POSHAN 2.0</x:v>
      </x:c>
      <x:c r="I20" s="32" t="n">
        <x:v>46198</x:v>
      </x:c>
      <x:c r="J20" s="32" t="n">
        <x:v>46385</x:v>
      </x:c>
      <x:c r="K20" s="32"/>
      <x:c r="L20" s="26" t="str">
        <x:v>Active: On/After 01-Aug-2026</x:v>
      </x:c>
      <x:c r="M20" s="26" t="str">
        <x:v>Pending Mapping</x:v>
      </x:c>
      <x:c r="N20" s="26" t="str">
        <x:v>Original project JSON not available</x:v>
      </x:c>
      <x:c r="O20" s="26"/>
      <x:c r="P20" s="26" t="str"/>
      <x:c r="Q20" s="26" t="str"/>
      <x:c r="R20" s="26"/>
      <x:c r="S20" s="36"/>
      <x:c r="T20" s="26"/>
      <x:c r="U20" s="26"/>
      <x:c r="V20" s="26"/>
      <x:c r="W20" s="26" t="n">
        <x:v>1</x:v>
      </x:c>
      <x:c r="X20" s="26" t="n">
        <x:v>0</x:v>
      </x:c>
      <x:c r="Y20" s="26" t="n">
        <x:v>2</x:v>
      </x:c>
      <x:c r="Z20" s="26" t="n">
        <x:v>0</x:v>
      </x:c>
      <x:c r="AA20" s="26" t="n">
        <x:v>2</x:v>
      </x:c>
      <x:c r="AB20" s="38" t="n">
        <x:v>0</x:v>
      </x:c>
      <x:c r="AC20" s="26" t="str">
        <x:v>Committed / Not Delivered</x:v>
      </x:c>
      <x:c r="AD20" s="26" t="str">
        <x:v>Approval not recorded in response</x:v>
      </x:c>
      <x:c r="AE20" s="27" t="b">
        <x:v>1</x:v>
      </x:c>
      <x:c r="AF20" s="34" t="n">
        <x:v>46219.853101851855</x:v>
      </x:c>
      <x:c r="AG20" s="34"/>
      <x:c r="AH20" s="26" t="str">
        <x:v>Contribution API fields only; original project JSON needed for line-item names/centres/category</x:v>
      </x:c>
      <x:c r="AI20" s="26" t="str"/>
      <x:c r="AJ20" s="26" t="str">
        <x:v>Not Started</x:v>
      </x:c>
      <x:c r="AK20" s="26" t="str"/>
      <x:c r="AL20" s="26" t="str"/>
    </x:row>
    <x:row r="21">
      <x:c r="A21" s="26" t="n">
        <x:v>73</x:v>
      </x:c>
      <x:c r="B21" s="26" t="n">
        <x:v>218</x:v>
      </x:c>
      <x:c r="C21" s="26" t="str">
        <x:v>Medak</x:v>
      </x:c>
      <x:c r="D21" s="26" t="str">
        <x:v>Telangana</x:v>
      </x:c>
      <x:c r="E21" s="26" t="n">
        <x:v>123083</x:v>
      </x:c>
      <x:c r="F21" s="26" t="str">
        <x:v>PRJ-2026-0123083</x:v>
      </x:c>
      <x:c r="G21" s="26" t="str">
        <x:v>Upgradation of awc</x:v>
      </x:c>
      <x:c r="H21" s="26" t="str">
        <x:v>Mission Saksham Anganwadi &amp; POSHAN 2.0</x:v>
      </x:c>
      <x:c r="I21" s="32" t="n">
        <x:v>46202</x:v>
      </x:c>
      <x:c r="J21" s="32" t="n">
        <x:v>46385</x:v>
      </x:c>
      <x:c r="K21" s="32"/>
      <x:c r="L21" s="26" t="str">
        <x:v>Active: On/After 01-Aug-2026</x:v>
      </x:c>
      <x:c r="M21" s="26" t="str">
        <x:v>Pending Mapping</x:v>
      </x:c>
      <x:c r="N21" s="26" t="str">
        <x:v>Original project JSON not available</x:v>
      </x:c>
      <x:c r="O21" s="26"/>
      <x:c r="P21" s="26" t="str"/>
      <x:c r="Q21" s="26" t="str"/>
      <x:c r="R21" s="26"/>
      <x:c r="S21" s="36"/>
      <x:c r="T21" s="26"/>
      <x:c r="U21" s="26"/>
      <x:c r="V21" s="26"/>
      <x:c r="W21" s="26" t="n">
        <x:v>1</x:v>
      </x:c>
      <x:c r="X21" s="26" t="n">
        <x:v>0</x:v>
      </x:c>
      <x:c r="Y21" s="26" t="n">
        <x:v>4</x:v>
      </x:c>
      <x:c r="Z21" s="26" t="n">
        <x:v>0</x:v>
      </x:c>
      <x:c r="AA21" s="26" t="n">
        <x:v>4</x:v>
      </x:c>
      <x:c r="AB21" s="38" t="n">
        <x:v>0</x:v>
      </x:c>
      <x:c r="AC21" s="26" t="str">
        <x:v>Committed / Not Delivered</x:v>
      </x:c>
      <x:c r="AD21" s="26" t="str">
        <x:v>Approval not recorded in response</x:v>
      </x:c>
      <x:c r="AE21" s="27" t="b">
        <x:v>1</x:v>
      </x:c>
      <x:c r="AF21" s="34" t="n">
        <x:v>46219.85309027778</x:v>
      </x:c>
      <x:c r="AG21" s="34"/>
      <x:c r="AH21" s="26" t="str">
        <x:v>Contribution API fields only; original project JSON needed for line-item names/centres/category</x:v>
      </x:c>
      <x:c r="AI21" s="26" t="str"/>
      <x:c r="AJ21" s="26" t="str">
        <x:v>Not Started</x:v>
      </x:c>
      <x:c r="AK21" s="26" t="str"/>
      <x:c r="AL21" s="26" t="str"/>
    </x:row>
    <x:row r="22">
      <x:c r="A22" s="26" t="n">
        <x:v>74</x:v>
      </x:c>
      <x:c r="B22" s="26" t="n">
        <x:v>219</x:v>
      </x:c>
      <x:c r="C22" s="26" t="str">
        <x:v>Medak</x:v>
      </x:c>
      <x:c r="D22" s="26" t="str">
        <x:v>Telangana</x:v>
      </x:c>
      <x:c r="E22" s="26" t="n">
        <x:v>123075</x:v>
      </x:c>
      <x:c r="F22" s="26" t="str">
        <x:v>PRJ-2026-0123075</x:v>
      </x:c>
      <x:c r="G22" s="26" t="str">
        <x:v>Upgradation of awc</x:v>
      </x:c>
      <x:c r="H22" s="26" t="str">
        <x:v>Mission Saksham Anganwadi &amp; POSHAN 2.0</x:v>
      </x:c>
      <x:c r="I22" s="32" t="n">
        <x:v>46202</x:v>
      </x:c>
      <x:c r="J22" s="32" t="n">
        <x:v>46382</x:v>
      </x:c>
      <x:c r="K22" s="32"/>
      <x:c r="L22" s="26" t="str">
        <x:v>Active: On/After 01-Aug-2026</x:v>
      </x:c>
      <x:c r="M22" s="26" t="str">
        <x:v>Pending Mapping</x:v>
      </x:c>
      <x:c r="N22" s="26" t="str">
        <x:v>Original project JSON not available</x:v>
      </x:c>
      <x:c r="O22" s="26"/>
      <x:c r="P22" s="26" t="str"/>
      <x:c r="Q22" s="26" t="str"/>
      <x:c r="R22" s="26"/>
      <x:c r="S22" s="36"/>
      <x:c r="T22" s="26"/>
      <x:c r="U22" s="26"/>
      <x:c r="V22" s="26"/>
      <x:c r="W22" s="26" t="n">
        <x:v>1</x:v>
      </x:c>
      <x:c r="X22" s="26" t="n">
        <x:v>0</x:v>
      </x:c>
      <x:c r="Y22" s="26" t="n">
        <x:v>4</x:v>
      </x:c>
      <x:c r="Z22" s="26" t="n">
        <x:v>0</x:v>
      </x:c>
      <x:c r="AA22" s="26" t="n">
        <x:v>4</x:v>
      </x:c>
      <x:c r="AB22" s="38" t="n">
        <x:v>0</x:v>
      </x:c>
      <x:c r="AC22" s="26" t="str">
        <x:v>Committed / Not Delivered</x:v>
      </x:c>
      <x:c r="AD22" s="26" t="str">
        <x:v>Approval not recorded in response</x:v>
      </x:c>
      <x:c r="AE22" s="27" t="b">
        <x:v>1</x:v>
      </x:c>
      <x:c r="AF22" s="34" t="n">
        <x:v>46219.85309027778</x:v>
      </x:c>
      <x:c r="AG22" s="34"/>
      <x:c r="AH22" s="26" t="str">
        <x:v>Contribution API fields only; original project JSON needed for line-item names/centres/category</x:v>
      </x:c>
      <x:c r="AI22" s="26" t="str"/>
      <x:c r="AJ22" s="26" t="str">
        <x:v>Not Started</x:v>
      </x:c>
      <x:c r="AK22" s="26" t="str"/>
      <x:c r="AL22" s="26" t="str"/>
    </x:row>
    <x:row r="23">
      <x:c r="A23" s="26" t="n">
        <x:v>75</x:v>
      </x:c>
      <x:c r="B23" s="26" t="n">
        <x:v>217</x:v>
      </x:c>
      <x:c r="C23" s="26" t="str">
        <x:v>Medak</x:v>
      </x:c>
      <x:c r="D23" s="26" t="str">
        <x:v>Telangana</x:v>
      </x:c>
      <x:c r="E23" s="26" t="n">
        <x:v>123089</x:v>
      </x:c>
      <x:c r="F23" s="26" t="str">
        <x:v>PRJ-2026-0123089</x:v>
      </x:c>
      <x:c r="G23" s="26" t="str">
        <x:v>Upgradation of awc</x:v>
      </x:c>
      <x:c r="H23" s="26" t="str">
        <x:v>Mission Saksham Anganwadi &amp; POSHAN 2.0</x:v>
      </x:c>
      <x:c r="I23" s="32" t="n">
        <x:v>46202</x:v>
      </x:c>
      <x:c r="J23" s="32" t="n">
        <x:v>46386</x:v>
      </x:c>
      <x:c r="K23" s="32"/>
      <x:c r="L23" s="26" t="str">
        <x:v>Active: On/After 01-Aug-2026</x:v>
      </x:c>
      <x:c r="M23" s="26" t="str">
        <x:v>Pending Mapping</x:v>
      </x:c>
      <x:c r="N23" s="26" t="str">
        <x:v>Original project JSON not available</x:v>
      </x:c>
      <x:c r="O23" s="26"/>
      <x:c r="P23" s="26" t="str"/>
      <x:c r="Q23" s="26" t="str"/>
      <x:c r="R23" s="26"/>
      <x:c r="S23" s="36"/>
      <x:c r="T23" s="26"/>
      <x:c r="U23" s="26"/>
      <x:c r="V23" s="26"/>
      <x:c r="W23" s="26" t="n">
        <x:v>1</x:v>
      </x:c>
      <x:c r="X23" s="26" t="n">
        <x:v>0</x:v>
      </x:c>
      <x:c r="Y23" s="26" t="n">
        <x:v>7</x:v>
      </x:c>
      <x:c r="Z23" s="26" t="n">
        <x:v>0</x:v>
      </x:c>
      <x:c r="AA23" s="26" t="n">
        <x:v>7</x:v>
      </x:c>
      <x:c r="AB23" s="38" t="n">
        <x:v>0</x:v>
      </x:c>
      <x:c r="AC23" s="26" t="str">
        <x:v>Committed / Not Delivered</x:v>
      </x:c>
      <x:c r="AD23" s="26" t="str">
        <x:v>Approval not recorded in response</x:v>
      </x:c>
      <x:c r="AE23" s="27" t="b">
        <x:v>1</x:v>
      </x:c>
      <x:c r="AF23" s="34" t="n">
        <x:v>46219.8530787037</x:v>
      </x:c>
      <x:c r="AG23" s="34"/>
      <x:c r="AH23" s="26" t="str">
        <x:v>Contribution API fields only; original project JSON needed for line-item names/centres/category</x:v>
      </x:c>
      <x:c r="AI23" s="26" t="str"/>
      <x:c r="AJ23" s="26" t="str">
        <x:v>Not Started</x:v>
      </x:c>
      <x:c r="AK23" s="26" t="str"/>
      <x:c r="AL23" s="26" t="str"/>
    </x:row>
    <x:row r="24">
      <x:c r="A24" s="26" t="n">
        <x:v>76</x:v>
      </x:c>
      <x:c r="B24" s="26" t="n">
        <x:v>215</x:v>
      </x:c>
      <x:c r="C24" s="26" t="str">
        <x:v>Medak</x:v>
      </x:c>
      <x:c r="D24" s="26" t="str">
        <x:v>Telangana</x:v>
      </x:c>
      <x:c r="E24" s="26" t="n">
        <x:v>123887</x:v>
      </x:c>
      <x:c r="F24" s="26" t="str">
        <x:v>PRJ-2026-0123887</x:v>
      </x:c>
      <x:c r="G24" s="26" t="str">
        <x:v>Upgradation of awc</x:v>
      </x:c>
      <x:c r="H24" s="26" t="str">
        <x:v>Mission Saksham Anganwadi &amp; POSHAN 2.0</x:v>
      </x:c>
      <x:c r="I24" s="32" t="n">
        <x:v>46202</x:v>
      </x:c>
      <x:c r="J24" s="32" t="n">
        <x:v>46386</x:v>
      </x:c>
      <x:c r="K24" s="32"/>
      <x:c r="L24" s="26" t="str">
        <x:v>Active: On/After 01-Aug-2026</x:v>
      </x:c>
      <x:c r="M24" s="26" t="str">
        <x:v>Pending Mapping</x:v>
      </x:c>
      <x:c r="N24" s="26" t="str">
        <x:v>Original project JSON not available</x:v>
      </x:c>
      <x:c r="O24" s="26"/>
      <x:c r="P24" s="26" t="str"/>
      <x:c r="Q24" s="26" t="str"/>
      <x:c r="R24" s="26"/>
      <x:c r="S24" s="36"/>
      <x:c r="T24" s="26"/>
      <x:c r="U24" s="26"/>
      <x:c r="V24" s="26"/>
      <x:c r="W24" s="26" t="n">
        <x:v>1</x:v>
      </x:c>
      <x:c r="X24" s="26" t="n">
        <x:v>0</x:v>
      </x:c>
      <x:c r="Y24" s="26" t="n">
        <x:v>5</x:v>
      </x:c>
      <x:c r="Z24" s="26" t="n">
        <x:v>0</x:v>
      </x:c>
      <x:c r="AA24" s="26" t="n">
        <x:v>5</x:v>
      </x:c>
      <x:c r="AB24" s="38" t="n">
        <x:v>0</x:v>
      </x:c>
      <x:c r="AC24" s="26" t="str">
        <x:v>Committed / Not Delivered</x:v>
      </x:c>
      <x:c r="AD24" s="26" t="str">
        <x:v>Approval not recorded in response</x:v>
      </x:c>
      <x:c r="AE24" s="27" t="b">
        <x:v>1</x:v>
      </x:c>
      <x:c r="AF24" s="34" t="n">
        <x:v>46219.85306712963</x:v>
      </x:c>
      <x:c r="AG24" s="34"/>
      <x:c r="AH24" s="26" t="str">
        <x:v>Contribution API fields only; original project JSON needed for line-item names/centres/category</x:v>
      </x:c>
      <x:c r="AI24" s="26" t="str"/>
      <x:c r="AJ24" s="26" t="str">
        <x:v>Not Started</x:v>
      </x:c>
      <x:c r="AK24" s="26" t="str"/>
      <x:c r="AL24" s="26" t="str"/>
    </x:row>
    <x:row r="25">
      <x:c r="A25" s="26" t="n">
        <x:v>77</x:v>
      </x:c>
      <x:c r="B25" s="26" t="n">
        <x:v>216</x:v>
      </x:c>
      <x:c r="C25" s="26" t="str">
        <x:v>Medak</x:v>
      </x:c>
      <x:c r="D25" s="26" t="str">
        <x:v>Telangana</x:v>
      </x:c>
      <x:c r="E25" s="26" t="n">
        <x:v>123865</x:v>
      </x:c>
      <x:c r="F25" s="26" t="str">
        <x:v>PRJ-2026-0123865</x:v>
      </x:c>
      <x:c r="G25" s="26" t="str">
        <x:v>Upgradation of awc</x:v>
      </x:c>
      <x:c r="H25" s="26" t="str">
        <x:v>Mission Saksham Anganwadi &amp; POSHAN 2.0</x:v>
      </x:c>
      <x:c r="I25" s="32" t="n">
        <x:v>46202</x:v>
      </x:c>
      <x:c r="J25" s="32" t="n">
        <x:v>46386</x:v>
      </x:c>
      <x:c r="K25" s="32"/>
      <x:c r="L25" s="26" t="str">
        <x:v>Active: On/After 01-Aug-2026</x:v>
      </x:c>
      <x:c r="M25" s="26" t="str">
        <x:v>Pending Mapping</x:v>
      </x:c>
      <x:c r="N25" s="26" t="str">
        <x:v>Original project JSON not available</x:v>
      </x:c>
      <x:c r="O25" s="26"/>
      <x:c r="P25" s="26" t="str"/>
      <x:c r="Q25" s="26" t="str"/>
      <x:c r="R25" s="26"/>
      <x:c r="S25" s="36"/>
      <x:c r="T25" s="26"/>
      <x:c r="U25" s="26"/>
      <x:c r="V25" s="26"/>
      <x:c r="W25" s="26" t="n">
        <x:v>1</x:v>
      </x:c>
      <x:c r="X25" s="26" t="n">
        <x:v>0</x:v>
      </x:c>
      <x:c r="Y25" s="26" t="n">
        <x:v>4</x:v>
      </x:c>
      <x:c r="Z25" s="26" t="n">
        <x:v>0</x:v>
      </x:c>
      <x:c r="AA25" s="26" t="n">
        <x:v>4</x:v>
      </x:c>
      <x:c r="AB25" s="38" t="n">
        <x:v>0</x:v>
      </x:c>
      <x:c r="AC25" s="26" t="str">
        <x:v>Committed / Not Delivered</x:v>
      </x:c>
      <x:c r="AD25" s="26" t="str">
        <x:v>Approval not recorded in response</x:v>
      </x:c>
      <x:c r="AE25" s="27" t="b">
        <x:v>1</x:v>
      </x:c>
      <x:c r="AF25" s="34" t="n">
        <x:v>46219.85306712963</x:v>
      </x:c>
      <x:c r="AG25" s="34"/>
      <x:c r="AH25" s="26" t="str">
        <x:v>Contribution API fields only; original project JSON needed for line-item names/centres/category</x:v>
      </x:c>
      <x:c r="AI25" s="26" t="str"/>
      <x:c r="AJ25" s="26" t="str">
        <x:v>Not Started</x:v>
      </x:c>
      <x:c r="AK25" s="26" t="str"/>
      <x:c r="AL25" s="26" t="str"/>
    </x:row>
    <x:row r="26">
      <x:c r="A26" s="26" t="n">
        <x:v>78</x:v>
      </x:c>
      <x:c r="B26" s="26" t="n">
        <x:v>214</x:v>
      </x:c>
      <x:c r="C26" s="26" t="str">
        <x:v>Medak</x:v>
      </x:c>
      <x:c r="D26" s="26" t="str">
        <x:v>Telangana</x:v>
      </x:c>
      <x:c r="E26" s="26" t="n">
        <x:v>123912</x:v>
      </x:c>
      <x:c r="F26" s="26" t="str">
        <x:v>PRJ-2026-0123912</x:v>
      </x:c>
      <x:c r="G26" s="26" t="str">
        <x:v>Upgradation of awc</x:v>
      </x:c>
      <x:c r="H26" s="26" t="str">
        <x:v>Mission Saksham Anganwadi &amp; POSHAN 2.0</x:v>
      </x:c>
      <x:c r="I26" s="32" t="n">
        <x:v>46202</x:v>
      </x:c>
      <x:c r="J26" s="32" t="n">
        <x:v>46384</x:v>
      </x:c>
      <x:c r="K26" s="32"/>
      <x:c r="L26" s="26" t="str">
        <x:v>Active: On/After 01-Aug-2026</x:v>
      </x:c>
      <x:c r="M26" s="26" t="str">
        <x:v>Pending Mapping</x:v>
      </x:c>
      <x:c r="N26" s="26" t="str">
        <x:v>Original project JSON not available</x:v>
      </x:c>
      <x:c r="O26" s="26"/>
      <x:c r="P26" s="26" t="str"/>
      <x:c r="Q26" s="26" t="str"/>
      <x:c r="R26" s="26"/>
      <x:c r="S26" s="36"/>
      <x:c r="T26" s="26"/>
      <x:c r="U26" s="26"/>
      <x:c r="V26" s="26"/>
      <x:c r="W26" s="26" t="n">
        <x:v>1</x:v>
      </x:c>
      <x:c r="X26" s="26" t="n">
        <x:v>0</x:v>
      </x:c>
      <x:c r="Y26" s="26" t="n">
        <x:v>5</x:v>
      </x:c>
      <x:c r="Z26" s="26" t="n">
        <x:v>0</x:v>
      </x:c>
      <x:c r="AA26" s="26" t="n">
        <x:v>5</x:v>
      </x:c>
      <x:c r="AB26" s="38" t="n">
        <x:v>0</x:v>
      </x:c>
      <x:c r="AC26" s="26" t="str">
        <x:v>Committed / Not Delivered</x:v>
      </x:c>
      <x:c r="AD26" s="26" t="str">
        <x:v>Approval not recorded in response</x:v>
      </x:c>
      <x:c r="AE26" s="27" t="b">
        <x:v>1</x:v>
      </x:c>
      <x:c r="AF26" s="34" t="n">
        <x:v>46219.853055555555</x:v>
      </x:c>
      <x:c r="AG26" s="34"/>
      <x:c r="AH26" s="26" t="str">
        <x:v>Contribution API fields only; original project JSON needed for line-item names/centres/category</x:v>
      </x:c>
      <x:c r="AI26" s="26" t="str"/>
      <x:c r="AJ26" s="26" t="str">
        <x:v>Not Started</x:v>
      </x:c>
      <x:c r="AK26" s="26" t="str"/>
      <x:c r="AL26" s="26" t="str"/>
    </x:row>
    <x:row r="27">
      <x:c r="A27" s="26" t="n">
        <x:v>79</x:v>
      </x:c>
      <x:c r="B27" s="26" t="n">
        <x:v>213</x:v>
      </x:c>
      <x:c r="C27" s="26" t="str">
        <x:v>Medak</x:v>
      </x:c>
      <x:c r="D27" s="26" t="str">
        <x:v>Telangana</x:v>
      </x:c>
      <x:c r="E27" s="26" t="n">
        <x:v>114693</x:v>
      </x:c>
      <x:c r="F27" s="26" t="str">
        <x:v>PRJ-2026-0114693</x:v>
      </x:c>
      <x:c r="G27" s="26" t="str">
        <x:v>AWC Upgradation of Veldurthy-IV</x:v>
      </x:c>
      <x:c r="H27" s="26" t="str">
        <x:v>Mission Saksham Anganwadi &amp; POSHAN 2.0</x:v>
      </x:c>
      <x:c r="I27" s="32" t="n">
        <x:v>46198</x:v>
      </x:c>
      <x:c r="J27" s="32" t="n">
        <x:v>46381</x:v>
      </x:c>
      <x:c r="K27" s="32"/>
      <x:c r="L27" s="26" t="str">
        <x:v>Active: On/After 01-Aug-2026</x:v>
      </x:c>
      <x:c r="M27" s="26" t="str">
        <x:v>Pending Mapping</x:v>
      </x:c>
      <x:c r="N27" s="26" t="str">
        <x:v>Original project JSON not available</x:v>
      </x:c>
      <x:c r="O27" s="26"/>
      <x:c r="P27" s="26" t="str"/>
      <x:c r="Q27" s="26" t="str"/>
      <x:c r="R27" s="26"/>
      <x:c r="S27" s="36"/>
      <x:c r="T27" s="26"/>
      <x:c r="U27" s="26"/>
      <x:c r="V27" s="26"/>
      <x:c r="W27" s="26" t="n">
        <x:v>5</x:v>
      </x:c>
      <x:c r="X27" s="26" t="n">
        <x:v>0</x:v>
      </x:c>
      <x:c r="Y27" s="26" t="n">
        <x:v>37</x:v>
      </x:c>
      <x:c r="Z27" s="26" t="n">
        <x:v>0</x:v>
      </x:c>
      <x:c r="AA27" s="26" t="n">
        <x:v>37</x:v>
      </x:c>
      <x:c r="AB27" s="38" t="n">
        <x:v>0</x:v>
      </x:c>
      <x:c r="AC27" s="26" t="str">
        <x:v>Committed / Not Delivered</x:v>
      </x:c>
      <x:c r="AD27" s="26" t="str">
        <x:v>Approval not recorded in response</x:v>
      </x:c>
      <x:c r="AE27" s="27" t="b">
        <x:v>1</x:v>
      </x:c>
      <x:c r="AF27" s="34" t="n">
        <x:v>46219.850752314815</x:v>
      </x:c>
      <x:c r="AG27" s="34"/>
      <x:c r="AH27" s="26" t="str">
        <x:v>Contribution API fields only; original project JSON needed for line-item names/centres/category</x:v>
      </x:c>
      <x:c r="AI27" s="26" t="str"/>
      <x:c r="AJ27" s="26" t="str">
        <x:v>Not Started</x:v>
      </x:c>
      <x:c r="AK27" s="26" t="str"/>
      <x:c r="AL27" s="26" t="str"/>
    </x:row>
    <x:row r="28">
      <x:c r="A28" s="26" t="n">
        <x:v>80</x:v>
      </x:c>
      <x:c r="B28" s="26" t="n">
        <x:v>212</x:v>
      </x:c>
      <x:c r="C28" s="26" t="str">
        <x:v>Medak</x:v>
      </x:c>
      <x:c r="D28" s="26" t="str">
        <x:v>Telangana</x:v>
      </x:c>
      <x:c r="E28" s="26" t="n">
        <x:v>114660</x:v>
      </x:c>
      <x:c r="F28" s="26" t="str">
        <x:v>PRJ-2026-0114660</x:v>
      </x:c>
      <x:c r="G28" s="26" t="str">
        <x:v>AWC Upgradation of Aragudem</x:v>
      </x:c>
      <x:c r="H28" s="26" t="str">
        <x:v>Mission Saksham Anganwadi &amp; POSHAN 2.0</x:v>
      </x:c>
      <x:c r="I28" s="32" t="n">
        <x:v>46198</x:v>
      </x:c>
      <x:c r="J28" s="32" t="n">
        <x:v>46381</x:v>
      </x:c>
      <x:c r="K28" s="32"/>
      <x:c r="L28" s="26" t="str">
        <x:v>Active: On/After 01-Aug-2026</x:v>
      </x:c>
      <x:c r="M28" s="26" t="str">
        <x:v>Pending Mapping</x:v>
      </x:c>
      <x:c r="N28" s="26" t="str">
        <x:v>Original project JSON not available</x:v>
      </x:c>
      <x:c r="O28" s="26"/>
      <x:c r="P28" s="26" t="str"/>
      <x:c r="Q28" s="26" t="str"/>
      <x:c r="R28" s="26"/>
      <x:c r="S28" s="36"/>
      <x:c r="T28" s="26"/>
      <x:c r="U28" s="26"/>
      <x:c r="V28" s="26"/>
      <x:c r="W28" s="26" t="n">
        <x:v>4</x:v>
      </x:c>
      <x:c r="X28" s="26" t="n">
        <x:v>0</x:v>
      </x:c>
      <x:c r="Y28" s="26" t="n">
        <x:v>33</x:v>
      </x:c>
      <x:c r="Z28" s="26" t="n">
        <x:v>0</x:v>
      </x:c>
      <x:c r="AA28" s="26" t="n">
        <x:v>33</x:v>
      </x:c>
      <x:c r="AB28" s="38" t="n">
        <x:v>0</x:v>
      </x:c>
      <x:c r="AC28" s="26" t="str">
        <x:v>Committed / Not Delivered</x:v>
      </x:c>
      <x:c r="AD28" s="26" t="str">
        <x:v>Approval not recorded in response</x:v>
      </x:c>
      <x:c r="AE28" s="27" t="b">
        <x:v>1</x:v>
      </x:c>
      <x:c r="AF28" s="34" t="n">
        <x:v>46219.85074074074</x:v>
      </x:c>
      <x:c r="AG28" s="34"/>
      <x:c r="AH28" s="26" t="str">
        <x:v>Contribution API fields only; original project JSON needed for line-item names/centres/category</x:v>
      </x:c>
      <x:c r="AI28" s="26" t="str"/>
      <x:c r="AJ28" s="26" t="str">
        <x:v>Not Started</x:v>
      </x:c>
      <x:c r="AK28" s="26" t="str"/>
      <x:c r="AL28" s="26" t="str"/>
    </x:row>
    <x:row r="29">
      <x:c r="A29" s="26" t="n">
        <x:v>81</x:v>
      </x:c>
      <x:c r="B29" s="26" t="n">
        <x:v>210</x:v>
      </x:c>
      <x:c r="C29" s="26" t="str">
        <x:v>Medak</x:v>
      </x:c>
      <x:c r="D29" s="26" t="str">
        <x:v>Telangana</x:v>
      </x:c>
      <x:c r="E29" s="26" t="n">
        <x:v>114707</x:v>
      </x:c>
      <x:c r="F29" s="26" t="str">
        <x:v>PRJ-2026-0114707</x:v>
      </x:c>
      <x:c r="G29" s="26" t="str">
        <x:v>AWC Upgradation of Veldurthy-I</x:v>
      </x:c>
      <x:c r="H29" s="26" t="str">
        <x:v>Mission Saksham Anganwadi &amp; POSHAN 2.0</x:v>
      </x:c>
      <x:c r="I29" s="32" t="n">
        <x:v>46198</x:v>
      </x:c>
      <x:c r="J29" s="32" t="n">
        <x:v>46381</x:v>
      </x:c>
      <x:c r="K29" s="32"/>
      <x:c r="L29" s="26" t="str">
        <x:v>Active: On/After 01-Aug-2026</x:v>
      </x:c>
      <x:c r="M29" s="26" t="str">
        <x:v>Pending Mapping</x:v>
      </x:c>
      <x:c r="N29" s="26" t="str">
        <x:v>Original project JSON not available</x:v>
      </x:c>
      <x:c r="O29" s="26"/>
      <x:c r="P29" s="26" t="str"/>
      <x:c r="Q29" s="26" t="str"/>
      <x:c r="R29" s="26"/>
      <x:c r="S29" s="36"/>
      <x:c r="T29" s="26"/>
      <x:c r="U29" s="26"/>
      <x:c r="V29" s="26"/>
      <x:c r="W29" s="26" t="n">
        <x:v>4</x:v>
      </x:c>
      <x:c r="X29" s="26" t="n">
        <x:v>0</x:v>
      </x:c>
      <x:c r="Y29" s="26" t="n">
        <x:v>39</x:v>
      </x:c>
      <x:c r="Z29" s="26" t="n">
        <x:v>0</x:v>
      </x:c>
      <x:c r="AA29" s="26" t="n">
        <x:v>39</x:v>
      </x:c>
      <x:c r="AB29" s="38" t="n">
        <x:v>0</x:v>
      </x:c>
      <x:c r="AC29" s="26" t="str">
        <x:v>Committed / Not Delivered</x:v>
      </x:c>
      <x:c r="AD29" s="26" t="str">
        <x:v>Approval not recorded in response</x:v>
      </x:c>
      <x:c r="AE29" s="27" t="b">
        <x:v>1</x:v>
      </x:c>
      <x:c r="AF29" s="34" t="n">
        <x:v>46219.85072916667</x:v>
      </x:c>
      <x:c r="AG29" s="34"/>
      <x:c r="AH29" s="26" t="str">
        <x:v>Contribution API fields only; original project JSON needed for line-item names/centres/category</x:v>
      </x:c>
      <x:c r="AI29" s="26" t="str"/>
      <x:c r="AJ29" s="26" t="str">
        <x:v>Not Started</x:v>
      </x:c>
      <x:c r="AK29" s="26" t="str"/>
      <x:c r="AL29" s="26" t="str"/>
    </x:row>
    <x:row r="30">
      <x:c r="A30" s="26" t="n">
        <x:v>82</x:v>
      </x:c>
      <x:c r="B30" s="26" t="n">
        <x:v>211</x:v>
      </x:c>
      <x:c r="C30" s="26" t="str">
        <x:v>Medak</x:v>
      </x:c>
      <x:c r="D30" s="26" t="str">
        <x:v>Telangana</x:v>
      </x:c>
      <x:c r="E30" s="26" t="n">
        <x:v>114757</x:v>
      </x:c>
      <x:c r="F30" s="26" t="str">
        <x:v>PRJ-2026-0114757</x:v>
      </x:c>
      <x:c r="G30" s="26" t="str">
        <x:v>Upgradation of awc</x:v>
      </x:c>
      <x:c r="H30" s="26" t="str">
        <x:v>Mission Saksham Anganwadi &amp; POSHAN 2.0</x:v>
      </x:c>
      <x:c r="I30" s="32" t="n">
        <x:v>46198</x:v>
      </x:c>
      <x:c r="J30" s="32" t="n">
        <x:v>46380</x:v>
      </x:c>
      <x:c r="K30" s="32"/>
      <x:c r="L30" s="26" t="str">
        <x:v>Active: On/After 01-Aug-2026</x:v>
      </x:c>
      <x:c r="M30" s="26" t="str">
        <x:v>Pending Mapping</x:v>
      </x:c>
      <x:c r="N30" s="26" t="str">
        <x:v>Original project JSON not available</x:v>
      </x:c>
      <x:c r="O30" s="26"/>
      <x:c r="P30" s="26" t="str"/>
      <x:c r="Q30" s="26" t="str"/>
      <x:c r="R30" s="26"/>
      <x:c r="S30" s="36"/>
      <x:c r="T30" s="26"/>
      <x:c r="U30" s="26"/>
      <x:c r="V30" s="26"/>
      <x:c r="W30" s="26" t="n">
        <x:v>1</x:v>
      </x:c>
      <x:c r="X30" s="26" t="n">
        <x:v>0</x:v>
      </x:c>
      <x:c r="Y30" s="26" t="n">
        <x:v>5</x:v>
      </x:c>
      <x:c r="Z30" s="26" t="n">
        <x:v>0</x:v>
      </x:c>
      <x:c r="AA30" s="26" t="n">
        <x:v>5</x:v>
      </x:c>
      <x:c r="AB30" s="38" t="n">
        <x:v>0</x:v>
      </x:c>
      <x:c r="AC30" s="26" t="str">
        <x:v>Committed / Not Delivered</x:v>
      </x:c>
      <x:c r="AD30" s="26" t="str">
        <x:v>Approval not recorded in response</x:v>
      </x:c>
      <x:c r="AE30" s="27" t="b">
        <x:v>1</x:v>
      </x:c>
      <x:c r="AF30" s="34" t="n">
        <x:v>46219.85072916667</x:v>
      </x:c>
      <x:c r="AG30" s="34"/>
      <x:c r="AH30" s="26" t="str">
        <x:v>Contribution API fields only; original project JSON needed for line-item names/centres/category</x:v>
      </x:c>
      <x:c r="AI30" s="26" t="str"/>
      <x:c r="AJ30" s="26" t="str">
        <x:v>Not Started</x:v>
      </x:c>
      <x:c r="AK30" s="26" t="str"/>
      <x:c r="AL30" s="26" t="str"/>
    </x:row>
    <x:row r="31">
      <x:c r="A31" s="26" t="n">
        <x:v>83</x:v>
      </x:c>
      <x:c r="B31" s="26" t="n">
        <x:v>208</x:v>
      </x:c>
      <x:c r="C31" s="26" t="str">
        <x:v>Medak</x:v>
      </x:c>
      <x:c r="D31" s="26" t="str">
        <x:v>Telangana</x:v>
      </x:c>
      <x:c r="E31" s="26" t="n">
        <x:v>114799</x:v>
      </x:c>
      <x:c r="F31" s="26" t="str">
        <x:v>PRJ-2026-0114799</x:v>
      </x:c>
      <x:c r="G31" s="26" t="str">
        <x:v>Upgradation of awc</x:v>
      </x:c>
      <x:c r="H31" s="26" t="str">
        <x:v>Mission Saksham Anganwadi &amp; POSHAN 2.0</x:v>
      </x:c>
      <x:c r="I31" s="32" t="n">
        <x:v>46198</x:v>
      </x:c>
      <x:c r="J31" s="32" t="n">
        <x:v>46385</x:v>
      </x:c>
      <x:c r="K31" s="32"/>
      <x:c r="L31" s="26" t="str">
        <x:v>Active: On/After 01-Aug-2026</x:v>
      </x:c>
      <x:c r="M31" s="26" t="str">
        <x:v>Pending Mapping</x:v>
      </x:c>
      <x:c r="N31" s="26" t="str">
        <x:v>Original project JSON not available</x:v>
      </x:c>
      <x:c r="O31" s="26"/>
      <x:c r="P31" s="26" t="str"/>
      <x:c r="Q31" s="26" t="str"/>
      <x:c r="R31" s="26"/>
      <x:c r="S31" s="36"/>
      <x:c r="T31" s="26"/>
      <x:c r="U31" s="26"/>
      <x:c r="V31" s="26"/>
      <x:c r="W31" s="26" t="n">
        <x:v>1</x:v>
      </x:c>
      <x:c r="X31" s="26" t="n">
        <x:v>0</x:v>
      </x:c>
      <x:c r="Y31" s="26" t="n">
        <x:v>7</x:v>
      </x:c>
      <x:c r="Z31" s="26" t="n">
        <x:v>0</x:v>
      </x:c>
      <x:c r="AA31" s="26" t="n">
        <x:v>7</x:v>
      </x:c>
      <x:c r="AB31" s="38" t="n">
        <x:v>0</x:v>
      </x:c>
      <x:c r="AC31" s="26" t="str">
        <x:v>Committed / Not Delivered</x:v>
      </x:c>
      <x:c r="AD31" s="26" t="str">
        <x:v>Approval not recorded in response</x:v>
      </x:c>
      <x:c r="AE31" s="27" t="b">
        <x:v>1</x:v>
      </x:c>
      <x:c r="AF31" s="34" t="n">
        <x:v>46219.85071759259</x:v>
      </x:c>
      <x:c r="AG31" s="34"/>
      <x:c r="AH31" s="26" t="str">
        <x:v>Contribution API fields only; original project JSON needed for line-item names/centres/category</x:v>
      </x:c>
      <x:c r="AI31" s="26" t="str"/>
      <x:c r="AJ31" s="26" t="str">
        <x:v>Not Started</x:v>
      </x:c>
      <x:c r="AK31" s="26" t="str"/>
      <x:c r="AL31" s="26" t="str"/>
    </x:row>
    <x:row r="32">
      <x:c r="A32" s="26" t="n">
        <x:v>84</x:v>
      </x:c>
      <x:c r="B32" s="26" t="n">
        <x:v>209</x:v>
      </x:c>
      <x:c r="C32" s="26" t="str">
        <x:v>Medak</x:v>
      </x:c>
      <x:c r="D32" s="26" t="str">
        <x:v>Telangana</x:v>
      </x:c>
      <x:c r="E32" s="26" t="n">
        <x:v>114776</x:v>
      </x:c>
      <x:c r="F32" s="26" t="str">
        <x:v>PRJ-2026-0114776</x:v>
      </x:c>
      <x:c r="G32" s="26" t="str">
        <x:v>Upgradation of awc</x:v>
      </x:c>
      <x:c r="H32" s="26" t="str">
        <x:v>Mission Saksham Anganwadi &amp; POSHAN 2.0</x:v>
      </x:c>
      <x:c r="I32" s="32" t="n">
        <x:v>46198</x:v>
      </x:c>
      <x:c r="J32" s="32" t="n">
        <x:v>46381</x:v>
      </x:c>
      <x:c r="K32" s="32"/>
      <x:c r="L32" s="26" t="str">
        <x:v>Active: On/After 01-Aug-2026</x:v>
      </x:c>
      <x:c r="M32" s="26" t="str">
        <x:v>Pending Mapping</x:v>
      </x:c>
      <x:c r="N32" s="26" t="str">
        <x:v>Original project JSON not available</x:v>
      </x:c>
      <x:c r="O32" s="26"/>
      <x:c r="P32" s="26" t="str"/>
      <x:c r="Q32" s="26" t="str"/>
      <x:c r="R32" s="26"/>
      <x:c r="S32" s="36"/>
      <x:c r="T32" s="26"/>
      <x:c r="U32" s="26"/>
      <x:c r="V32" s="26"/>
      <x:c r="W32" s="26" t="n">
        <x:v>1</x:v>
      </x:c>
      <x:c r="X32" s="26" t="n">
        <x:v>0</x:v>
      </x:c>
      <x:c r="Y32" s="26" t="n">
        <x:v>5</x:v>
      </x:c>
      <x:c r="Z32" s="26" t="n">
        <x:v>0</x:v>
      </x:c>
      <x:c r="AA32" s="26" t="n">
        <x:v>5</x:v>
      </x:c>
      <x:c r="AB32" s="38" t="n">
        <x:v>0</x:v>
      </x:c>
      <x:c r="AC32" s="26" t="str">
        <x:v>Committed / Not Delivered</x:v>
      </x:c>
      <x:c r="AD32" s="26" t="str">
        <x:v>Approval not recorded in response</x:v>
      </x:c>
      <x:c r="AE32" s="27" t="b">
        <x:v>1</x:v>
      </x:c>
      <x:c r="AF32" s="34" t="n">
        <x:v>46219.85071759259</x:v>
      </x:c>
      <x:c r="AG32" s="34"/>
      <x:c r="AH32" s="26" t="str">
        <x:v>Contribution API fields only; original project JSON needed for line-item names/centres/category</x:v>
      </x:c>
      <x:c r="AI32" s="26" t="str"/>
      <x:c r="AJ32" s="26" t="str">
        <x:v>Not Started</x:v>
      </x:c>
      <x:c r="AK32" s="26" t="str"/>
      <x:c r="AL32" s="26" t="str"/>
    </x:row>
    <x:row r="33">
      <x:c r="A33" s="26" t="n">
        <x:v>85</x:v>
      </x:c>
      <x:c r="B33" s="26" t="n">
        <x:v>207</x:v>
      </x:c>
      <x:c r="C33" s="26" t="str">
        <x:v>Medak</x:v>
      </x:c>
      <x:c r="D33" s="26" t="str">
        <x:v>Telangana</x:v>
      </x:c>
      <x:c r="E33" s="26" t="n">
        <x:v>114815</x:v>
      </x:c>
      <x:c r="F33" s="26" t="str">
        <x:v>PRJ-2026-0114815</x:v>
      </x:c>
      <x:c r="G33" s="26" t="str">
        <x:v>Upgradation of awc</x:v>
      </x:c>
      <x:c r="H33" s="26" t="str">
        <x:v>Mission Saksham Anganwadi &amp; POSHAN 2.0</x:v>
      </x:c>
      <x:c r="I33" s="32" t="n">
        <x:v>46198</x:v>
      </x:c>
      <x:c r="J33" s="32" t="n">
        <x:v>46381</x:v>
      </x:c>
      <x:c r="K33" s="32"/>
      <x:c r="L33" s="26" t="str">
        <x:v>Active: On/After 01-Aug-2026</x:v>
      </x:c>
      <x:c r="M33" s="26" t="str">
        <x:v>Pending Mapping</x:v>
      </x:c>
      <x:c r="N33" s="26" t="str">
        <x:v>Original project JSON not available</x:v>
      </x:c>
      <x:c r="O33" s="26"/>
      <x:c r="P33" s="26" t="str"/>
      <x:c r="Q33" s="26" t="str"/>
      <x:c r="R33" s="26"/>
      <x:c r="S33" s="36"/>
      <x:c r="T33" s="26"/>
      <x:c r="U33" s="26"/>
      <x:c r="V33" s="26"/>
      <x:c r="W33" s="26" t="n">
        <x:v>1</x:v>
      </x:c>
      <x:c r="X33" s="26" t="n">
        <x:v>0</x:v>
      </x:c>
      <x:c r="Y33" s="26" t="n">
        <x:v>4</x:v>
      </x:c>
      <x:c r="Z33" s="26" t="n">
        <x:v>0</x:v>
      </x:c>
      <x:c r="AA33" s="26" t="n">
        <x:v>4</x:v>
      </x:c>
      <x:c r="AB33" s="38" t="n">
        <x:v>0</x:v>
      </x:c>
      <x:c r="AC33" s="26" t="str">
        <x:v>Committed / Not Delivered</x:v>
      </x:c>
      <x:c r="AD33" s="26" t="str">
        <x:v>Approval not recorded in response</x:v>
      </x:c>
      <x:c r="AE33" s="27" t="b">
        <x:v>1</x:v>
      </x:c>
      <x:c r="AF33" s="34" t="n">
        <x:v>46219.85070601852</x:v>
      </x:c>
      <x:c r="AG33" s="34"/>
      <x:c r="AH33" s="26" t="str">
        <x:v>Contribution API fields only; original project JSON needed for line-item names/centres/category</x:v>
      </x:c>
      <x:c r="AI33" s="26" t="str"/>
      <x:c r="AJ33" s="26" t="str">
        <x:v>Not Started</x:v>
      </x:c>
      <x:c r="AK33" s="26" t="str"/>
      <x:c r="AL33" s="26" t="str"/>
    </x:row>
    <x:row r="34">
      <x:c r="A34" s="26" t="n">
        <x:v>86</x:v>
      </x:c>
      <x:c r="B34" s="26" t="n">
        <x:v>205</x:v>
      </x:c>
      <x:c r="C34" s="26" t="str">
        <x:v>Medak</x:v>
      </x:c>
      <x:c r="D34" s="26" t="str">
        <x:v>Telangana</x:v>
      </x:c>
      <x:c r="E34" s="26" t="n">
        <x:v>123931</x:v>
      </x:c>
      <x:c r="F34" s="26" t="str">
        <x:v>PRJ-2026-0123931</x:v>
      </x:c>
      <x:c r="G34" s="26" t="str">
        <x:v>Upgradation of awc</x:v>
      </x:c>
      <x:c r="H34" s="26" t="str">
        <x:v>Mission Saksham Anganwadi &amp; POSHAN 2.0</x:v>
      </x:c>
      <x:c r="I34" s="32" t="n">
        <x:v>46202</x:v>
      </x:c>
      <x:c r="J34" s="32" t="n">
        <x:v>46386</x:v>
      </x:c>
      <x:c r="K34" s="32"/>
      <x:c r="L34" s="26" t="str">
        <x:v>Active: On/After 01-Aug-2026</x:v>
      </x:c>
      <x:c r="M34" s="26" t="str">
        <x:v>Pending Mapping</x:v>
      </x:c>
      <x:c r="N34" s="26" t="str">
        <x:v>Original project JSON not available</x:v>
      </x:c>
      <x:c r="O34" s="26"/>
      <x:c r="P34" s="26" t="str"/>
      <x:c r="Q34" s="26" t="str"/>
      <x:c r="R34" s="26"/>
      <x:c r="S34" s="36"/>
      <x:c r="T34" s="26"/>
      <x:c r="U34" s="26"/>
      <x:c r="V34" s="26"/>
      <x:c r="W34" s="26" t="n">
        <x:v>1</x:v>
      </x:c>
      <x:c r="X34" s="26" t="n">
        <x:v>0</x:v>
      </x:c>
      <x:c r="Y34" s="26" t="n">
        <x:v>5</x:v>
      </x:c>
      <x:c r="Z34" s="26" t="n">
        <x:v>0</x:v>
      </x:c>
      <x:c r="AA34" s="26" t="n">
        <x:v>5</x:v>
      </x:c>
      <x:c r="AB34" s="38" t="n">
        <x:v>0</x:v>
      </x:c>
      <x:c r="AC34" s="26" t="str">
        <x:v>Committed / Not Delivered</x:v>
      </x:c>
      <x:c r="AD34" s="26" t="str">
        <x:v>Approval not recorded in response</x:v>
      </x:c>
      <x:c r="AE34" s="27" t="b">
        <x:v>1</x:v>
      </x:c>
      <x:c r="AF34" s="34" t="n">
        <x:v>46219.850694444445</x:v>
      </x:c>
      <x:c r="AG34" s="34"/>
      <x:c r="AH34" s="26" t="str">
        <x:v>Contribution API fields only; original project JSON needed for line-item names/centres/category</x:v>
      </x:c>
      <x:c r="AI34" s="26" t="str"/>
      <x:c r="AJ34" s="26" t="str">
        <x:v>Not Started</x:v>
      </x:c>
      <x:c r="AK34" s="26" t="str"/>
      <x:c r="AL34" s="26" t="str"/>
    </x:row>
    <x:row r="35">
      <x:c r="A35" s="26" t="n">
        <x:v>87</x:v>
      </x:c>
      <x:c r="B35" s="26" t="n">
        <x:v>206</x:v>
      </x:c>
      <x:c r="C35" s="26" t="str">
        <x:v>Medak</x:v>
      </x:c>
      <x:c r="D35" s="26" t="str">
        <x:v>Telangana</x:v>
      </x:c>
      <x:c r="E35" s="26" t="n">
        <x:v>114833</x:v>
      </x:c>
      <x:c r="F35" s="26" t="str">
        <x:v>PRJ-2026-0114833</x:v>
      </x:c>
      <x:c r="G35" s="26" t="str">
        <x:v>Upgradation of awc</x:v>
      </x:c>
      <x:c r="H35" s="26" t="str">
        <x:v>Mission Saksham Anganwadi &amp; POSHAN 2.0</x:v>
      </x:c>
      <x:c r="I35" s="32" t="n">
        <x:v>46198</x:v>
      </x:c>
      <x:c r="J35" s="32" t="n">
        <x:v>46380</x:v>
      </x:c>
      <x:c r="K35" s="32"/>
      <x:c r="L35" s="26" t="str">
        <x:v>Active: On/After 01-Aug-2026</x:v>
      </x:c>
      <x:c r="M35" s="26" t="str">
        <x:v>Pending Mapping</x:v>
      </x:c>
      <x:c r="N35" s="26" t="str">
        <x:v>Original project JSON not available</x:v>
      </x:c>
      <x:c r="O35" s="26"/>
      <x:c r="P35" s="26" t="str"/>
      <x:c r="Q35" s="26" t="str"/>
      <x:c r="R35" s="26"/>
      <x:c r="S35" s="36"/>
      <x:c r="T35" s="26"/>
      <x:c r="U35" s="26"/>
      <x:c r="V35" s="26"/>
      <x:c r="W35" s="26" t="n">
        <x:v>1</x:v>
      </x:c>
      <x:c r="X35" s="26" t="n">
        <x:v>0</x:v>
      </x:c>
      <x:c r="Y35" s="26" t="n">
        <x:v>5</x:v>
      </x:c>
      <x:c r="Z35" s="26" t="n">
        <x:v>0</x:v>
      </x:c>
      <x:c r="AA35" s="26" t="n">
        <x:v>5</x:v>
      </x:c>
      <x:c r="AB35" s="38" t="n">
        <x:v>0</x:v>
      </x:c>
      <x:c r="AC35" s="26" t="str">
        <x:v>Committed / Not Delivered</x:v>
      </x:c>
      <x:c r="AD35" s="26" t="str">
        <x:v>Approval not recorded in response</x:v>
      </x:c>
      <x:c r="AE35" s="27" t="b">
        <x:v>1</x:v>
      </x:c>
      <x:c r="AF35" s="34" t="n">
        <x:v>46219.850694444445</x:v>
      </x:c>
      <x:c r="AG35" s="34"/>
      <x:c r="AH35" s="26" t="str">
        <x:v>Contribution API fields only; original project JSON needed for line-item names/centres/category</x:v>
      </x:c>
      <x:c r="AI35" s="26" t="str"/>
      <x:c r="AJ35" s="26" t="str">
        <x:v>Not Started</x:v>
      </x:c>
      <x:c r="AK35" s="26" t="str"/>
      <x:c r="AL35" s="26" t="str"/>
    </x:row>
    <x:row r="36">
      <x:c r="A36" s="26" t="n">
        <x:v>88</x:v>
      </x:c>
      <x:c r="B36" s="26" t="n">
        <x:v>204</x:v>
      </x:c>
      <x:c r="C36" s="26" t="str">
        <x:v>Medak</x:v>
      </x:c>
      <x:c r="D36" s="26" t="str">
        <x:v>Telangana</x:v>
      </x:c>
      <x:c r="E36" s="26" t="n">
        <x:v>123955</x:v>
      </x:c>
      <x:c r="F36" s="26" t="str">
        <x:v>PRJ-2026-0123955</x:v>
      </x:c>
      <x:c r="G36" s="26" t="str">
        <x:v>Upgradation of awc</x:v>
      </x:c>
      <x:c r="H36" s="26" t="str">
        <x:v>Mission Saksham Anganwadi &amp; POSHAN 2.0</x:v>
      </x:c>
      <x:c r="I36" s="32" t="n">
        <x:v>46202</x:v>
      </x:c>
      <x:c r="J36" s="32" t="n">
        <x:v>46385</x:v>
      </x:c>
      <x:c r="K36" s="32"/>
      <x:c r="L36" s="26" t="str">
        <x:v>Active: On/After 01-Aug-2026</x:v>
      </x:c>
      <x:c r="M36" s="26" t="str">
        <x:v>Pending Mapping</x:v>
      </x:c>
      <x:c r="N36" s="26" t="str">
        <x:v>Original project JSON not available</x:v>
      </x:c>
      <x:c r="O36" s="26"/>
      <x:c r="P36" s="26" t="str"/>
      <x:c r="Q36" s="26" t="str"/>
      <x:c r="R36" s="26"/>
      <x:c r="S36" s="36"/>
      <x:c r="T36" s="26"/>
      <x:c r="U36" s="26"/>
      <x:c r="V36" s="26"/>
      <x:c r="W36" s="26" t="n">
        <x:v>1</x:v>
      </x:c>
      <x:c r="X36" s="26" t="n">
        <x:v>0</x:v>
      </x:c>
      <x:c r="Y36" s="26" t="n">
        <x:v>6</x:v>
      </x:c>
      <x:c r="Z36" s="26" t="n">
        <x:v>0</x:v>
      </x:c>
      <x:c r="AA36" s="26" t="n">
        <x:v>6</x:v>
      </x:c>
      <x:c r="AB36" s="38" t="n">
        <x:v>0</x:v>
      </x:c>
      <x:c r="AC36" s="26" t="str">
        <x:v>Committed / Not Delivered</x:v>
      </x:c>
      <x:c r="AD36" s="26" t="str">
        <x:v>Approval not recorded in response</x:v>
      </x:c>
      <x:c r="AE36" s="27" t="b">
        <x:v>1</x:v>
      </x:c>
      <x:c r="AF36" s="34" t="n">
        <x:v>46219.85068287037</x:v>
      </x:c>
      <x:c r="AG36" s="34"/>
      <x:c r="AH36" s="26" t="str">
        <x:v>Contribution API fields only; original project JSON needed for line-item names/centres/category</x:v>
      </x:c>
      <x:c r="AI36" s="26" t="str"/>
      <x:c r="AJ36" s="26" t="str">
        <x:v>Not Started</x:v>
      </x:c>
      <x:c r="AK36" s="26" t="str"/>
      <x:c r="AL36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2e8568737b294d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8.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222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PANKHUDI Contributions — Mulugu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1</x:v>
      </x:c>
      <x:c r="B4" s="26" t="n">
        <x:v>290</x:v>
      </x:c>
      <x:c r="C4" s="26" t="str">
        <x:v>Mulugu</x:v>
      </x:c>
      <x:c r="D4" s="26" t="str">
        <x:v>Telangana</x:v>
      </x:c>
      <x:c r="E4" s="26" t="n">
        <x:v>7797</x:v>
      </x:c>
      <x:c r="F4" s="26" t="str">
        <x:v>PRJ-2026-0007797</x:v>
      </x:c>
      <x:c r="G4" s="26" t="str">
        <x:v>AWC Infrastructure</x:v>
      </x:c>
      <x:c r="H4" s="26" t="str">
        <x:v>Mission Saksham Anganwadi &amp; POSHAN 2.0</x:v>
      </x:c>
      <x:c r="I4" s="32" t="n">
        <x:v>46164</x:v>
      </x:c>
      <x:c r="J4" s="32" t="n">
        <x:v>46348</x:v>
      </x:c>
      <x:c r="K4" s="32"/>
      <x:c r="L4" s="26" t="str">
        <x:v>Active: On/After 01-Aug-2026</x:v>
      </x:c>
      <x:c r="M4" s="26" t="str">
        <x:v>Medium</x:v>
      </x:c>
      <x:c r="N4" s="26" t="str">
        <x:v>ECCE Equipment=Minor; Educational Needs=Minor; Electrical Infrastructure=Medium; Office Needs=Minor</x:v>
      </x:c>
      <x:c r="O4" s="26" t="n">
        <x:v>1</x:v>
      </x:c>
      <x:c r="P4" s="26" t="str">
        <x:v>Puligundam (36701020209)</x:v>
      </x:c>
      <x:c r="Q4" s="26" t="str">
        <x:v>36701020209</x:v>
      </x:c>
      <x:c r="R4" s="26" t="n">
        <x:v>15</x:v>
      </x:c>
      <x:c r="S4" s="36" t="n">
        <x:v>50000</x:v>
      </x:c>
      <x:c r="T4" s="26" t="str">
        <x:v>Gas Stove&amp; Regulator	
Pressure Cooker	
Slides
Kids Chairs	
Fans &amp; Lights
Storage Bins
Egg &amp; Milk Storge Racks
Digital GMD
</x:v>
      </x:c>
      <x:c r="U4" s="26" t="str">
        <x:v>Gas Stove&amp; Regulator	
Pressure Cooker	
Slides
Kids Chairs	
Fans &amp; Lights
Storage Bins
Egg &amp; Milk Storge Racks
Digital GMD
</x:v>
      </x:c>
      <x:c r="V4" s="27" t="b">
        <x:v>1</x:v>
      </x:c>
      <x:c r="W4" s="26" t="n">
        <x:v>5</x:v>
      </x:c>
      <x:c r="X4" s="26" t="n">
        <x:v>0</x:v>
      </x:c>
      <x:c r="Y4" s="26" t="n">
        <x:v>35</x:v>
      </x:c>
      <x:c r="Z4" s="26" t="n">
        <x:v>0</x:v>
      </x:c>
      <x:c r="AA4" s="26" t="n">
        <x:v>35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46220.017800925925</x:v>
      </x:c>
      <x:c r="AG4" s="34"/>
      <x:c r="AH4" s="26" t="str">
        <x:v>Fully enriched from attached Mulugu project JSON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2</x:v>
      </x:c>
      <x:c r="B5" s="26" t="n">
        <x:v>291</x:v>
      </x:c>
      <x:c r="C5" s="26" t="str">
        <x:v>Mulugu</x:v>
      </x:c>
      <x:c r="D5" s="26" t="str">
        <x:v>Telangana</x:v>
      </x:c>
      <x:c r="E5" s="26" t="n">
        <x:v>7735</x:v>
      </x:c>
      <x:c r="F5" s="26" t="str">
        <x:v>PRJ-2026-0007735</x:v>
      </x:c>
      <x:c r="G5" s="26" t="str">
        <x:v>AWC Infrastructure</x:v>
      </x:c>
      <x:c r="H5" s="26" t="str">
        <x:v>Mission Saksham Anganwadi &amp; POSHAN 2.0</x:v>
      </x:c>
      <x:c r="I5" s="32" t="n">
        <x:v>46164</x:v>
      </x:c>
      <x:c r="J5" s="32" t="n">
        <x:v>46348</x:v>
      </x:c>
      <x:c r="K5" s="32"/>
      <x:c r="L5" s="26" t="str">
        <x:v>Active: On/After 01-Aug-2026</x:v>
      </x:c>
      <x:c r="M5" s="26" t="str">
        <x:v>Medium</x:v>
      </x:c>
      <x:c r="N5" s="26" t="str">
        <x:v>Digital Infrastructure=Medium; ECCE Equipment=Minor; Educational Needs=Minor; Electrical Infrastructure=Medium; Health and Safety aids=Minor; Office Needs=Minor</x:v>
      </x:c>
      <x:c r="O5" s="26" t="n">
        <x:v>1</x:v>
      </x:c>
      <x:c r="P5" s="26" t="str">
        <x:v>Chandhruthanda (36701020219)</x:v>
      </x:c>
      <x:c r="Q5" s="26" t="str">
        <x:v>36701020219</x:v>
      </x:c>
      <x:c r="R5" s="26" t="n">
        <x:v>30</x:v>
      </x:c>
      <x:c r="S5" s="36" t="n">
        <x:v>50000</x:v>
      </x:c>
      <x:c r="T5" s="26" t="str">
        <x:v>Water Filter	
Gas Stove&amp; Regulator	
Pressure Cooker	
Slides
Kids Chairs	
Fans &amp; Lights
Storage Bins
Egg &amp; Milk Storge Racks
Digital GMD
</x:v>
      </x:c>
      <x:c r="U5" s="26" t="str">
        <x:v>Water Filter	
Gas Stove&amp; Regulator	
Pressure Cooker	
Slides
Kids Chairs	
Fans &amp; Lights
Storage Bins
Egg &amp; Milk Storge Racks
Digital GMD
</x:v>
      </x:c>
      <x:c r="V5" s="27" t="b">
        <x:v>1</x:v>
      </x:c>
      <x:c r="W5" s="26" t="n">
        <x:v>8</x:v>
      </x:c>
      <x:c r="X5" s="26" t="n">
        <x:v>0</x:v>
      </x:c>
      <x:c r="Y5" s="26" t="n">
        <x:v>30</x:v>
      </x:c>
      <x:c r="Z5" s="26" t="n">
        <x:v>0</x:v>
      </x:c>
      <x:c r="AA5" s="26" t="n">
        <x:v>30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46220.017800925925</x:v>
      </x:c>
      <x:c r="AG5" s="34"/>
      <x:c r="AH5" s="26" t="str">
        <x:v>Fully enriched from attached Mulugu project JSON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3</x:v>
      </x:c>
      <x:c r="B6" s="26" t="n">
        <x:v>288</x:v>
      </x:c>
      <x:c r="C6" s="26" t="str">
        <x:v>Mulugu</x:v>
      </x:c>
      <x:c r="D6" s="26" t="str">
        <x:v>Telangana</x:v>
      </x:c>
      <x:c r="E6" s="26" t="n">
        <x:v>8392</x:v>
      </x:c>
      <x:c r="F6" s="26" t="str">
        <x:v>PRJ-2026-0008392</x:v>
      </x:c>
      <x:c r="G6" s="26" t="str">
        <x:v>AWC Sarangapalli</x:v>
      </x:c>
      <x:c r="H6" s="26" t="str">
        <x:v>Mission Saksham Anganwadi &amp; POSHAN 2.0</x:v>
      </x:c>
      <x:c r="I6" s="32" t="n">
        <x:v>46164</x:v>
      </x:c>
      <x:c r="J6" s="32" t="n">
        <x:v>46348</x:v>
      </x:c>
      <x:c r="K6" s="32"/>
      <x:c r="L6" s="26" t="str">
        <x:v>Active: On/After 01-Aug-2026</x:v>
      </x:c>
      <x:c r="M6" s="26" t="str">
        <x:v>Medium</x:v>
      </x:c>
      <x:c r="N6" s="26" t="str">
        <x:v>ECCE Equipment=Minor; Educational Needs=Minor; Electrical Infrastructure=Medium; Health and Safety aids=Minor; Office Needs=Minor</x:v>
      </x:c>
      <x:c r="O6" s="26" t="n">
        <x:v>1</x:v>
      </x:c>
      <x:c r="P6" s="26" t="str">
        <x:v>Sarangapalli (36701020205)</x:v>
      </x:c>
      <x:c r="Q6" s="26" t="str">
        <x:v>36701020205</x:v>
      </x:c>
      <x:c r="R6" s="26" t="n">
        <x:v>20</x:v>
      </x:c>
      <x:c r="S6" s="36" t="n">
        <x:v>50000</x:v>
      </x:c>
      <x:c r="T6" s="26" t="str">
        <x:v>Civil Repair	
Water Filter	
Gas Stove&amp; Regulator						
Pressure Cooker	
Slides	
Kids Chairs	
Fans &amp; Lights	
Storage Bins	
Egg &amp; Milk Storge Racks	
Digital GMD
</x:v>
      </x:c>
      <x:c r="U6" s="26" t="str">
        <x:v>Civil Repair	
Water Filter	
Gas Stove&amp; Regulator						
Pressure Cooker	
Slides	
Kids Chairs	
Fans &amp; Lights	
Storage Bins	
Egg &amp; Milk Storge Racks	
Digital GMD
</x:v>
      </x:c>
      <x:c r="V6" s="27" t="b">
        <x:v>1</x:v>
      </x:c>
      <x:c r="W6" s="26" t="n">
        <x:v>8</x:v>
      </x:c>
      <x:c r="X6" s="26" t="n">
        <x:v>0</x:v>
      </x:c>
      <x:c r="Y6" s="26" t="n">
        <x:v>25</x:v>
      </x:c>
      <x:c r="Z6" s="26" t="n">
        <x:v>0</x:v>
      </x:c>
      <x:c r="AA6" s="26" t="n">
        <x:v>25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46220.01778935185</x:v>
      </x:c>
      <x:c r="AG6" s="34"/>
      <x:c r="AH6" s="26" t="str">
        <x:v>Fully enriched from attached Mulugu project JSON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4</x:v>
      </x:c>
      <x:c r="B7" s="26" t="n">
        <x:v>289</x:v>
      </x:c>
      <x:c r="C7" s="26" t="str">
        <x:v>Mulugu</x:v>
      </x:c>
      <x:c r="D7" s="26" t="str">
        <x:v>Telangana</x:v>
      </x:c>
      <x:c r="E7" s="26" t="n">
        <x:v>8135</x:v>
      </x:c>
      <x:c r="F7" s="26" t="str">
        <x:v>PRJ-2026-0008135</x:v>
      </x:c>
      <x:c r="G7" s="26" t="str">
        <x:v>AWC VENKATESHWARLAPALLI</x:v>
      </x:c>
      <x:c r="H7" s="26" t="str">
        <x:v>Mission Saksham Anganwadi &amp; POSHAN 2.0</x:v>
      </x:c>
      <x:c r="I7" s="32" t="n">
        <x:v>46164</x:v>
      </x:c>
      <x:c r="J7" s="32" t="n">
        <x:v>46348</x:v>
      </x:c>
      <x:c r="K7" s="32"/>
      <x:c r="L7" s="26" t="str">
        <x:v>Active: On/After 01-Aug-2026</x:v>
      </x:c>
      <x:c r="M7" s="26" t="str">
        <x:v>Medium</x:v>
      </x:c>
      <x:c r="N7" s="26" t="str">
        <x:v>ECCE Equipment=Minor; Educational Needs=Minor; Electrical Infrastructure=Medium; Office Needs=Minor</x:v>
      </x:c>
      <x:c r="O7" s="26" t="n">
        <x:v>1</x:v>
      </x:c>
      <x:c r="P7" s="26" t="str">
        <x:v>VENKATESHWARLAPALLI (Mini) (36701020201)</x:v>
      </x:c>
      <x:c r="Q7" s="26" t="str">
        <x:v>36701020201</x:v>
      </x:c>
      <x:c r="R7" s="26" t="n">
        <x:v>15</x:v>
      </x:c>
      <x:c r="S7" s="36" t="n">
        <x:v>50000</x:v>
      </x:c>
      <x:c r="T7" s="26" t="str">
        <x:v>Water Filter	
Gas Stove&amp; Regulator						
Pressure Cooker	
Slides	
Kids Chairs	
Fans &amp; Lights	
Storage Bins	
Egg &amp; Milk Storge Racks	
Digital GMD
</x:v>
      </x:c>
      <x:c r="U7" s="26" t="str">
        <x:v>Water Filter	
Gas Stove&amp; Regulator						
Pressure Cooker	
Slides	
Kids Chairs	
Fans &amp; Lights	
Storage Bins	
Egg &amp; Milk Storge Racks	
Digital GMD
</x:v>
      </x:c>
      <x:c r="V7" s="27" t="b">
        <x:v>1</x:v>
      </x:c>
      <x:c r="W7" s="26" t="n">
        <x:v>7</x:v>
      </x:c>
      <x:c r="X7" s="26" t="n">
        <x:v>0</x:v>
      </x:c>
      <x:c r="Y7" s="26" t="n">
        <x:v>42</x:v>
      </x:c>
      <x:c r="Z7" s="26" t="n">
        <x:v>0</x:v>
      </x:c>
      <x:c r="AA7" s="26" t="n">
        <x:v>42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46220.01778935185</x:v>
      </x:c>
      <x:c r="AG7" s="34"/>
      <x:c r="AH7" s="26" t="str">
        <x:v>Fully enriched from attached Mulugu project JSON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5</x:v>
      </x:c>
      <x:c r="B8" s="26" t="n">
        <x:v>286</x:v>
      </x:c>
      <x:c r="C8" s="26" t="str">
        <x:v>Mulugu</x:v>
      </x:c>
      <x:c r="D8" s="26" t="str">
        <x:v>Telangana</x:v>
      </x:c>
      <x:c r="E8" s="26" t="n">
        <x:v>8796</x:v>
      </x:c>
      <x:c r="F8" s="26" t="str">
        <x:v>PRJ-2026-0008796</x:v>
      </x:c>
      <x:c r="G8" s="26" t="str">
        <x:v>AWC Kodeshalakunta</x:v>
      </x:c>
      <x:c r="H8" s="26" t="str">
        <x:v>Mission Saksham Anganwadi &amp; POSHAN 2.0</x:v>
      </x:c>
      <x:c r="I8" s="32" t="n">
        <x:v>46164</x:v>
      </x:c>
      <x:c r="J8" s="32" t="n">
        <x:v>46348</x:v>
      </x:c>
      <x:c r="K8" s="32"/>
      <x:c r="L8" s="26" t="str">
        <x:v>Active: On/After 01-Aug-2026</x:v>
      </x:c>
      <x:c r="M8" s="26" t="str">
        <x:v>Medium</x:v>
      </x:c>
      <x:c r="N8" s="26" t="str">
        <x:v>ECCE Equipment=Minor; Educational Needs=Minor; Electrical Infrastructure=Medium; Health and Safety aids=Minor; Office Needs=Minor</x:v>
      </x:c>
      <x:c r="O8" s="26" t="n">
        <x:v>1</x:v>
      </x:c>
      <x:c r="P8" s="26" t="str">
        <x:v>Kodeshalakunta (36701020214)</x:v>
      </x:c>
      <x:c r="Q8" s="26" t="str">
        <x:v>36701020214</x:v>
      </x:c>
      <x:c r="R8" s="26" t="n">
        <x:v>11</x:v>
      </x:c>
      <x:c r="S8" s="36" t="n">
        <x:v>50000</x:v>
      </x:c>
      <x:c r="T8" s="26" t="str">
        <x:v>Water Filter	
Gas Stove&amp; Regulator						
Pressure Cooker	
Slides	
Kids Chairs	
Fans &amp; Lights	
Storage Bins	
Egg &amp; Milk Storge Racks	
Digital GMD
</x:v>
      </x:c>
      <x:c r="U8" s="26" t="str">
        <x:v>Water Filter	
Gas Stove&amp; Regulator						
Pressure Cooker	
Slides	
Kids Chairs	
Fans &amp; Lights	
Storage Bins	
Egg &amp; Milk Storge Racks	
Digital GMD
</x:v>
      </x:c>
      <x:c r="V8" s="27" t="b">
        <x:v>1</x:v>
      </x:c>
      <x:c r="W8" s="26" t="n">
        <x:v>8</x:v>
      </x:c>
      <x:c r="X8" s="26" t="n">
        <x:v>0</x:v>
      </x:c>
      <x:c r="Y8" s="26" t="n">
        <x:v>36</x:v>
      </x:c>
      <x:c r="Z8" s="26" t="n">
        <x:v>0</x:v>
      </x:c>
      <x:c r="AA8" s="26" t="n">
        <x:v>36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46220.01777777778</x:v>
      </x:c>
      <x:c r="AG8" s="34"/>
      <x:c r="AH8" s="26" t="str">
        <x:v>Fully enriched from attached Mulugu project JSON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6</x:v>
      </x:c>
      <x:c r="B9" s="26" t="n">
        <x:v>287</x:v>
      </x:c>
      <x:c r="C9" s="26" t="str">
        <x:v>Mulugu</x:v>
      </x:c>
      <x:c r="D9" s="26" t="str">
        <x:v>Telangana</x:v>
      </x:c>
      <x:c r="E9" s="26" t="n">
        <x:v>8670</x:v>
      </x:c>
      <x:c r="F9" s="26" t="str">
        <x:v>PRJ-2026-0008670</x:v>
      </x:c>
      <x:c r="G9" s="26" t="str">
        <x:v>AWC Mansingh thanda</x:v>
      </x:c>
      <x:c r="H9" s="26" t="str">
        <x:v>Mission Saksham Anganwadi &amp; POSHAN 2.0</x:v>
      </x:c>
      <x:c r="I9" s="32" t="n">
        <x:v>46164</x:v>
      </x:c>
      <x:c r="J9" s="32" t="n">
        <x:v>46348</x:v>
      </x:c>
      <x:c r="K9" s="32"/>
      <x:c r="L9" s="26" t="str">
        <x:v>Active: On/After 01-Aug-2026</x:v>
      </x:c>
      <x:c r="M9" s="26" t="str">
        <x:v>Medium</x:v>
      </x:c>
      <x:c r="N9" s="26" t="str">
        <x:v>ECCE Equipment=Minor; Educational Needs=Minor; Electrical Infrastructure=Medium; Health and Safety aids=Minor; Office Needs=Minor</x:v>
      </x:c>
      <x:c r="O9" s="26" t="n">
        <x:v>1</x:v>
      </x:c>
      <x:c r="P9" s="26" t="str">
        <x:v>Mansingh thanda (36701020213)</x:v>
      </x:c>
      <x:c r="Q9" s="26" t="str">
        <x:v>36701020213</x:v>
      </x:c>
      <x:c r="R9" s="26" t="n">
        <x:v>47</x:v>
      </x:c>
      <x:c r="S9" s="36" t="n">
        <x:v>50000</x:v>
      </x:c>
      <x:c r="T9" s="26" t="str">
        <x:v>Water Filter	
Gas Stove&amp; Regulator						
Pressure Cooker	
Slides	
Kids Chairs	
Fans &amp; Lights	
Storage Bins	
Egg &amp; Milk Storge Racks	
Digital GMD
</x:v>
      </x:c>
      <x:c r="U9" s="26" t="str">
        <x:v>Water Filter	
Gas Stove&amp; Regulator						
Pressure Cooker	
Slides	
Kids Chairs	
Fans &amp; Lights	
Storage Bins	
Egg &amp; Milk Storge Racks	
Digital GMD
</x:v>
      </x:c>
      <x:c r="V9" s="27" t="b">
        <x:v>1</x:v>
      </x:c>
      <x:c r="W9" s="26" t="n">
        <x:v>8</x:v>
      </x:c>
      <x:c r="X9" s="26" t="n">
        <x:v>0</x:v>
      </x:c>
      <x:c r="Y9" s="26" t="n">
        <x:v>38</x:v>
      </x:c>
      <x:c r="Z9" s="26" t="n">
        <x:v>0</x:v>
      </x:c>
      <x:c r="AA9" s="26" t="n">
        <x:v>38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46220.01777777778</x:v>
      </x:c>
      <x:c r="AG9" s="34"/>
      <x:c r="AH9" s="26" t="str">
        <x:v>Fully enriched from attached Mulugu project JSON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7</x:v>
      </x:c>
      <x:c r="B10" s="26" t="n">
        <x:v>284</x:v>
      </x:c>
      <x:c r="C10" s="26" t="str">
        <x:v>Mulugu</x:v>
      </x:c>
      <x:c r="D10" s="26" t="str">
        <x:v>Telangana</x:v>
      </x:c>
      <x:c r="E10" s="26" t="n">
        <x:v>10211</x:v>
      </x:c>
      <x:c r="F10" s="26" t="str">
        <x:v>PRJ-2026-0010211</x:v>
      </x:c>
      <x:c r="G10" s="26" t="str">
        <x:v>AWC Chinnagunturpalli -1 </x:v>
      </x:c>
      <x:c r="H10" s="26" t="str">
        <x:v>Mission Saksham Anganwadi &amp; POSHAN 2.0</x:v>
      </x:c>
      <x:c r="I10" s="32" t="n">
        <x:v>46164</x:v>
      </x:c>
      <x:c r="J10" s="32" t="n">
        <x:v>46348</x:v>
      </x:c>
      <x:c r="K10" s="32"/>
      <x:c r="L10" s="26" t="str">
        <x:v>Active: On/After 01-Aug-2026</x:v>
      </x:c>
      <x:c r="M10" s="26" t="str">
        <x:v>Medium</x:v>
      </x:c>
      <x:c r="N10" s="26" t="str">
        <x:v>ECCE Equipment=Minor; Educational Needs=Minor; Electrical Infrastructure=Medium; Health and Safety aids=Minor; Office Needs=Minor</x:v>
      </x:c>
      <x:c r="O10" s="26" t="n">
        <x:v>1</x:v>
      </x:c>
      <x:c r="P10" s="26" t="str">
        <x:v>Chinnagunturpalli -1 (36701020218)</x:v>
      </x:c>
      <x:c r="Q10" s="26" t="str">
        <x:v>36701020218</x:v>
      </x:c>
      <x:c r="R10" s="26" t="n">
        <x:v>12</x:v>
      </x:c>
      <x:c r="S10" s="36" t="n">
        <x:v>50000</x:v>
      </x:c>
      <x:c r="T10" s="26" t="str">
        <x:v>Water Filter	
Gas Stove&amp; Regulator						
Pressure Cooker	
Slides	
Kids Chairs	
Fans &amp; Lights	
Storage Bins	
Egg &amp; Milk Storge Racks	
Digital GMD
</x:v>
      </x:c>
      <x:c r="U10" s="26" t="str">
        <x:v>Water Filter	
Gas Stove&amp; Regulator						
Pressure Cooker	
Slides	
Kids Chairs	
Fans &amp; Lights	
Storage Bins	
Egg &amp; Milk Storge Racks	
Digital GMD
</x:v>
      </x:c>
      <x:c r="V10" s="27" t="b">
        <x:v>1</x:v>
      </x:c>
      <x:c r="W10" s="26" t="n">
        <x:v>9</x:v>
      </x:c>
      <x:c r="X10" s="26" t="n">
        <x:v>0</x:v>
      </x:c>
      <x:c r="Y10" s="26" t="n">
        <x:v>40</x:v>
      </x:c>
      <x:c r="Z10" s="26" t="n">
        <x:v>0</x:v>
      </x:c>
      <x:c r="AA10" s="26" t="n">
        <x:v>40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46220.0177662037</x:v>
      </x:c>
      <x:c r="AG10" s="34"/>
      <x:c r="AH10" s="26" t="str">
        <x:v>Fully enriched from attached Mulugu project JSON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8</x:v>
      </x:c>
      <x:c r="B11" s="26" t="n">
        <x:v>285</x:v>
      </x:c>
      <x:c r="C11" s="26" t="str">
        <x:v>Mulugu</x:v>
      </x:c>
      <x:c r="D11" s="26" t="str">
        <x:v>Telangana</x:v>
      </x:c>
      <x:c r="E11" s="26" t="n">
        <x:v>9008</x:v>
      </x:c>
      <x:c r="F11" s="26" t="str">
        <x:v>PRJ-2026-0009008</x:v>
      </x:c>
      <x:c r="G11" s="26" t="str">
        <x:v>AWC Pandikunta - II</x:v>
      </x:c>
      <x:c r="H11" s="26" t="str">
        <x:v>Mission Saksham Anganwadi &amp; POSHAN 2.0</x:v>
      </x:c>
      <x:c r="I11" s="32" t="n">
        <x:v>46164</x:v>
      </x:c>
      <x:c r="J11" s="32" t="n">
        <x:v>46348</x:v>
      </x:c>
      <x:c r="K11" s="32"/>
      <x:c r="L11" s="26" t="str">
        <x:v>Active: On/After 01-Aug-2026</x:v>
      </x:c>
      <x:c r="M11" s="26" t="str">
        <x:v>Medium</x:v>
      </x:c>
      <x:c r="N11" s="26" t="str">
        <x:v>ECCE Equipment=Minor; Educational Needs=Minor; Electrical Infrastructure=Medium; Health and Safety aids=Minor; Office Needs=Minor</x:v>
      </x:c>
      <x:c r="O11" s="26" t="n">
        <x:v>1</x:v>
      </x:c>
      <x:c r="P11" s="26" t="str">
        <x:v>Pandikunta - II (36701020210)</x:v>
      </x:c>
      <x:c r="Q11" s="26" t="str">
        <x:v>36701020210</x:v>
      </x:c>
      <x:c r="R11" s="26" t="n">
        <x:v>53</x:v>
      </x:c>
      <x:c r="S11" s="36" t="n">
        <x:v>50000</x:v>
      </x:c>
      <x:c r="T11" s="26" t="str">
        <x:v>Water Filter	
Gas Stove&amp; Regulator						
Pressure Cooker	
Slides	
Kids Chairs	
Fans &amp; Lights	
Storage Bins	
Egg &amp; Milk Storge Racks	
Digital GMD
</x:v>
      </x:c>
      <x:c r="U11" s="26" t="str">
        <x:v>Water Filter	
Gas Stove&amp; Regulator						
Pressure Cooker	
Slides	
Kids Chairs	
Fans &amp; Lights	
Storage Bins	
Egg &amp; Milk Storge Racks	
Digital GMD
</x:v>
      </x:c>
      <x:c r="V11" s="27" t="b">
        <x:v>1</x:v>
      </x:c>
      <x:c r="W11" s="26" t="n">
        <x:v>9</x:v>
      </x:c>
      <x:c r="X11" s="26" t="n">
        <x:v>0</x:v>
      </x:c>
      <x:c r="Y11" s="26" t="n">
        <x:v>45</x:v>
      </x:c>
      <x:c r="Z11" s="26" t="n">
        <x:v>0</x:v>
      </x:c>
      <x:c r="AA11" s="26" t="n">
        <x:v>45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46220.0177662037</x:v>
      </x:c>
      <x:c r="AG11" s="34"/>
      <x:c r="AH11" s="26" t="str">
        <x:v>Fully enriched from attached Mulugu project JSON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9</x:v>
      </x:c>
      <x:c r="B12" s="26" t="n">
        <x:v>283</x:v>
      </x:c>
      <x:c r="C12" s="26" t="str">
        <x:v>Mulugu</x:v>
      </x:c>
      <x:c r="D12" s="26" t="str">
        <x:v>Telangana</x:v>
      </x:c>
      <x:c r="E12" s="26" t="n">
        <x:v>10287</x:v>
      </x:c>
      <x:c r="F12" s="26" t="str">
        <x:v>PRJ-2026-0010287</x:v>
      </x:c>
      <x:c r="G12" s="26" t="str">
        <x:v>AWC Jaggannapet</x:v>
      </x:c>
      <x:c r="H12" s="26" t="str">
        <x:v>Mission Saksham Anganwadi &amp; POSHAN 2.0</x:v>
      </x:c>
      <x:c r="I12" s="32" t="n">
        <x:v>46164</x:v>
      </x:c>
      <x:c r="J12" s="32" t="n">
        <x:v>46348</x:v>
      </x:c>
      <x:c r="K12" s="32"/>
      <x:c r="L12" s="26" t="str">
        <x:v>Active: On/After 01-Aug-2026</x:v>
      </x:c>
      <x:c r="M12" s="26" t="str">
        <x:v>Medium</x:v>
      </x:c>
      <x:c r="N12" s="26" t="str">
        <x:v>ECCE Equipment=Minor; Educational Needs=Minor; Electrical Infrastructure=Medium; Health and Safety aids=Minor; Office Needs=Minor</x:v>
      </x:c>
      <x:c r="O12" s="26" t="n">
        <x:v>1</x:v>
      </x:c>
      <x:c r="P12" s="26" t="str">
        <x:v>Jaggannapet (36701020215)</x:v>
      </x:c>
      <x:c r="Q12" s="26" t="str">
        <x:v>36701020215</x:v>
      </x:c>
      <x:c r="R12" s="26" t="n">
        <x:v>41</x:v>
      </x:c>
      <x:c r="S12" s="36" t="n">
        <x:v>50000</x:v>
      </x:c>
      <x:c r="T12" s="26" t="str">
        <x:v>Water Filter	Gas Stove&amp; Regulator						Pressure Cooker	Slides	Kids Chairs	Fans &amp; Lights	Storage Bins	Egg &amp; Milk Storge Racks	Digital GMD
</x:v>
      </x:c>
      <x:c r="U12" s="26" t="str">
        <x:v>Water Filter	Gas Stove&amp; Regulator						Pressure Cooker	Slides	Kids Chairs	Fans &amp; Lights	Storage Bins	Egg &amp; Milk Storge Racks	Digital GMD
</x:v>
      </x:c>
      <x:c r="V12" s="27" t="b">
        <x:v>1</x:v>
      </x:c>
      <x:c r="W12" s="26" t="n">
        <x:v>7</x:v>
      </x:c>
      <x:c r="X12" s="26" t="n">
        <x:v>0</x:v>
      </x:c>
      <x:c r="Y12" s="26" t="n">
        <x:v>21</x:v>
      </x:c>
      <x:c r="Z12" s="26" t="n">
        <x:v>0</x:v>
      </x:c>
      <x:c r="AA12" s="26" t="n">
        <x:v>21</x:v>
      </x:c>
      <x:c r="AB12" s="38" t="n"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46220.01775462963</x:v>
      </x:c>
      <x:c r="AG12" s="34"/>
      <x:c r="AH12" s="26" t="str">
        <x:v>Fully enriched from attached Mulugu project JSON</x:v>
      </x:c>
      <x:c r="AI12" s="26" t="str"/>
      <x:c r="AJ12" s="26" t="str">
        <x:v>Not Started</x:v>
      </x:c>
      <x:c r="AK12" s="26" t="str"/>
      <x:c r="AL12" s="26" t="str"/>
    </x:row>
    <x:row r="13">
      <x:c r="A13" s="26" t="n">
        <x:v>10</x:v>
      </x:c>
      <x:c r="B13" s="26" t="n">
        <x:v>281</x:v>
      </x:c>
      <x:c r="C13" s="26" t="str">
        <x:v>Mulugu</x:v>
      </x:c>
      <x:c r="D13" s="26" t="str">
        <x:v>Telangana</x:v>
      </x:c>
      <x:c r="E13" s="26" t="n">
        <x:v>10430</x:v>
      </x:c>
      <x:c r="F13" s="26" t="str">
        <x:v>PRJ-2026-0010430</x:v>
      </x:c>
      <x:c r="G13" s="26" t="str">
        <x:v>AWC Ramsing Thanda</x:v>
      </x:c>
      <x:c r="H13" s="26" t="str">
        <x:v>Mission Saksham Anganwadi &amp; POSHAN 2.0</x:v>
      </x:c>
      <x:c r="I13" s="32" t="n">
        <x:v>46164</x:v>
      </x:c>
      <x:c r="J13" s="32" t="n">
        <x:v>46348</x:v>
      </x:c>
      <x:c r="K13" s="32"/>
      <x:c r="L13" s="26" t="str">
        <x:v>Active: On/After 01-Aug-2026</x:v>
      </x:c>
      <x:c r="M13" s="26" t="str">
        <x:v>Medium</x:v>
      </x:c>
      <x:c r="N13" s="26" t="str">
        <x:v>ECCE Equipment=Minor; Educational Needs=Minor; Electrical Infrastructure=Medium; Health and Safety aids=Minor; Office Needs=Minor</x:v>
      </x:c>
      <x:c r="O13" s="26" t="n">
        <x:v>1</x:v>
      </x:c>
      <x:c r="P13" s="26" t="str">
        <x:v>RAMSING THANDA  (Mini) (36701020207)</x:v>
      </x:c>
      <x:c r="Q13" s="26" t="str">
        <x:v>36701020207</x:v>
      </x:c>
      <x:c r="R13" s="26" t="n">
        <x:v>18</x:v>
      </x:c>
      <x:c r="S13" s="36" t="n">
        <x:v>50000</x:v>
      </x:c>
      <x:c r="T13" s="26" t="str">
        <x:v>Water Filter	
Gas Stove&amp; Regulator						
Pressure Cooker	
Slides	
Kids Chairs	
Fans &amp; Lights	
Storage Bins	
Egg &amp; Milk Storge Racks	
Digital GMD
</x:v>
      </x:c>
      <x:c r="U13" s="26" t="str">
        <x:v>Water Filter	
Gas Stove&amp; Regulator						
Pressure Cooker	
Slides	
Kids Chairs	
Fans &amp; Lights	
Storage Bins	
Egg &amp; Milk Storge Racks	
Digital GMD</x:v>
      </x:c>
      <x:c r="V13" s="27" t="b">
        <x:v>1</x:v>
      </x:c>
      <x:c r="W13" s="26" t="n">
        <x:v>7</x:v>
      </x:c>
      <x:c r="X13" s="26" t="n">
        <x:v>0</x:v>
      </x:c>
      <x:c r="Y13" s="26" t="n">
        <x:v>37</x:v>
      </x:c>
      <x:c r="Z13" s="26" t="n">
        <x:v>0</x:v>
      </x:c>
      <x:c r="AA13" s="26" t="n">
        <x:v>37</x:v>
      </x:c>
      <x:c r="AB13" s="38" t="n">
        <x:v>0</x:v>
      </x:c>
      <x:c r="AC13" s="26" t="str">
        <x:v>Committed / Not Delivered</x:v>
      </x:c>
      <x:c r="AD13" s="26" t="str">
        <x:v>Approval not recorded in response</x:v>
      </x:c>
      <x:c r="AE13" s="27" t="b">
        <x:v>1</x:v>
      </x:c>
      <x:c r="AF13" s="34" t="n">
        <x:v>46220.017743055556</x:v>
      </x:c>
      <x:c r="AG13" s="34"/>
      <x:c r="AH13" s="26" t="str">
        <x:v>Fully enriched from attached Mulugu project JSON</x:v>
      </x:c>
      <x:c r="AI13" s="26" t="str"/>
      <x:c r="AJ13" s="26" t="str">
        <x:v>Not Started</x:v>
      </x:c>
      <x:c r="AK13" s="26" t="str"/>
      <x:c r="AL13" s="26" t="str"/>
    </x:row>
    <x:row r="14">
      <x:c r="A14" s="26" t="n">
        <x:v>11</x:v>
      </x:c>
      <x:c r="B14" s="26" t="n">
        <x:v>282</x:v>
      </x:c>
      <x:c r="C14" s="26" t="str">
        <x:v>Mulugu</x:v>
      </x:c>
      <x:c r="D14" s="26" t="str">
        <x:v>Telangana</x:v>
      </x:c>
      <x:c r="E14" s="26" t="n">
        <x:v>10329</x:v>
      </x:c>
      <x:c r="F14" s="26" t="str">
        <x:v>PRJ-2026-0010329</x:v>
      </x:c>
      <x:c r="G14" s="26" t="str">
        <x:v>AWC Gurthuruthanda</x:v>
      </x:c>
      <x:c r="H14" s="26" t="str">
        <x:v>Mission Saksham Anganwadi &amp; POSHAN 2.0</x:v>
      </x:c>
      <x:c r="I14" s="32" t="n">
        <x:v>46164</x:v>
      </x:c>
      <x:c r="J14" s="32" t="n">
        <x:v>46348</x:v>
      </x:c>
      <x:c r="K14" s="32"/>
      <x:c r="L14" s="26" t="str">
        <x:v>Active: On/After 01-Aug-2026</x:v>
      </x:c>
      <x:c r="M14" s="26" t="str">
        <x:v>Medium</x:v>
      </x:c>
      <x:c r="N14" s="26" t="str">
        <x:v>ECCE Equipment=Minor; Educational Needs=Minor; Electrical Infrastructure=Medium; Health and Safety aids=Minor; Office Needs=Minor</x:v>
      </x:c>
      <x:c r="O14" s="26" t="n">
        <x:v>1</x:v>
      </x:c>
      <x:c r="P14" s="26" t="str">
        <x:v>Gurthuruthanda (36701020216)</x:v>
      </x:c>
      <x:c r="Q14" s="26" t="str">
        <x:v>36701020216</x:v>
      </x:c>
      <x:c r="R14" s="26" t="n">
        <x:v>42</x:v>
      </x:c>
      <x:c r="S14" s="36" t="n">
        <x:v>50000</x:v>
      </x:c>
      <x:c r="T14" s="26" t="str">
        <x:v>Civil Repair	Water Filter	Gas Stove&amp; Regulator						Pressure Cooker	Slides	Kids Chairs	Fans &amp; Lights	Storage Bins	Egg &amp; Milk Storge Racks	Digital GMD
</x:v>
      </x:c>
      <x:c r="U14" s="26" t="str">
        <x:v>Civil Repair	Water Filter	Gas Stove&amp; Regulator						Pressure Cooker	Slides	Kids Chairs	Fans &amp; Lights	Storage Bins	Egg &amp; Milk Storge Racks	Digital GMD
</x:v>
      </x:c>
      <x:c r="V14" s="27" t="b">
        <x:v>1</x:v>
      </x:c>
      <x:c r="W14" s="26" t="n">
        <x:v>7</x:v>
      </x:c>
      <x:c r="X14" s="26" t="n">
        <x:v>0</x:v>
      </x:c>
      <x:c r="Y14" s="26" t="n">
        <x:v>34</x:v>
      </x:c>
      <x:c r="Z14" s="26" t="n">
        <x:v>0</x:v>
      </x:c>
      <x:c r="AA14" s="26" t="n">
        <x:v>34</x:v>
      </x:c>
      <x:c r="AB14" s="38" t="n">
        <x:v>0</x:v>
      </x:c>
      <x:c r="AC14" s="26" t="str">
        <x:v>Committed / Not Delivered</x:v>
      </x:c>
      <x:c r="AD14" s="26" t="str">
        <x:v>Approval not recorded in response</x:v>
      </x:c>
      <x:c r="AE14" s="27" t="b">
        <x:v>1</x:v>
      </x:c>
      <x:c r="AF14" s="34" t="n">
        <x:v>46220.017743055556</x:v>
      </x:c>
      <x:c r="AG14" s="34"/>
      <x:c r="AH14" s="26" t="str">
        <x:v>Fully enriched from attached Mulugu project JSON</x:v>
      </x:c>
      <x:c r="AI14" s="26" t="str"/>
      <x:c r="AJ14" s="26" t="str">
        <x:v>Not Started</x:v>
      </x:c>
      <x:c r="AK14" s="26" t="str"/>
      <x:c r="AL14" s="26" t="str"/>
    </x:row>
    <x:row r="15">
      <x:c r="A15" s="26" t="n">
        <x:v>12</x:v>
      </x:c>
      <x:c r="B15" s="26" t="n">
        <x:v>280</x:v>
      </x:c>
      <x:c r="C15" s="26" t="str">
        <x:v>Mulugu</x:v>
      </x:c>
      <x:c r="D15" s="26" t="str">
        <x:v>Telangana</x:v>
      </x:c>
      <x:c r="E15" s="26" t="n">
        <x:v>10539</x:v>
      </x:c>
      <x:c r="F15" s="26" t="str">
        <x:v>PRJ-2026-0010539</x:v>
      </x:c>
      <x:c r="G15" s="26" t="str">
        <x:v>AWC Annampalli</x:v>
      </x:c>
      <x:c r="H15" s="26" t="str">
        <x:v>Mission Saksham Anganwadi &amp; POSHAN 2.0</x:v>
      </x:c>
      <x:c r="I15" s="32" t="n">
        <x:v>46164</x:v>
      </x:c>
      <x:c r="J15" s="32" t="n">
        <x:v>46348</x:v>
      </x:c>
      <x:c r="K15" s="32"/>
      <x:c r="L15" s="26" t="str">
        <x:v>Active: On/After 01-Aug-2026</x:v>
      </x:c>
      <x:c r="M15" s="26" t="str">
        <x:v>Medium</x:v>
      </x:c>
      <x:c r="N15" s="26" t="str">
        <x:v>ECCE Equipment=Minor; Educational Needs=Minor; Electrical Infrastructure=Medium; Health and Safety aids=Minor; Office Needs=Minor</x:v>
      </x:c>
      <x:c r="O15" s="26" t="n">
        <x:v>1</x:v>
      </x:c>
      <x:c r="P15" s="26" t="str">
        <x:v>ANNAMPALLI (36701020222)</x:v>
      </x:c>
      <x:c r="Q15" s="26" t="str">
        <x:v>36701020222</x:v>
      </x:c>
      <x:c r="R15" s="26" t="n">
        <x:v>30</x:v>
      </x:c>
      <x:c r="S15" s="36" t="n">
        <x:v>50000</x:v>
      </x:c>
      <x:c r="T15" s="26" t="str">
        <x:v>Water Filter	
Gas Stove&amp; Regulator						
Pressure Cooker	
Slides	
Kids Chairs	
Fans &amp; Lights	
Storage Bins	
Egg &amp; Milk Storge Racks	
Digital GMD</x:v>
      </x:c>
      <x:c r="U15" s="26" t="str">
        <x:v>Water Filter	
Gas Stove&amp; Regulator						
Pressure Cooker	
Slides	
Kids Chairs	
Fans &amp; Lights	
Storage Bins	
Egg &amp; Milk Storge Racks	
Digital GMD</x:v>
      </x:c>
      <x:c r="V15" s="27" t="b">
        <x:v>1</x:v>
      </x:c>
      <x:c r="W15" s="26" t="n">
        <x:v>7</x:v>
      </x:c>
      <x:c r="X15" s="26" t="n">
        <x:v>0</x:v>
      </x:c>
      <x:c r="Y15" s="26" t="n">
        <x:v>29</x:v>
      </x:c>
      <x:c r="Z15" s="26" t="n">
        <x:v>0</x:v>
      </x:c>
      <x:c r="AA15" s="26" t="n">
        <x:v>29</x:v>
      </x:c>
      <x:c r="AB15" s="38" t="n">
        <x:v>0</x:v>
      </x:c>
      <x:c r="AC15" s="26" t="str">
        <x:v>Committed / Not Delivered</x:v>
      </x:c>
      <x:c r="AD15" s="26" t="str">
        <x:v>Approval not recorded in response</x:v>
      </x:c>
      <x:c r="AE15" s="27" t="b">
        <x:v>1</x:v>
      </x:c>
      <x:c r="AF15" s="34" t="n">
        <x:v>46220.01773148148</x:v>
      </x:c>
      <x:c r="AG15" s="34"/>
      <x:c r="AH15" s="26" t="str">
        <x:v>Fully enriched from attached Mulugu project JSON</x:v>
      </x:c>
      <x:c r="AI15" s="26" t="str"/>
      <x:c r="AJ15" s="26" t="str">
        <x:v>Not Started</x:v>
      </x:c>
      <x:c r="AK15" s="26" t="str"/>
      <x:c r="AL15" s="26" t="str"/>
    </x:row>
    <x:row r="16">
      <x:c r="A16" s="26" t="n">
        <x:v>13</x:v>
      </x:c>
      <x:c r="B16" s="26" t="n">
        <x:v>279</x:v>
      </x:c>
      <x:c r="C16" s="26" t="str">
        <x:v>Mulugu</x:v>
      </x:c>
      <x:c r="D16" s="26" t="str">
        <x:v>Telangana</x:v>
      </x:c>
      <x:c r="E16" s="26" t="n">
        <x:v>10589</x:v>
      </x:c>
      <x:c r="F16" s="26" t="str">
        <x:v>PRJ-2026-0010589</x:v>
      </x:c>
      <x:c r="G16" s="26" t="str">
        <x:v>AWC Pandikunta I</x:v>
      </x:c>
      <x:c r="H16" s="26" t="str">
        <x:v>Mission Saksham Anganwadi &amp; POSHAN 2.0</x:v>
      </x:c>
      <x:c r="I16" s="32" t="n">
        <x:v>46164</x:v>
      </x:c>
      <x:c r="J16" s="32" t="n">
        <x:v>46348</x:v>
      </x:c>
      <x:c r="K16" s="32"/>
      <x:c r="L16" s="26" t="str">
        <x:v>Active: On/After 01-Aug-2026</x:v>
      </x:c>
      <x:c r="M16" s="26" t="str">
        <x:v>Medium</x:v>
      </x:c>
      <x:c r="N16" s="26" t="str">
        <x:v>ECCE Equipment=Minor; Educational Needs=Minor; Electrical Infrastructure=Medium; Health and Safety aids=Minor; Office Needs=Minor</x:v>
      </x:c>
      <x:c r="O16" s="26" t="n">
        <x:v>1</x:v>
      </x:c>
      <x:c r="P16" s="26" t="str">
        <x:v>Pandikunta - I (36701020211)</x:v>
      </x:c>
      <x:c r="Q16" s="26" t="str">
        <x:v>36701020211</x:v>
      </x:c>
      <x:c r="R16" s="26" t="n">
        <x:v>59</x:v>
      </x:c>
      <x:c r="S16" s="36" t="n">
        <x:v>50000</x:v>
      </x:c>
      <x:c r="T16" s="26" t="str">
        <x:v>Water Filter	
Gas Stove&amp; Regulator						
Pressure Cooker	
Slides	
Kids Chairs	
Fans &amp; Lights	
Storage Bins	
Egg &amp; Milk Storge Racks	
Digital GMD</x:v>
      </x:c>
      <x:c r="U16" s="26" t="str">
        <x:v>Water Filter	
Gas Stove&amp; Regulator						
Pressure Cooker	
Slides	
Kids Chairs	
Fans &amp; Lights	
Storage Bins	
Egg &amp; Milk Storge Racks	
Digital GMD</x:v>
      </x:c>
      <x:c r="V16" s="27" t="b">
        <x:v>1</x:v>
      </x:c>
      <x:c r="W16" s="26" t="n">
        <x:v>8</x:v>
      </x:c>
      <x:c r="X16" s="26" t="n">
        <x:v>0</x:v>
      </x:c>
      <x:c r="Y16" s="26" t="n">
        <x:v>43</x:v>
      </x:c>
      <x:c r="Z16" s="26" t="n">
        <x:v>0</x:v>
      </x:c>
      <x:c r="AA16" s="26" t="n">
        <x:v>43</x:v>
      </x:c>
      <x:c r="AB16" s="38" t="n">
        <x:v>0</x:v>
      </x:c>
      <x:c r="AC16" s="26" t="str">
        <x:v>Committed / Not Delivered</x:v>
      </x:c>
      <x:c r="AD16" s="26" t="str">
        <x:v>Approval not recorded in response</x:v>
      </x:c>
      <x:c r="AE16" s="27" t="b">
        <x:v>1</x:v>
      </x:c>
      <x:c r="AF16" s="34" t="n">
        <x:v>46220.01724537037</x:v>
      </x:c>
      <x:c r="AG16" s="34"/>
      <x:c r="AH16" s="26" t="str">
        <x:v>Fully enriched from attached Mulugu project JSON</x:v>
      </x:c>
      <x:c r="AI16" s="26" t="str"/>
      <x:c r="AJ16" s="26" t="str">
        <x:v>Not Started</x:v>
      </x:c>
      <x:c r="AK16" s="26" t="str"/>
      <x:c r="AL16" s="26" t="str"/>
    </x:row>
    <x:row r="17">
      <x:c r="A17" s="26" t="n">
        <x:v>14</x:v>
      </x:c>
      <x:c r="B17" s="26" t="n">
        <x:v>277</x:v>
      </x:c>
      <x:c r="C17" s="26" t="str">
        <x:v>Mulugu</x:v>
      </x:c>
      <x:c r="D17" s="26" t="str">
        <x:v>Telangana</x:v>
      </x:c>
      <x:c r="E17" s="26" t="n">
        <x:v>10671</x:v>
      </x:c>
      <x:c r="F17" s="26" t="str">
        <x:v>PRJ-2026-0010671</x:v>
      </x:c>
      <x:c r="G17" s="26" t="str">
        <x:v>AWC </x:v>
      </x:c>
      <x:c r="H17" s="26" t="str">
        <x:v>Mission Saksham Anganwadi &amp; POSHAN 2.0</x:v>
      </x:c>
      <x:c r="I17" s="32" t="n">
        <x:v>46164</x:v>
      </x:c>
      <x:c r="J17" s="32" t="n">
        <x:v>46348</x:v>
      </x:c>
      <x:c r="K17" s="32"/>
      <x:c r="L17" s="26" t="str">
        <x:v>Active: On/After 01-Aug-2026</x:v>
      </x:c>
      <x:c r="M17" s="26" t="str">
        <x:v>Medium</x:v>
      </x:c>
      <x:c r="N17" s="26" t="str">
        <x:v>ECCE Equipment=Minor; Educational Needs=Minor; Electrical Infrastructure=Medium; Health and Safety aids=Minor; Office Needs=Minor</x:v>
      </x:c>
      <x:c r="O17" s="26" t="n">
        <x:v>1</x:v>
      </x:c>
      <x:c r="P17" s="26" t="str">
        <x:v>Shivathanda (36701020204)</x:v>
      </x:c>
      <x:c r="Q17" s="26" t="str">
        <x:v>36701020204</x:v>
      </x:c>
      <x:c r="R17" s="26" t="n">
        <x:v>20</x:v>
      </x:c>
      <x:c r="S17" s="36" t="n">
        <x:v>50000</x:v>
      </x:c>
      <x:c r="T17" s="26" t="str">
        <x:v>Water Filter	
Gas Stove&amp; Regulator						
Pressure Cooker	
Slides	
Kids Chairs	
Fans &amp; Lights	
Storage Bins	
Egg &amp; Milk Storge Racks	
Digital GMD</x:v>
      </x:c>
      <x:c r="U17" s="26" t="str">
        <x:v>Water Filter	
Gas Stove&amp; Regulator						
Pressure Cooker	
Slides	
Kids Chairs	
Fans &amp; Lights	
Storage Bins	
Egg &amp; Milk Storge Racks	
Digital GMD</x:v>
      </x:c>
      <x:c r="V17" s="27" t="b">
        <x:v>1</x:v>
      </x:c>
      <x:c r="W17" s="26" t="n">
        <x:v>7</x:v>
      </x:c>
      <x:c r="X17" s="26" t="n">
        <x:v>0</x:v>
      </x:c>
      <x:c r="Y17" s="26" t="n">
        <x:v>35</x:v>
      </x:c>
      <x:c r="Z17" s="26" t="n">
        <x:v>0</x:v>
      </x:c>
      <x:c r="AA17" s="26" t="n">
        <x:v>35</x:v>
      </x:c>
      <x:c r="AB17" s="38" t="n">
        <x:v>0</x:v>
      </x:c>
      <x:c r="AC17" s="26" t="str">
        <x:v>Committed / Not Delivered</x:v>
      </x:c>
      <x:c r="AD17" s="26" t="str">
        <x:v>Approval not recorded in response</x:v>
      </x:c>
      <x:c r="AE17" s="27" t="b">
        <x:v>1</x:v>
      </x:c>
      <x:c r="AF17" s="34" t="n">
        <x:v>46220.017233796294</x:v>
      </x:c>
      <x:c r="AG17" s="34"/>
      <x:c r="AH17" s="26" t="str">
        <x:v>Fully enriched from attached Mulugu project JSON</x:v>
      </x:c>
      <x:c r="AI17" s="26" t="str"/>
      <x:c r="AJ17" s="26" t="str">
        <x:v>Not Started</x:v>
      </x:c>
      <x:c r="AK17" s="26" t="str"/>
      <x:c r="AL17" s="26" t="str"/>
    </x:row>
    <x:row r="18">
      <x:c r="A18" s="26" t="n">
        <x:v>15</x:v>
      </x:c>
      <x:c r="B18" s="26" t="n">
        <x:v>278</x:v>
      </x:c>
      <x:c r="C18" s="26" t="str">
        <x:v>Mulugu</x:v>
      </x:c>
      <x:c r="D18" s="26" t="str">
        <x:v>Telangana</x:v>
      </x:c>
      <x:c r="E18" s="26" t="n">
        <x:v>10633</x:v>
      </x:c>
      <x:c r="F18" s="26" t="str">
        <x:v>PRJ-2026-0010633</x:v>
      </x:c>
      <x:c r="G18" s="26" t="str">
        <x:v>AWC Sreeramulapalli</x:v>
      </x:c>
      <x:c r="H18" s="26" t="str">
        <x:v>Mission Saksham Anganwadi &amp; POSHAN 2.0</x:v>
      </x:c>
      <x:c r="I18" s="32" t="n">
        <x:v>46164</x:v>
      </x:c>
      <x:c r="J18" s="32" t="n">
        <x:v>46348</x:v>
      </x:c>
      <x:c r="K18" s="32"/>
      <x:c r="L18" s="26" t="str">
        <x:v>Active: On/After 01-Aug-2026</x:v>
      </x:c>
      <x:c r="M18" s="26" t="str">
        <x:v>Medium</x:v>
      </x:c>
      <x:c r="N18" s="26" t="str">
        <x:v>ECCE Equipment=Minor; Educational Needs=Minor; Electrical Infrastructure=Medium; Health and Safety aids=Minor; Office Needs=Minor</x:v>
      </x:c>
      <x:c r="O18" s="26" t="n">
        <x:v>1</x:v>
      </x:c>
      <x:c r="P18" s="26" t="str">
        <x:v>Sreeramulapalli (36687040422)</x:v>
      </x:c>
      <x:c r="Q18" s="26" t="str">
        <x:v>36687040422</x:v>
      </x:c>
      <x:c r="R18" s="26" t="n">
        <x:v>84</x:v>
      </x:c>
      <x:c r="S18" s="36" t="n">
        <x:v>50000</x:v>
      </x:c>
      <x:c r="T18" s="26" t="str">
        <x:v>Water Filter	
Gas Stove&amp; Regulator						
Pressure Cooker	
Slides	
Kids Chairs	
Fans &amp; Lights	
Storage Bins	
Egg &amp; Milk Storge Racks	
Digital GMD</x:v>
      </x:c>
      <x:c r="U18" s="26" t="str">
        <x:v>Water Filter	
Gas Stove&amp; Regulator						
Pressure Cooker	
Slides	
Kids Chairs	
Fans &amp; Lights	
Storage Bins	
Egg &amp; Milk Storge Racks	
Digital GMD</x:v>
      </x:c>
      <x:c r="V18" s="27" t="b">
        <x:v>1</x:v>
      </x:c>
      <x:c r="W18" s="26" t="n">
        <x:v>9</x:v>
      </x:c>
      <x:c r="X18" s="26" t="n">
        <x:v>0</x:v>
      </x:c>
      <x:c r="Y18" s="26" t="n">
        <x:v>61</x:v>
      </x:c>
      <x:c r="Z18" s="26" t="n">
        <x:v>0</x:v>
      </x:c>
      <x:c r="AA18" s="26" t="n">
        <x:v>61</x:v>
      </x:c>
      <x:c r="AB18" s="38" t="n">
        <x:v>0</x:v>
      </x:c>
      <x:c r="AC18" s="26" t="str">
        <x:v>Committed / Not Delivered</x:v>
      </x:c>
      <x:c r="AD18" s="26" t="str">
        <x:v>Approval not recorded in response</x:v>
      </x:c>
      <x:c r="AE18" s="27" t="b">
        <x:v>1</x:v>
      </x:c>
      <x:c r="AF18" s="34" t="n">
        <x:v>46220.017233796294</x:v>
      </x:c>
      <x:c r="AG18" s="34"/>
      <x:c r="AH18" s="26" t="str">
        <x:v>Fully enriched from attached Mulugu project JSON</x:v>
      </x:c>
      <x:c r="AI18" s="26" t="str"/>
      <x:c r="AJ18" s="26" t="str">
        <x:v>Not Started</x:v>
      </x:c>
      <x:c r="AK18" s="26" t="str"/>
      <x:c r="AL18" s="26" t="str"/>
    </x:row>
    <x:row r="19">
      <x:c r="A19" s="26" t="n">
        <x:v>16</x:v>
      </x:c>
      <x:c r="B19" s="26" t="n">
        <x:v>275</x:v>
      </x:c>
      <x:c r="C19" s="26" t="str">
        <x:v>Mulugu</x:v>
      </x:c>
      <x:c r="D19" s="26" t="str">
        <x:v>Telangana</x:v>
      </x:c>
      <x:c r="E19" s="26" t="n">
        <x:v>10774</x:v>
      </x:c>
      <x:c r="F19" s="26" t="str">
        <x:v>PRJ-2026-0010774</x:v>
      </x:c>
      <x:c r="G19" s="26" t="str">
        <x:v>AWC Chinnagunturupalli 2</x:v>
      </x:c>
      <x:c r="H19" s="26" t="str">
        <x:v>Mission Saksham Anganwadi &amp; POSHAN 2.0</x:v>
      </x:c>
      <x:c r="I19" s="32" t="n">
        <x:v>46164</x:v>
      </x:c>
      <x:c r="J19" s="32" t="n">
        <x:v>46348</x:v>
      </x:c>
      <x:c r="K19" s="32"/>
      <x:c r="L19" s="26" t="str">
        <x:v>Active: On/After 01-Aug-2026</x:v>
      </x:c>
      <x:c r="M19" s="26" t="str">
        <x:v>Medium</x:v>
      </x:c>
      <x:c r="N19" s="26" t="str">
        <x:v>ECCE Equipment=Minor; Educational Needs=Minor; Electrical Infrastructure=Medium; Health and Safety aids=Minor; Office Needs=Minor</x:v>
      </x:c>
      <x:c r="O19" s="26" t="n">
        <x:v>1</x:v>
      </x:c>
      <x:c r="P19" s="26" t="str">
        <x:v>Chinnagunturpalli -2 (36701020217)</x:v>
      </x:c>
      <x:c r="Q19" s="26" t="str">
        <x:v>36701020217</x:v>
      </x:c>
      <x:c r="R19" s="26" t="n">
        <x:v>27</x:v>
      </x:c>
      <x:c r="S19" s="36" t="n">
        <x:v>50000</x:v>
      </x:c>
      <x:c r="T19" s="26" t="str">
        <x:v>Water Filter	
Gas Stove&amp; Regulator						
Pressure Cooker	
Slides	
Kids Chairs	
Fans &amp; Lights	
Storage Bins	
Egg &amp; Milk Storge Racks	
Digital GMD</x:v>
      </x:c>
      <x:c r="U19" s="26" t="str">
        <x:v>Water Filter	
Gas Stove&amp; Regulator						
Pressure Cooker	
Slides	
Kids Chairs	
Fans &amp; Lights	
Storage Bins	
Egg &amp; Milk Storge Racks	
Digital GMD</x:v>
      </x:c>
      <x:c r="V19" s="27" t="b">
        <x:v>1</x:v>
      </x:c>
      <x:c r="W19" s="26" t="n">
        <x:v>7</x:v>
      </x:c>
      <x:c r="X19" s="26" t="n">
        <x:v>0</x:v>
      </x:c>
      <x:c r="Y19" s="26" t="n">
        <x:v>36</x:v>
      </x:c>
      <x:c r="Z19" s="26" t="n">
        <x:v>0</x:v>
      </x:c>
      <x:c r="AA19" s="26" t="n">
        <x:v>36</x:v>
      </x:c>
      <x:c r="AB19" s="38" t="n">
        <x:v>0</x:v>
      </x:c>
      <x:c r="AC19" s="26" t="str">
        <x:v>Committed / Not Delivered</x:v>
      </x:c>
      <x:c r="AD19" s="26" t="str">
        <x:v>Approval not recorded in response</x:v>
      </x:c>
      <x:c r="AE19" s="27" t="b">
        <x:v>1</x:v>
      </x:c>
      <x:c r="AF19" s="34" t="n">
        <x:v>46220.017222222225</x:v>
      </x:c>
      <x:c r="AG19" s="34"/>
      <x:c r="AH19" s="26" t="str">
        <x:v>Fully enriched from attached Mulugu project JSON</x:v>
      </x:c>
      <x:c r="AI19" s="26" t="str"/>
      <x:c r="AJ19" s="26" t="str">
        <x:v>Not Started</x:v>
      </x:c>
      <x:c r="AK19" s="26" t="str"/>
      <x:c r="AL19" s="26" t="str"/>
    </x:row>
    <x:row r="20">
      <x:c r="A20" s="26" t="n">
        <x:v>17</x:v>
      </x:c>
      <x:c r="B20" s="26" t="n">
        <x:v>276</x:v>
      </x:c>
      <x:c r="C20" s="26" t="str">
        <x:v>Mulugu</x:v>
      </x:c>
      <x:c r="D20" s="26" t="str">
        <x:v>Telangana</x:v>
      </x:c>
      <x:c r="E20" s="26" t="n">
        <x:v>10716</x:v>
      </x:c>
      <x:c r="F20" s="26" t="str">
        <x:v>PRJ-2026-0010716</x:v>
      </x:c>
      <x:c r="G20" s="26" t="str">
        <x:v>AWC Ramihnagarthanda</x:v>
      </x:c>
      <x:c r="H20" s="26" t="str">
        <x:v>Mission Saksham Anganwadi &amp; POSHAN 2.0</x:v>
      </x:c>
      <x:c r="I20" s="32" t="n">
        <x:v>46164</x:v>
      </x:c>
      <x:c r="J20" s="32" t="n">
        <x:v>46348</x:v>
      </x:c>
      <x:c r="K20" s="32"/>
      <x:c r="L20" s="26" t="str">
        <x:v>Active: On/After 01-Aug-2026</x:v>
      </x:c>
      <x:c r="M20" s="26" t="str">
        <x:v>Medium</x:v>
      </x:c>
      <x:c r="N20" s="26" t="str">
        <x:v>ECCE Equipment=Minor; Educational Needs=Minor; Electrical Infrastructure=Medium; Health and Safety aids=Minor; Office Needs=Minor</x:v>
      </x:c>
      <x:c r="O20" s="26" t="n">
        <x:v>1</x:v>
      </x:c>
      <x:c r="P20" s="26" t="str">
        <x:v>RAHIMNAGARTHANDA  (Mini) (36701020208)</x:v>
      </x:c>
      <x:c r="Q20" s="26" t="str">
        <x:v>36701020208</x:v>
      </x:c>
      <x:c r="R20" s="26" t="n">
        <x:v>24</x:v>
      </x:c>
      <x:c r="S20" s="36" t="n">
        <x:v>50000</x:v>
      </x:c>
      <x:c r="T20" s="26" t="str">
        <x:v>Water Filter	
Gas Stove&amp; Regulator						
Pressure Cooker	
Slides	
Kids Chairs	
Fans &amp; Lights	
Storage Bins	
Egg &amp; Milk Storge Racks	
Digital GMD</x:v>
      </x:c>
      <x:c r="U20" s="26" t="str">
        <x:v>Water Filter	
Gas Stove&amp; Regulator						
Pressure Cooker	
Slides	
Kids Chairs	
Fans &amp; Lights	
Storage Bins	
Egg &amp; Milk Storge Racks	
Digital GMD</x:v>
      </x:c>
      <x:c r="V20" s="27" t="b">
        <x:v>1</x:v>
      </x:c>
      <x:c r="W20" s="26" t="n">
        <x:v>7</x:v>
      </x:c>
      <x:c r="X20" s="26" t="n">
        <x:v>0</x:v>
      </x:c>
      <x:c r="Y20" s="26" t="n">
        <x:v>37</x:v>
      </x:c>
      <x:c r="Z20" s="26" t="n">
        <x:v>0</x:v>
      </x:c>
      <x:c r="AA20" s="26" t="n">
        <x:v>37</x:v>
      </x:c>
      <x:c r="AB20" s="38" t="n">
        <x:v>0</x:v>
      </x:c>
      <x:c r="AC20" s="26" t="str">
        <x:v>Committed / Not Delivered</x:v>
      </x:c>
      <x:c r="AD20" s="26" t="str">
        <x:v>Approval not recorded in response</x:v>
      </x:c>
      <x:c r="AE20" s="27" t="b">
        <x:v>1</x:v>
      </x:c>
      <x:c r="AF20" s="34" t="n">
        <x:v>46220.017222222225</x:v>
      </x:c>
      <x:c r="AG20" s="34"/>
      <x:c r="AH20" s="26" t="str">
        <x:v>Fully enriched from attached Mulugu project JSON</x:v>
      </x:c>
      <x:c r="AI20" s="26" t="str"/>
      <x:c r="AJ20" s="26" t="str">
        <x:v>Not Started</x:v>
      </x:c>
      <x:c r="AK20" s="26" t="str"/>
      <x:c r="AL20" s="26" t="str"/>
    </x:row>
    <x:row r="21">
      <x:c r="A21" s="26" t="n">
        <x:v>18</x:v>
      </x:c>
      <x:c r="B21" s="26" t="n">
        <x:v>273</x:v>
      </x:c>
      <x:c r="C21" s="26" t="str">
        <x:v>Mulugu</x:v>
      </x:c>
      <x:c r="D21" s="26" t="str">
        <x:v>Telangana</x:v>
      </x:c>
      <x:c r="E21" s="26" t="n">
        <x:v>11291</x:v>
      </x:c>
      <x:c r="F21" s="26" t="str">
        <x:v>PRJ-2026-0011291</x:v>
      </x:c>
      <x:c r="G21" s="26" t="str">
        <x:v>AWC Narsingapur</x:v>
      </x:c>
      <x:c r="H21" s="26" t="str">
        <x:v>Mission Saksham Anganwadi &amp; POSHAN 2.0</x:v>
      </x:c>
      <x:c r="I21" s="32" t="n">
        <x:v>46164</x:v>
      </x:c>
      <x:c r="J21" s="32" t="n">
        <x:v>46348</x:v>
      </x:c>
      <x:c r="K21" s="32"/>
      <x:c r="L21" s="26" t="str">
        <x:v>Active: On/After 01-Aug-2026</x:v>
      </x:c>
      <x:c r="M21" s="26" t="str">
        <x:v>Medium</x:v>
      </x:c>
      <x:c r="N21" s="26" t="str">
        <x:v>ECCE Equipment=Minor; Educational Needs=Minor; Electrical Infrastructure=Medium; Health and Safety aids=Minor; Office Needs=Minor</x:v>
      </x:c>
      <x:c r="O21" s="26" t="n">
        <x:v>1</x:v>
      </x:c>
      <x:c r="P21" s="26" t="str">
        <x:v>Narsingapur (36701020614)</x:v>
      </x:c>
      <x:c r="Q21" s="26" t="str">
        <x:v>36701020614</x:v>
      </x:c>
      <x:c r="R21" s="26" t="n">
        <x:v>49</x:v>
      </x:c>
      <x:c r="S21" s="36" t="n">
        <x:v>50000</x:v>
      </x:c>
      <x:c r="T21" s="26" t="str">
        <x:v>Water Filter	
Gas Stove&amp; Regulator
Pressure Cooker	
Slides	
Kids Chairs	
Fans &amp; Lights	
Storage Bins	
Egg &amp; Milk Storge Racks	
Digital GMD
</x:v>
      </x:c>
      <x:c r="U21" s="26" t="str">
        <x:v>Water Filter	
Gas Stove&amp; Regulator
Pressure Cooker	
Slides	
Kids Chairs	
Fans &amp; Lights	
Storage Bins	
Egg &amp; Milk Storge Racks	
Digital GMD
</x:v>
      </x:c>
      <x:c r="V21" s="27" t="b">
        <x:v>1</x:v>
      </x:c>
      <x:c r="W21" s="26" t="n">
        <x:v>7</x:v>
      </x:c>
      <x:c r="X21" s="26" t="n">
        <x:v>0</x:v>
      </x:c>
      <x:c r="Y21" s="26" t="n">
        <x:v>37</x:v>
      </x:c>
      <x:c r="Z21" s="26" t="n">
        <x:v>0</x:v>
      </x:c>
      <x:c r="AA21" s="26" t="n">
        <x:v>37</x:v>
      </x:c>
      <x:c r="AB21" s="38" t="n">
        <x:v>0</x:v>
      </x:c>
      <x:c r="AC21" s="26" t="str">
        <x:v>Committed / Not Delivered</x:v>
      </x:c>
      <x:c r="AD21" s="26" t="str">
        <x:v>Approval not recorded in response</x:v>
      </x:c>
      <x:c r="AE21" s="27" t="b">
        <x:v>1</x:v>
      </x:c>
      <x:c r="AF21" s="34" t="n">
        <x:v>46220.01721064815</x:v>
      </x:c>
      <x:c r="AG21" s="34"/>
      <x:c r="AH21" s="26" t="str">
        <x:v>Fully enriched from attached Mulugu project JSON</x:v>
      </x:c>
      <x:c r="AI21" s="26" t="str"/>
      <x:c r="AJ21" s="26" t="str">
        <x:v>Not Started</x:v>
      </x:c>
      <x:c r="AK21" s="26" t="str"/>
      <x:c r="AL21" s="26" t="str"/>
    </x:row>
    <x:row r="22">
      <x:c r="A22" s="26" t="n">
        <x:v>19</x:v>
      </x:c>
      <x:c r="B22" s="26" t="n">
        <x:v>274</x:v>
      </x:c>
      <x:c r="C22" s="26" t="str">
        <x:v>Mulugu</x:v>
      </x:c>
      <x:c r="D22" s="26" t="str">
        <x:v>Telangana</x:v>
      </x:c>
      <x:c r="E22" s="26" t="n">
        <x:v>10963</x:v>
      </x:c>
      <x:c r="F22" s="26" t="str">
        <x:v>PRJ-2026-0010963</x:v>
      </x:c>
      <x:c r="G22" s="26" t="str">
        <x:v>AWC Andugulamani</x:v>
      </x:c>
      <x:c r="H22" s="26" t="str">
        <x:v>Mission Saksham Anganwadi &amp; POSHAN 2.0</x:v>
      </x:c>
      <x:c r="I22" s="32" t="n">
        <x:v>46164</x:v>
      </x:c>
      <x:c r="J22" s="32" t="n">
        <x:v>46348</x:v>
      </x:c>
      <x:c r="K22" s="32"/>
      <x:c r="L22" s="26" t="str">
        <x:v>Active: On/After 01-Aug-2026</x:v>
      </x:c>
      <x:c r="M22" s="26" t="str">
        <x:v>Medium</x:v>
      </x:c>
      <x:c r="N22" s="26" t="str">
        <x:v>ECCE Equipment=Minor; Educational Needs=Minor; Electrical Infrastructure=Medium; Health and Safety aids=Minor; Office Needs=Minor</x:v>
      </x:c>
      <x:c r="O22" s="26" t="n">
        <x:v>1</x:v>
      </x:c>
      <x:c r="P22" s="26" t="str">
        <x:v>Andugulamani (36701020625)</x:v>
      </x:c>
      <x:c r="Q22" s="26" t="str">
        <x:v>36701020625</x:v>
      </x:c>
      <x:c r="R22" s="26" t="n">
        <x:v>51</x:v>
      </x:c>
      <x:c r="S22" s="36" t="n">
        <x:v>50000</x:v>
      </x:c>
      <x:c r="T22" s="26" t="str">
        <x:v>Water Filter	
Gas Stove&amp; Regulator
Pressure Cooker	
Slides	
Kids Chairs	
Fans &amp; Lights	
Storage Bins	
Egg &amp; Milk Storge Racks	
Digital GMD
</x:v>
      </x:c>
      <x:c r="U22" s="26" t="str">
        <x:v>Water Filter	
Gas Stove&amp; Regulator
Pressure Cooker	
Slides	
Kids Chairs	
Fans &amp; Lights	
Storage Bins	
Egg &amp; Milk Storge Racks	
Digital GMD
</x:v>
      </x:c>
      <x:c r="V22" s="27" t="b">
        <x:v>1</x:v>
      </x:c>
      <x:c r="W22" s="26" t="n">
        <x:v>8</x:v>
      </x:c>
      <x:c r="X22" s="26" t="n">
        <x:v>0</x:v>
      </x:c>
      <x:c r="Y22" s="26" t="n">
        <x:v>38</x:v>
      </x:c>
      <x:c r="Z22" s="26" t="n">
        <x:v>0</x:v>
      </x:c>
      <x:c r="AA22" s="26" t="n">
        <x:v>38</x:v>
      </x:c>
      <x:c r="AB22" s="38" t="n">
        <x:v>0</x:v>
      </x:c>
      <x:c r="AC22" s="26" t="str">
        <x:v>Committed / Not Delivered</x:v>
      </x:c>
      <x:c r="AD22" s="26" t="str">
        <x:v>Approval not recorded in response</x:v>
      </x:c>
      <x:c r="AE22" s="27" t="b">
        <x:v>1</x:v>
      </x:c>
      <x:c r="AF22" s="34" t="n">
        <x:v>46220.01721064815</x:v>
      </x:c>
      <x:c r="AG22" s="34"/>
      <x:c r="AH22" s="26" t="str">
        <x:v>Fully enriched from attached Mulugu project JSON</x:v>
      </x:c>
      <x:c r="AI22" s="26" t="str"/>
      <x:c r="AJ22" s="26" t="str">
        <x:v>Not Started</x:v>
      </x:c>
      <x:c r="AK22" s="26" t="str"/>
      <x:c r="AL22" s="26" t="str"/>
    </x:row>
    <x:row r="23">
      <x:c r="A23" s="26" t="n">
        <x:v>20</x:v>
      </x:c>
      <x:c r="B23" s="26" t="n">
        <x:v>271</x:v>
      </x:c>
      <x:c r="C23" s="26" t="str">
        <x:v>Mulugu</x:v>
      </x:c>
      <x:c r="D23" s="26" t="str">
        <x:v>Telangana</x:v>
      </x:c>
      <x:c r="E23" s="26" t="n">
        <x:v>11328</x:v>
      </x:c>
      <x:c r="F23" s="26" t="str">
        <x:v>PRJ-2026-0011328</x:v>
      </x:c>
      <x:c r="G23" s="26" t="str">
        <x:v>AWC Lingapur</x:v>
      </x:c>
      <x:c r="H23" s="26" t="str">
        <x:v>Mission Saksham Anganwadi &amp; POSHAN 2.0</x:v>
      </x:c>
      <x:c r="I23" s="32" t="n">
        <x:v>46164</x:v>
      </x:c>
      <x:c r="J23" s="32" t="n">
        <x:v>46348</x:v>
      </x:c>
      <x:c r="K23" s="32"/>
      <x:c r="L23" s="26" t="str">
        <x:v>Active: On/After 01-Aug-2026</x:v>
      </x:c>
      <x:c r="M23" s="26" t="str">
        <x:v>Medium</x:v>
      </x:c>
      <x:c r="N23" s="26" t="str">
        <x:v>ECCE Equipment=Minor; Educational Needs=Minor; Electrical Infrastructure=Medium; Health and Safety aids=Minor; Office Needs=Minor</x:v>
      </x:c>
      <x:c r="O23" s="26" t="n">
        <x:v>1</x:v>
      </x:c>
      <x:c r="P23" s="26" t="str">
        <x:v>Lingapur (36701020618)</x:v>
      </x:c>
      <x:c r="Q23" s="26" t="str">
        <x:v>36701020618</x:v>
      </x:c>
      <x:c r="R23" s="26" t="n">
        <x:v>35</x:v>
      </x:c>
      <x:c r="S23" s="36" t="n">
        <x:v>50000</x:v>
      </x:c>
      <x:c r="T23" s="26" t="str">
        <x:v>Water Filter	
Gas Stove&amp; Regulator
Pressure Cooker	
Slides	
Kids Chairs	
Fans &amp; Lights	
Storage Bins	
Egg &amp; Milk Storge Racks	
Digital GMD
</x:v>
      </x:c>
      <x:c r="U23" s="26" t="str">
        <x:v>Water Filter	
Gas Stove&amp; Regulator
Pressure Cooker	
Slides	
Kids Chairs	
Fans &amp; Lights	
Storage Bins	
Egg &amp; Milk Storge Racks	
Digital GMD
</x:v>
      </x:c>
      <x:c r="V23" s="27" t="b">
        <x:v>1</x:v>
      </x:c>
      <x:c r="W23" s="26" t="n">
        <x:v>7</x:v>
      </x:c>
      <x:c r="X23" s="26" t="n">
        <x:v>0</x:v>
      </x:c>
      <x:c r="Y23" s="26" t="n">
        <x:v>37</x:v>
      </x:c>
      <x:c r="Z23" s="26" t="n">
        <x:v>0</x:v>
      </x:c>
      <x:c r="AA23" s="26" t="n">
        <x:v>37</x:v>
      </x:c>
      <x:c r="AB23" s="38" t="n">
        <x:v>0</x:v>
      </x:c>
      <x:c r="AC23" s="26" t="str">
        <x:v>Committed / Not Delivered</x:v>
      </x:c>
      <x:c r="AD23" s="26" t="str">
        <x:v>Approval not recorded in response</x:v>
      </x:c>
      <x:c r="AE23" s="27" t="b">
        <x:v>1</x:v>
      </x:c>
      <x:c r="AF23" s="34" t="n">
        <x:v>46220.01719907407</x:v>
      </x:c>
      <x:c r="AG23" s="34"/>
      <x:c r="AH23" s="26" t="str">
        <x:v>Fully enriched from attached Mulugu project JSON</x:v>
      </x:c>
      <x:c r="AI23" s="26" t="str"/>
      <x:c r="AJ23" s="26" t="str">
        <x:v>Not Started</x:v>
      </x:c>
      <x:c r="AK23" s="26" t="str"/>
      <x:c r="AL23" s="26" t="str"/>
    </x:row>
    <x:row r="24">
      <x:c r="A24" s="26" t="n">
        <x:v>21</x:v>
      </x:c>
      <x:c r="B24" s="26" t="n">
        <x:v>272</x:v>
      </x:c>
      <x:c r="C24" s="26" t="str">
        <x:v>Mulugu</x:v>
      </x:c>
      <x:c r="D24" s="26" t="str">
        <x:v>Telangana</x:v>
      </x:c>
      <x:c r="E24" s="26" t="n">
        <x:v>11378</x:v>
      </x:c>
      <x:c r="F24" s="26" t="str">
        <x:v>PRJ-2026-0011378</x:v>
      </x:c>
      <x:c r="G24" s="26" t="str">
        <x:v>Muppanapally-I.</x:v>
      </x:c>
      <x:c r="H24" s="26" t="str">
        <x:v>Mission Saksham Anganwadi &amp; POSHAN 2.0</x:v>
      </x:c>
      <x:c r="I24" s="32" t="n">
        <x:v>46164</x:v>
      </x:c>
      <x:c r="J24" s="32" t="n">
        <x:v>46347</x:v>
      </x:c>
      <x:c r="K24" s="32"/>
      <x:c r="L24" s="26" t="str">
        <x:v>Active: On/After 01-Aug-2026</x:v>
      </x:c>
      <x:c r="M24" s="26" t="str">
        <x:v>Medium</x:v>
      </x:c>
      <x:c r="N24" s="26" t="str">
        <x:v>ECCE Equipment=Minor; Educational Needs=Minor; Electrical Infrastructure=Medium; Health and Safety aids=Minor</x:v>
      </x:c>
      <x:c r="O24" s="26" t="n">
        <x:v>1</x:v>
      </x:c>
      <x:c r="P24" s="26" t="str">
        <x:v>Muppanapally - I (36701010509)</x:v>
      </x:c>
      <x:c r="Q24" s="26" t="str">
        <x:v>36701010509</x:v>
      </x:c>
      <x:c r="R24" s="26" t="n">
        <x:v>16</x:v>
      </x:c>
      <x:c r="S24" s="36" t="n">
        <x:v>50000</x:v>
      </x:c>
      <x:c r="T24" s="26" t="str">
        <x:v>Gas double burners and regulators, Milk storage bins, Fans, Digital CMD, Baby Scales</x:v>
      </x:c>
      <x:c r="U24" s="26" t="str">
        <x:v>Improved hygiene, child-friendly environment, enhanced early childhood learning, safe drinking water access, better nutrition awareness and improved attendance of children at Anganwadi Centres</x:v>
      </x:c>
      <x:c r="V24" s="27" t="b">
        <x:v>1</x:v>
      </x:c>
      <x:c r="W24" s="26" t="n">
        <x:v>6</x:v>
      </x:c>
      <x:c r="X24" s="26" t="n">
        <x:v>0</x:v>
      </x:c>
      <x:c r="Y24" s="26" t="n">
        <x:v>53</x:v>
      </x:c>
      <x:c r="Z24" s="26" t="n">
        <x:v>0</x:v>
      </x:c>
      <x:c r="AA24" s="26" t="n">
        <x:v>53</x:v>
      </x:c>
      <x:c r="AB24" s="38" t="n">
        <x:v>0</x:v>
      </x:c>
      <x:c r="AC24" s="26" t="str">
        <x:v>Committed / Not Delivered</x:v>
      </x:c>
      <x:c r="AD24" s="26" t="str">
        <x:v>Approval not recorded in response</x:v>
      </x:c>
      <x:c r="AE24" s="27" t="b">
        <x:v>1</x:v>
      </x:c>
      <x:c r="AF24" s="34" t="n">
        <x:v>46220.01719907407</x:v>
      </x:c>
      <x:c r="AG24" s="34"/>
      <x:c r="AH24" s="26" t="str">
        <x:v>Fully enriched from attached Mulugu project JSON</x:v>
      </x:c>
      <x:c r="AI24" s="26" t="str"/>
      <x:c r="AJ24" s="26" t="str">
        <x:v>Not Started</x:v>
      </x:c>
      <x:c r="AK24" s="26" t="str"/>
      <x:c r="AL24" s="26" t="str"/>
    </x:row>
    <x:row r="25">
      <x:c r="A25" s="26" t="n">
        <x:v>22</x:v>
      </x:c>
      <x:c r="B25" s="26" t="n">
        <x:v>269</x:v>
      </x:c>
      <x:c r="C25" s="26" t="str">
        <x:v>Mulugu</x:v>
      </x:c>
      <x:c r="D25" s="26" t="str">
        <x:v>Telangana</x:v>
      </x:c>
      <x:c r="E25" s="26" t="n">
        <x:v>11743</x:v>
      </x:c>
      <x:c r="F25" s="26" t="str">
        <x:v>PRJ-2026-0011743</x:v>
      </x:c>
      <x:c r="G25" s="26" t="str">
        <x:v>AWC Thimmapur I</x:v>
      </x:c>
      <x:c r="H25" s="26" t="str">
        <x:v>Mission Saksham Anganwadi &amp; POSHAN 2.0</x:v>
      </x:c>
      <x:c r="I25" s="32" t="n">
        <x:v>46164</x:v>
      </x:c>
      <x:c r="J25" s="32" t="n">
        <x:v>46348</x:v>
      </x:c>
      <x:c r="K25" s="32"/>
      <x:c r="L25" s="26" t="str">
        <x:v>Active: On/After 01-Aug-2026</x:v>
      </x:c>
      <x:c r="M25" s="26" t="str">
        <x:v>Medium</x:v>
      </x:c>
      <x:c r="N25" s="26" t="str">
        <x:v>ECCE Equipment=Minor; Educational Needs=Minor; Electrical Infrastructure=Medium; Health and Safety aids=Minor; Office Needs=Minor</x:v>
      </x:c>
      <x:c r="O25" s="26" t="n">
        <x:v>1</x:v>
      </x:c>
      <x:c r="P25" s="26" t="str">
        <x:v>Thimmapur-1 (36701020608)</x:v>
      </x:c>
      <x:c r="Q25" s="26" t="str">
        <x:v>36701020608</x:v>
      </x:c>
      <x:c r="R25" s="26" t="n">
        <x:v>26</x:v>
      </x:c>
      <x:c r="S25" s="36" t="n">
        <x:v>50000</x:v>
      </x:c>
      <x:c r="T25" s="26" t="str">
        <x:v>Water Filter	
Gas Stove&amp; Regulator
Pressure Cooker	
Slides	
Kids Chairs	
Fans &amp; Lights	
Storage Bins	
Egg &amp; Milk Storge Racks	
Digital GMD
</x:v>
      </x:c>
      <x:c r="U25" s="26" t="str">
        <x:v>Water Filter	
Gas Stove&amp; Regulator
Pressure Cooker	
Slides	
Kids Chairs	
Fans &amp; Lights	
Storage Bins	
Egg &amp; Milk Storge Racks	
Digital GMD
</x:v>
      </x:c>
      <x:c r="V25" s="27" t="b">
        <x:v>1</x:v>
      </x:c>
      <x:c r="W25" s="26" t="n">
        <x:v>7</x:v>
      </x:c>
      <x:c r="X25" s="26" t="n">
        <x:v>0</x:v>
      </x:c>
      <x:c r="Y25" s="26" t="n">
        <x:v>36</x:v>
      </x:c>
      <x:c r="Z25" s="26" t="n">
        <x:v>0</x:v>
      </x:c>
      <x:c r="AA25" s="26" t="n">
        <x:v>36</x:v>
      </x:c>
      <x:c r="AB25" s="38" t="n">
        <x:v>0</x:v>
      </x:c>
      <x:c r="AC25" s="26" t="str">
        <x:v>Committed / Not Delivered</x:v>
      </x:c>
      <x:c r="AD25" s="26" t="str">
        <x:v>Approval not recorded in response</x:v>
      </x:c>
      <x:c r="AE25" s="27" t="b">
        <x:v>1</x:v>
      </x:c>
      <x:c r="AF25" s="34" t="n">
        <x:v>46220.0171875</x:v>
      </x:c>
      <x:c r="AG25" s="34"/>
      <x:c r="AH25" s="26" t="str">
        <x:v>Fully enriched from attached Mulugu project JSON</x:v>
      </x:c>
      <x:c r="AI25" s="26" t="str"/>
      <x:c r="AJ25" s="26" t="str">
        <x:v>Not Started</x:v>
      </x:c>
      <x:c r="AK25" s="26" t="str"/>
      <x:c r="AL25" s="26" t="str"/>
    </x:row>
    <x:row r="26">
      <x:c r="A26" s="26" t="n">
        <x:v>23</x:v>
      </x:c>
      <x:c r="B26" s="26" t="n">
        <x:v>270</x:v>
      </x:c>
      <x:c r="C26" s="26" t="str">
        <x:v>Mulugu</x:v>
      </x:c>
      <x:c r="D26" s="26" t="str">
        <x:v>Telangana</x:v>
      </x:c>
      <x:c r="E26" s="26" t="n">
        <x:v>11421</x:v>
      </x:c>
      <x:c r="F26" s="26" t="str">
        <x:v>PRJ-2026-0011421</x:v>
      </x:c>
      <x:c r="G26" s="26" t="str">
        <x:v>AWC YellareddyPalli</x:v>
      </x:c>
      <x:c r="H26" s="26" t="str">
        <x:v>Mission Saksham Anganwadi &amp; POSHAN 2.0</x:v>
      </x:c>
      <x:c r="I26" s="32" t="n">
        <x:v>46164</x:v>
      </x:c>
      <x:c r="J26" s="32" t="n">
        <x:v>46348</x:v>
      </x:c>
      <x:c r="K26" s="32"/>
      <x:c r="L26" s="26" t="str">
        <x:v>Active: On/After 01-Aug-2026</x:v>
      </x:c>
      <x:c r="M26" s="26" t="str">
        <x:v>Medium</x:v>
      </x:c>
      <x:c r="N26" s="26" t="str">
        <x:v>ECCE Equipment=Minor; Educational Needs=Minor; Electrical Infrastructure=Medium; Health and Safety aids=Minor; Office Needs=Minor</x:v>
      </x:c>
      <x:c r="O26" s="26" t="n">
        <x:v>1</x:v>
      </x:c>
      <x:c r="P26" s="26" t="str">
        <x:v>Yellareddypalli (36701020601)</x:v>
      </x:c>
      <x:c r="Q26" s="26" t="str">
        <x:v>36701020601</x:v>
      </x:c>
      <x:c r="R26" s="26" t="n">
        <x:v>50</x:v>
      </x:c>
      <x:c r="S26" s="36" t="n">
        <x:v>50000</x:v>
      </x:c>
      <x:c r="T26" s="26" t="str">
        <x:v>Water Filter	
Gas Stove&amp; Regulator
Pressure Cooker	
Slides	
Kids Chairs	
Fans &amp; Lights	
Storage Bins	
Egg &amp; Milk Storge Racks	
Digital GMD
</x:v>
      </x:c>
      <x:c r="U26" s="26" t="str">
        <x:v>Water Filter	
Gas Stove&amp; Regulator
Pressure Cooker	
Slides	
Kids Chairs	
Fans &amp; Lights	
Storage Bins	
Egg &amp; Milk Storge Racks	
Digital GMD
</x:v>
      </x:c>
      <x:c r="V26" s="27" t="b">
        <x:v>1</x:v>
      </x:c>
      <x:c r="W26" s="26" t="n">
        <x:v>7</x:v>
      </x:c>
      <x:c r="X26" s="26" t="n">
        <x:v>0</x:v>
      </x:c>
      <x:c r="Y26" s="26" t="n">
        <x:v>36</x:v>
      </x:c>
      <x:c r="Z26" s="26" t="n">
        <x:v>0</x:v>
      </x:c>
      <x:c r="AA26" s="26" t="n">
        <x:v>36</x:v>
      </x:c>
      <x:c r="AB26" s="38" t="n">
        <x:v>0</x:v>
      </x:c>
      <x:c r="AC26" s="26" t="str">
        <x:v>Committed / Not Delivered</x:v>
      </x:c>
      <x:c r="AD26" s="26" t="str">
        <x:v>Approval not recorded in response</x:v>
      </x:c>
      <x:c r="AE26" s="27" t="b">
        <x:v>1</x:v>
      </x:c>
      <x:c r="AF26" s="34" t="n">
        <x:v>46220.0171875</x:v>
      </x:c>
      <x:c r="AG26" s="34"/>
      <x:c r="AH26" s="26" t="str">
        <x:v>Fully enriched from attached Mulugu project JSON</x:v>
      </x:c>
      <x:c r="AI26" s="26" t="str"/>
      <x:c r="AJ26" s="26" t="str">
        <x:v>Not Started</x:v>
      </x:c>
      <x:c r="AK26" s="26" t="str"/>
      <x:c r="AL26" s="26" t="str"/>
    </x:row>
    <x:row r="27">
      <x:c r="A27" s="26" t="n">
        <x:v>24</x:v>
      </x:c>
      <x:c r="B27" s="26" t="n">
        <x:v>268</x:v>
      </x:c>
      <x:c r="C27" s="26" t="str">
        <x:v>Mulugu</x:v>
      </x:c>
      <x:c r="D27" s="26" t="str">
        <x:v>Telangana</x:v>
      </x:c>
      <x:c r="E27" s="26" t="n">
        <x:v>11841</x:v>
      </x:c>
      <x:c r="F27" s="26" t="str">
        <x:v>PRJ-2026-0011841</x:v>
      </x:c>
      <x:c r="G27" s="26" t="str">
        <x:v>AWC  Lambadipally</x:v>
      </x:c>
      <x:c r="H27" s="26" t="str">
        <x:v>Mission Saksham Anganwadi &amp; POSHAN 2.0</x:v>
      </x:c>
      <x:c r="I27" s="32" t="n">
        <x:v>46164</x:v>
      </x:c>
      <x:c r="J27" s="32" t="n">
        <x:v>46348</x:v>
      </x:c>
      <x:c r="K27" s="32"/>
      <x:c r="L27" s="26" t="str">
        <x:v>Active: On/After 01-Aug-2026</x:v>
      </x:c>
      <x:c r="M27" s="26" t="str">
        <x:v>Medium</x:v>
      </x:c>
      <x:c r="N27" s="26" t="str">
        <x:v>ECCE Equipment=Minor; Electrical Infrastructure=Medium; Health and Safety aids=Minor; Office Needs=Minor</x:v>
      </x:c>
      <x:c r="O27" s="26" t="n">
        <x:v>1</x:v>
      </x:c>
      <x:c r="P27" s="26" t="str">
        <x:v>Lambadpally (36701020620)</x:v>
      </x:c>
      <x:c r="Q27" s="26" t="str">
        <x:v>36701020620</x:v>
      </x:c>
      <x:c r="R27" s="26" t="n">
        <x:v>48</x:v>
      </x:c>
      <x:c r="S27" s="36" t="n">
        <x:v>50000</x:v>
      </x:c>
      <x:c r="T27" s="26" t="str">
        <x:v>Water Filter	
Gas Stove&amp; Regulator
Pressure Cooker	
Slides	
Kids Chairs	
Fans &amp; Lights	
Storage Bins	
Egg &amp; Milk Storge Racks	
Digital GMD
</x:v>
      </x:c>
      <x:c r="U27" s="26" t="str">
        <x:v>Water Filter	
Gas Stove&amp; Regulator
Pressure Cooker	
Slides	
Kids Chairs	
Fans &amp; Lights	
Storage Bins	
Egg &amp; Milk Storge Racks	
Digital GMD
</x:v>
      </x:c>
      <x:c r="V27" s="27" t="b">
        <x:v>1</x:v>
      </x:c>
      <x:c r="W27" s="26" t="n">
        <x:v>6</x:v>
      </x:c>
      <x:c r="X27" s="26" t="n">
        <x:v>0</x:v>
      </x:c>
      <x:c r="Y27" s="26" t="n">
        <x:v>27</x:v>
      </x:c>
      <x:c r="Z27" s="26" t="n">
        <x:v>0</x:v>
      </x:c>
      <x:c r="AA27" s="26" t="n">
        <x:v>27</x:v>
      </x:c>
      <x:c r="AB27" s="38" t="n">
        <x:v>0</x:v>
      </x:c>
      <x:c r="AC27" s="26" t="str">
        <x:v>Committed / Not Delivered</x:v>
      </x:c>
      <x:c r="AD27" s="26" t="str">
        <x:v>Approval not recorded in response</x:v>
      </x:c>
      <x:c r="AE27" s="27" t="b">
        <x:v>1</x:v>
      </x:c>
      <x:c r="AF27" s="34" t="n">
        <x:v>46220.017175925925</x:v>
      </x:c>
      <x:c r="AG27" s="34"/>
      <x:c r="AH27" s="26" t="str">
        <x:v>Fully enriched from attached Mulugu project JSON</x:v>
      </x:c>
      <x:c r="AI27" s="26" t="str"/>
      <x:c r="AJ27" s="26" t="str">
        <x:v>Not Started</x:v>
      </x:c>
      <x:c r="AK27" s="26" t="str"/>
      <x:c r="AL27" s="26" t="str"/>
    </x:row>
    <x:row r="28">
      <x:c r="A28" s="26" t="n">
        <x:v>25</x:v>
      </x:c>
      <x:c r="B28" s="26" t="n">
        <x:v>266</x:v>
      </x:c>
      <x:c r="C28" s="26" t="str">
        <x:v>Mulugu</x:v>
      </x:c>
      <x:c r="D28" s="26" t="str">
        <x:v>Telangana</x:v>
      </x:c>
      <x:c r="E28" s="26" t="n">
        <x:v>13054</x:v>
      </x:c>
      <x:c r="F28" s="26" t="str">
        <x:v>PRJ-2026-0013054</x:v>
      </x:c>
      <x:c r="G28" s="26" t="str">
        <x:v>AWC Infrastructure</x:v>
      </x:c>
      <x:c r="H28" s="26" t="str">
        <x:v>Mission Saksham Anganwadi &amp; POSHAN 2.0</x:v>
      </x:c>
      <x:c r="I28" s="32" t="n">
        <x:v>46165</x:v>
      </x:c>
      <x:c r="J28" s="32" t="n">
        <x:v>46349</x:v>
      </x:c>
      <x:c r="K28" s="32"/>
      <x:c r="L28" s="26" t="str">
        <x:v>Active: On/After 01-Aug-2026</x:v>
      </x:c>
      <x:c r="M28" s="26" t="str">
        <x:v>Medium</x:v>
      </x:c>
      <x:c r="N28" s="26" t="str">
        <x:v>Digital Infrastructure=Medium; Health and Safety aids=Minor</x:v>
      </x:c>
      <x:c r="O28" s="26" t="n">
        <x:v>1</x:v>
      </x:c>
      <x:c r="P28" s="26" t="str">
        <x:v>Churchipeta (Mini) (36701040619)</x:v>
      </x:c>
      <x:c r="Q28" s="26" t="str">
        <x:v>36701040619</x:v>
      </x:c>
      <x:c r="R28" s="26" t="n">
        <x:v>21</x:v>
      </x:c>
      <x:c r="S28" s="36" t="n">
        <x:v>50000</x:v>
      </x:c>
      <x:c r="T28" s="26" t="str">
        <x:v>Gas stove, regulator 	Water Filter			Digital GMD	Rain Water Harvesting System	Poshan Vatika
</x:v>
      </x:c>
      <x:c r="U28" s="26" t="str">
        <x:v>Gas stove, regulator 	Water Filter			Digital GMD	Rain Water Harvesting System	Poshan Vatika
</x:v>
      </x:c>
      <x:c r="V28" s="27" t="b">
        <x:v>0</x:v>
      </x:c>
      <x:c r="W28" s="26" t="n">
        <x:v>2</x:v>
      </x:c>
      <x:c r="X28" s="26" t="n">
        <x:v>0</x:v>
      </x:c>
      <x:c r="Y28" s="26" t="n">
        <x:v>2</x:v>
      </x:c>
      <x:c r="Z28" s="26" t="n">
        <x:v>0</x:v>
      </x:c>
      <x:c r="AA28" s="26" t="n">
        <x:v>2</x:v>
      </x:c>
      <x:c r="AB28" s="38" t="n">
        <x:v>0</x:v>
      </x:c>
      <x:c r="AC28" s="26" t="str">
        <x:v>Committed / Not Delivered</x:v>
      </x:c>
      <x:c r="AD28" s="26" t="str">
        <x:v>Approval not recorded in response</x:v>
      </x:c>
      <x:c r="AE28" s="27" t="b">
        <x:v>1</x:v>
      </x:c>
      <x:c r="AF28" s="34" t="n">
        <x:v>46220.017164351855</x:v>
      </x:c>
      <x:c r="AG28" s="34"/>
      <x:c r="AH28" s="26" t="str">
        <x:v>Fully enriched from attached Mulugu project JSON</x:v>
      </x:c>
      <x:c r="AI28" s="26" t="str"/>
      <x:c r="AJ28" s="26" t="str">
        <x:v>Not Started</x:v>
      </x:c>
      <x:c r="AK28" s="26" t="str"/>
      <x:c r="AL28" s="26" t="str"/>
    </x:row>
    <x:row r="29">
      <x:c r="A29" s="26" t="n">
        <x:v>26</x:v>
      </x:c>
      <x:c r="B29" s="26" t="n">
        <x:v>267</x:v>
      </x:c>
      <x:c r="C29" s="26" t="str">
        <x:v>Mulugu</x:v>
      </x:c>
      <x:c r="D29" s="26" t="str">
        <x:v>Telangana</x:v>
      </x:c>
      <x:c r="E29" s="26" t="n">
        <x:v>13051</x:v>
      </x:c>
      <x:c r="F29" s="26" t="str">
        <x:v>PRJ-2026-0013051</x:v>
      </x:c>
      <x:c r="G29" s="26" t="str">
        <x:v>AWC Infrastructure</x:v>
      </x:c>
      <x:c r="H29" s="26" t="str">
        <x:v>Mission Saksham Anganwadi &amp; POSHAN 2.0</x:v>
      </x:c>
      <x:c r="I29" s="32" t="n">
        <x:v>46165</x:v>
      </x:c>
      <x:c r="J29" s="32" t="n">
        <x:v>46349</x:v>
      </x:c>
      <x:c r="K29" s="32"/>
      <x:c r="L29" s="26" t="str">
        <x:v>Active: On/After 01-Aug-2026</x:v>
      </x:c>
      <x:c r="M29" s="26" t="str">
        <x:v>Complex</x:v>
      </x:c>
      <x:c r="N29" s="26" t="str">
        <x:v>Civil Infrastructure=Complex</x:v>
      </x:c>
      <x:c r="O29" s="26" t="n">
        <x:v>1</x:v>
      </x:c>
      <x:c r="P29" s="26" t="str">
        <x:v>Jakkulavaari veedhi (36701040616)</x:v>
      </x:c>
      <x:c r="Q29" s="26" t="str">
        <x:v>36701040616</x:v>
      </x:c>
      <x:c r="R29" s="26" t="n">
        <x:v>22</x:v>
      </x:c>
      <x:c r="S29" s="36" t="n">
        <x:v>50000</x:v>
      </x:c>
      <x:c r="T29" s="26" t="str">
        <x:v>Gas stove, regulator 	Water Filter	Play Area		Digital GMD	Rain Water Harvesting System	Poshan Vatika
</x:v>
      </x:c>
      <x:c r="U29" s="26" t="str">
        <x:v>Gas stove, regulator 	Water Filter	Play Area		Digital GMD	Rain Water Harvesting System	Poshan Vatika
</x:v>
      </x:c>
      <x:c r="V29" s="27" t="b">
        <x:v>0</x:v>
      </x:c>
      <x:c r="W29" s="26" t="n">
        <x:v>1</x:v>
      </x:c>
      <x:c r="X29" s="26" t="n">
        <x:v>0</x:v>
      </x:c>
      <x:c r="Y29" s="26" t="n">
        <x:v>1</x:v>
      </x:c>
      <x:c r="Z29" s="26" t="n">
        <x:v>0</x:v>
      </x:c>
      <x:c r="AA29" s="26" t="n">
        <x:v>1</x:v>
      </x:c>
      <x:c r="AB29" s="38" t="n">
        <x:v>0</x:v>
      </x:c>
      <x:c r="AC29" s="26" t="str">
        <x:v>Committed / Not Delivered</x:v>
      </x:c>
      <x:c r="AD29" s="26" t="str">
        <x:v>Approval not recorded in response</x:v>
      </x:c>
      <x:c r="AE29" s="27" t="b">
        <x:v>1</x:v>
      </x:c>
      <x:c r="AF29" s="34" t="n">
        <x:v>46220.017164351855</x:v>
      </x:c>
      <x:c r="AG29" s="34"/>
      <x:c r="AH29" s="26" t="str">
        <x:v>Fully enriched from attached Mulugu project JSON</x:v>
      </x:c>
      <x:c r="AI29" s="26" t="str"/>
      <x:c r="AJ29" s="26" t="str">
        <x:v>Not Started</x:v>
      </x:c>
      <x:c r="AK29" s="26" t="str"/>
      <x:c r="AL29" s="26" t="str"/>
    </x:row>
    <x:row r="30">
      <x:c r="A30" s="26" t="n">
        <x:v>27</x:v>
      </x:c>
      <x:c r="B30" s="26" t="n">
        <x:v>264</x:v>
      </x:c>
      <x:c r="C30" s="26" t="str">
        <x:v>Mulugu</x:v>
      </x:c>
      <x:c r="D30" s="26" t="str">
        <x:v>Telangana</x:v>
      </x:c>
      <x:c r="E30" s="26" t="n">
        <x:v>13066</x:v>
      </x:c>
      <x:c r="F30" s="26" t="str">
        <x:v>PRJ-2026-0013066</x:v>
      </x:c>
      <x:c r="G30" s="26" t="str">
        <x:v>AWC Infrastructure</x:v>
      </x:c>
      <x:c r="H30" s="26" t="str">
        <x:v>Mission Saksham Anganwadi &amp; POSHAN 2.0</x:v>
      </x:c>
      <x:c r="I30" s="32" t="n">
        <x:v>46165</x:v>
      </x:c>
      <x:c r="J30" s="32" t="n">
        <x:v>46349</x:v>
      </x:c>
      <x:c r="K30" s="32"/>
      <x:c r="L30" s="26" t="str">
        <x:v>Active: On/After 01-Aug-2026</x:v>
      </x:c>
      <x:c r="M30" s="26" t="str">
        <x:v>Complex</x:v>
      </x:c>
      <x:c r="N30" s="26" t="str">
        <x:v>Civil Infrastructure=Complex</x:v>
      </x:c>
      <x:c r="O30" s="26" t="n">
        <x:v>1</x:v>
      </x:c>
      <x:c r="P30" s="26" t="str">
        <x:v>BC Marrigudem (Mini) (36701040624)</x:v>
      </x:c>
      <x:c r="Q30" s="26" t="str">
        <x:v>36701040624</x:v>
      </x:c>
      <x:c r="R30" s="26" t="n">
        <x:v>24</x:v>
      </x:c>
      <x:c r="S30" s="36" t="n">
        <x:v>50000</x:v>
      </x:c>
      <x:c r="T30" s="26" t="str">
        <x:v>Gas stove, regulator 	Water Filter	Play Area		Digital GMD	Rain Water Harvesting System	Poshan Vatika
</x:v>
      </x:c>
      <x:c r="U30" s="26" t="str">
        <x:v>Gas stove, regulator 	Water Filter	Play Area		Digital GMD	Rain Water Harvesting System	Poshan Vatika
</x:v>
      </x:c>
      <x:c r="V30" s="27" t="b">
        <x:v>0</x:v>
      </x:c>
      <x:c r="W30" s="26" t="n">
        <x:v>1</x:v>
      </x:c>
      <x:c r="X30" s="26" t="n">
        <x:v>0</x:v>
      </x:c>
      <x:c r="Y30" s="26" t="n">
        <x:v>1</x:v>
      </x:c>
      <x:c r="Z30" s="26" t="n">
        <x:v>0</x:v>
      </x:c>
      <x:c r="AA30" s="26" t="n">
        <x:v>1</x:v>
      </x:c>
      <x:c r="AB30" s="38" t="n">
        <x:v>0</x:v>
      </x:c>
      <x:c r="AC30" s="26" t="str">
        <x:v>Committed / Not Delivered</x:v>
      </x:c>
      <x:c r="AD30" s="26" t="str">
        <x:v>Approval not recorded in response</x:v>
      </x:c>
      <x:c r="AE30" s="27" t="b">
        <x:v>1</x:v>
      </x:c>
      <x:c r="AF30" s="34" t="n">
        <x:v>46220.01715277778</x:v>
      </x:c>
      <x:c r="AG30" s="34"/>
      <x:c r="AH30" s="26" t="str">
        <x:v>Fully enriched from attached Mulugu project JSON</x:v>
      </x:c>
      <x:c r="AI30" s="26" t="str"/>
      <x:c r="AJ30" s="26" t="str">
        <x:v>Not Started</x:v>
      </x:c>
      <x:c r="AK30" s="26" t="str"/>
      <x:c r="AL30" s="26" t="str"/>
    </x:row>
    <x:row r="31">
      <x:c r="A31" s="26" t="n">
        <x:v>28</x:v>
      </x:c>
      <x:c r="B31" s="26" t="n">
        <x:v>265</x:v>
      </x:c>
      <x:c r="C31" s="26" t="str">
        <x:v>Mulugu</x:v>
      </x:c>
      <x:c r="D31" s="26" t="str">
        <x:v>Telangana</x:v>
      </x:c>
      <x:c r="E31" s="26" t="n">
        <x:v>13063</x:v>
      </x:c>
      <x:c r="F31" s="26" t="str">
        <x:v>PRJ-2026-0013063</x:v>
      </x:c>
      <x:c r="G31" s="26" t="str">
        <x:v>AWC Infrastructure</x:v>
      </x:c>
      <x:c r="H31" s="26" t="str">
        <x:v>Mission Saksham Anganwadi &amp; POSHAN 2.0</x:v>
      </x:c>
      <x:c r="I31" s="32" t="n">
        <x:v>46165</x:v>
      </x:c>
      <x:c r="J31" s="32" t="n">
        <x:v>46349</x:v>
      </x:c>
      <x:c r="K31" s="32"/>
      <x:c r="L31" s="26" t="str">
        <x:v>Active: On/After 01-Aug-2026</x:v>
      </x:c>
      <x:c r="M31" s="26" t="str">
        <x:v>Complex</x:v>
      </x:c>
      <x:c r="N31" s="26" t="str">
        <x:v>Civil Infrastructure=Complex</x:v>
      </x:c>
      <x:c r="O31" s="26" t="n">
        <x:v>1</x:v>
      </x:c>
      <x:c r="P31" s="26" t="str">
        <x:v>Chokkala-1 (36701040623)</x:v>
      </x:c>
      <x:c r="Q31" s="26" t="str">
        <x:v>36701040623</x:v>
      </x:c>
      <x:c r="R31" s="26" t="n">
        <x:v>30</x:v>
      </x:c>
      <x:c r="S31" s="36" t="n">
        <x:v>50000</x:v>
      </x:c>
      <x:c r="T31" s="26" t="str">
        <x:v>Gas stove, regulator 		Play Area		Digital GMD	Rain Water Harvesting System		Solar Panel	Kitchen Construction
</x:v>
      </x:c>
      <x:c r="U31" s="26" t="str">
        <x:v>Gas stove, regulator 		Play Area		Digital GMD	Rain Water Harvesting System		Solar Panel	Kitchen Construction
</x:v>
      </x:c>
      <x:c r="V31" s="27" t="b">
        <x:v>0</x:v>
      </x:c>
      <x:c r="W31" s="26" t="n">
        <x:v>1</x:v>
      </x:c>
      <x:c r="X31" s="26" t="n">
        <x:v>0</x:v>
      </x:c>
      <x:c r="Y31" s="26" t="n">
        <x:v>1</x:v>
      </x:c>
      <x:c r="Z31" s="26" t="n">
        <x:v>0</x:v>
      </x:c>
      <x:c r="AA31" s="26" t="n">
        <x:v>1</x:v>
      </x:c>
      <x:c r="AB31" s="38" t="n">
        <x:v>0</x:v>
      </x:c>
      <x:c r="AC31" s="26" t="str">
        <x:v>Committed / Not Delivered</x:v>
      </x:c>
      <x:c r="AD31" s="26" t="str">
        <x:v>Approval not recorded in response</x:v>
      </x:c>
      <x:c r="AE31" s="27" t="b">
        <x:v>1</x:v>
      </x:c>
      <x:c r="AF31" s="34" t="n">
        <x:v>46220.01715277778</x:v>
      </x:c>
      <x:c r="AG31" s="34"/>
      <x:c r="AH31" s="26" t="str">
        <x:v>Fully enriched from attached Mulugu project JSON</x:v>
      </x:c>
      <x:c r="AI31" s="26" t="str"/>
      <x:c r="AJ31" s="26" t="str">
        <x:v>Not Started</x:v>
      </x:c>
      <x:c r="AK31" s="26" t="str"/>
      <x:c r="AL31" s="26" t="str"/>
    </x:row>
    <x:row r="32">
      <x:c r="A32" s="26" t="n">
        <x:v>29</x:v>
      </x:c>
      <x:c r="B32" s="26" t="n">
        <x:v>263</x:v>
      </x:c>
      <x:c r="C32" s="26" t="str">
        <x:v>Mulugu</x:v>
      </x:c>
      <x:c r="D32" s="26" t="str">
        <x:v>Telangana</x:v>
      </x:c>
      <x:c r="E32" s="26" t="n">
        <x:v>13084</x:v>
      </x:c>
      <x:c r="F32" s="26" t="str">
        <x:v>PRJ-2026-0013084</x:v>
      </x:c>
      <x:c r="G32" s="26" t="str">
        <x:v>AWC Porkapally</x:v>
      </x:c>
      <x:c r="H32" s="26" t="str">
        <x:v>Mission Saksham Anganwadi &amp; POSHAN 2.0</x:v>
      </x:c>
      <x:c r="I32" s="32" t="n">
        <x:v>46165</x:v>
      </x:c>
      <x:c r="J32" s="32" t="n">
        <x:v>46349</x:v>
      </x:c>
      <x:c r="K32" s="32"/>
      <x:c r="L32" s="26" t="str">
        <x:v>Active: On/After 01-Aug-2026</x:v>
      </x:c>
      <x:c r="M32" s="26" t="str">
        <x:v>Medium</x:v>
      </x:c>
      <x:c r="N32" s="26" t="str">
        <x:v>ECCE Equipment=Minor; Educational Needs=Minor; Electrical Infrastructure=Medium; Health and Safety aids=Minor; Office Needs=Minor</x:v>
      </x:c>
      <x:c r="O32" s="26" t="n">
        <x:v>1</x:v>
      </x:c>
      <x:c r="P32" s="26" t="str">
        <x:v>Porkapally (36701020611)</x:v>
      </x:c>
      <x:c r="Q32" s="26" t="str">
        <x:v>36701020611</x:v>
      </x:c>
      <x:c r="R32" s="26" t="n">
        <x:v>50</x:v>
      </x:c>
      <x:c r="S32" s="36" t="n">
        <x:v>50000</x:v>
      </x:c>
      <x:c r="T32" s="26" t="str">
        <x:v>Water Filter Gas Stove&amp; Regulator Pressure Cooker Slides Kids Chairs Fans &amp; Lights Storage Bins Egg &amp; Milk Storge Racks Digital GMD</x:v>
      </x:c>
      <x:c r="U32" s="26" t="str">
        <x:v>Water Filter Gas Stove&amp; Regulator Pressure Cooker Slides Kids Chairs Fans &amp; Lights Storage Bins Egg &amp; Milk Storge Racks Digital GMD</x:v>
      </x:c>
      <x:c r="V32" s="27" t="b">
        <x:v>1</x:v>
      </x:c>
      <x:c r="W32" s="26" t="n">
        <x:v>8</x:v>
      </x:c>
      <x:c r="X32" s="26" t="n">
        <x:v>0</x:v>
      </x:c>
      <x:c r="Y32" s="26" t="n">
        <x:v>38</x:v>
      </x:c>
      <x:c r="Z32" s="26" t="n">
        <x:v>0</x:v>
      </x:c>
      <x:c r="AA32" s="26" t="n">
        <x:v>38</x:v>
      </x:c>
      <x:c r="AB32" s="38" t="n">
        <x:v>0</x:v>
      </x:c>
      <x:c r="AC32" s="26" t="str">
        <x:v>Committed / Not Delivered</x:v>
      </x:c>
      <x:c r="AD32" s="26" t="str">
        <x:v>Approval not recorded in response</x:v>
      </x:c>
      <x:c r="AE32" s="27" t="b">
        <x:v>1</x:v>
      </x:c>
      <x:c r="AF32" s="34" t="n">
        <x:v>46220.0171412037</x:v>
      </x:c>
      <x:c r="AG32" s="34"/>
      <x:c r="AH32" s="26" t="str">
        <x:v>Fully enriched from attached Mulugu project JSON</x:v>
      </x:c>
      <x:c r="AI32" s="26" t="str"/>
      <x:c r="AJ32" s="26" t="str">
        <x:v>Not Started</x:v>
      </x:c>
      <x:c r="AK32" s="26" t="str"/>
      <x:c r="AL32" s="26" t="str"/>
    </x:row>
    <x:row r="33">
      <x:c r="A33" s="26" t="n">
        <x:v>30</x:v>
      </x:c>
      <x:c r="B33" s="26" t="n">
        <x:v>262</x:v>
      </x:c>
      <x:c r="C33" s="26" t="str">
        <x:v>Mulugu</x:v>
      </x:c>
      <x:c r="D33" s="26" t="str">
        <x:v>Telangana</x:v>
      </x:c>
      <x:c r="E33" s="26" t="n">
        <x:v>13573</x:v>
      </x:c>
      <x:c r="F33" s="26" t="str">
        <x:v>PRJ-2026-0013573</x:v>
      </x:c>
      <x:c r="G33" s="26" t="str">
        <x:v>Egg &amp; Milk Storge Racks</x:v>
      </x:c>
      <x:c r="H33" s="26" t="str">
        <x:v>Mission Saksham Anganwadi &amp; POSHAN 2.0</x:v>
      </x:c>
      <x:c r="I33" s="32" t="n">
        <x:v>46175</x:v>
      </x:c>
      <x:c r="J33" s="32" t="n">
        <x:v>46358</x:v>
      </x:c>
      <x:c r="K33" s="32"/>
      <x:c r="L33" s="26" t="str">
        <x:v>Active: On/After 01-Aug-2026</x:v>
      </x:c>
      <x:c r="M33" s="26" t="str">
        <x:v>Medium</x:v>
      </x:c>
      <x:c r="N33" s="26" t="str">
        <x:v>ECCE Equipment=Minor; Electrical Infrastructure=Medium; Health and Safety aids=Minor; Office Needs=Minor</x:v>
      </x:c>
      <x:c r="O33" s="26" t="n">
        <x:v>1</x:v>
      </x:c>
      <x:c r="P33" s="26" t="str">
        <x:v>Weavers Colony (36701020401)</x:v>
      </x:c>
      <x:c r="Q33" s="26" t="str">
        <x:v>36701020401</x:v>
      </x:c>
      <x:c r="R33" s="26" t="n">
        <x:v>10</x:v>
      </x:c>
      <x:c r="S33" s="36" t="n">
        <x:v>50000</x:v>
      </x:c>
      <x:c r="T33" s="26" t="str">
        <x:v>Egg &amp; Milk Storge Racks
</x:v>
      </x:c>
      <x:c r="U33" s="26" t="str">
        <x:v>Egg &amp; Milk Storge Racks
</x:v>
      </x:c>
      <x:c r="V33" s="27" t="b">
        <x:v>1</x:v>
      </x:c>
      <x:c r="W33" s="26" t="n">
        <x:v>6</x:v>
      </x:c>
      <x:c r="X33" s="26" t="n">
        <x:v>0</x:v>
      </x:c>
      <x:c r="Y33" s="26" t="n">
        <x:v>26</x:v>
      </x:c>
      <x:c r="Z33" s="26" t="n">
        <x:v>0</x:v>
      </x:c>
      <x:c r="AA33" s="26" t="n">
        <x:v>26</x:v>
      </x:c>
      <x:c r="AB33" s="38" t="n">
        <x:v>0</x:v>
      </x:c>
      <x:c r="AC33" s="26" t="str">
        <x:v>Committed / Not Delivered</x:v>
      </x:c>
      <x:c r="AD33" s="26" t="str">
        <x:v>Approval not recorded in response</x:v>
      </x:c>
      <x:c r="AE33" s="27" t="b">
        <x:v>1</x:v>
      </x:c>
      <x:c r="AF33" s="34" t="n">
        <x:v>46220.01712962963</x:v>
      </x:c>
      <x:c r="AG33" s="34"/>
      <x:c r="AH33" s="26" t="str">
        <x:v>Fully enriched from attached Mulugu project JSON</x:v>
      </x:c>
      <x:c r="AI33" s="26" t="str"/>
      <x:c r="AJ33" s="26" t="str">
        <x:v>Not Started</x:v>
      </x:c>
      <x:c r="AK33" s="26" t="str"/>
      <x:c r="AL33" s="26" t="str"/>
    </x:row>
    <x:row r="34">
      <x:c r="A34" s="26" t="n">
        <x:v>31</x:v>
      </x:c>
      <x:c r="B34" s="26" t="n">
        <x:v>261</x:v>
      </x:c>
      <x:c r="C34" s="26" t="str">
        <x:v>Mulugu</x:v>
      </x:c>
      <x:c r="D34" s="26" t="str">
        <x:v>Telangana</x:v>
      </x:c>
      <x:c r="E34" s="26" t="n">
        <x:v>13053</x:v>
      </x:c>
      <x:c r="F34" s="26" t="str">
        <x:v>PRJ-2026-0013053</x:v>
      </x:c>
      <x:c r="G34" s="26" t="str">
        <x:v>AWC Infrastructure</x:v>
      </x:c>
      <x:c r="H34" s="26" t="str">
        <x:v>Mission Saksham Anganwadi &amp; POSHAN 2.0</x:v>
      </x:c>
      <x:c r="I34" s="32" t="n">
        <x:v>46165</x:v>
      </x:c>
      <x:c r="J34" s="32" t="n">
        <x:v>46349</x:v>
      </x:c>
      <x:c r="K34" s="32"/>
      <x:c r="L34" s="26" t="str">
        <x:v>Active: On/After 01-Aug-2026</x:v>
      </x:c>
      <x:c r="M34" s="26" t="str">
        <x:v>Complex</x:v>
      </x:c>
      <x:c r="N34" s="26" t="str">
        <x:v>Civil Infrastructure=Complex; Electrical Infrastructure=Medium</x:v>
      </x:c>
      <x:c r="O34" s="26" t="n">
        <x:v>1</x:v>
      </x:c>
      <x:c r="P34" s="26" t="str">
        <x:v>Harijana colony (36701040618)</x:v>
      </x:c>
      <x:c r="Q34" s="26" t="str">
        <x:v>36701040618</x:v>
      </x:c>
      <x:c r="R34" s="26" t="n">
        <x:v>36</x:v>
      </x:c>
      <x:c r="S34" s="36" t="n">
        <x:v>50000</x:v>
      </x:c>
      <x:c r="T34" s="26" t="str">
        <x:v>BaLA paintings	Gas stove, regulator 	Water Filter	Play Area	Boundary Walls	Digital GMD	Rain Water Harvesting System	Poshan Vatika	Solar Panel
</x:v>
      </x:c>
      <x:c r="U34" s="26" t="str">
        <x:v>BaLA paintings	Gas stove, regulator 	Water Filter	Play Area	Boundary Walls	Digital GMD	Rain Water Harvesting System	Poshan Vatika	Solar Panel
</x:v>
      </x:c>
      <x:c r="V34" s="27" t="b">
        <x:v>0</x:v>
      </x:c>
      <x:c r="W34" s="26" t="n">
        <x:v>2</x:v>
      </x:c>
      <x:c r="X34" s="26" t="n">
        <x:v>0</x:v>
      </x:c>
      <x:c r="Y34" s="26" t="n">
        <x:v>2</x:v>
      </x:c>
      <x:c r="Z34" s="26" t="n">
        <x:v>0</x:v>
      </x:c>
      <x:c r="AA34" s="26" t="n">
        <x:v>2</x:v>
      </x:c>
      <x:c r="AB34" s="38" t="n">
        <x:v>0</x:v>
      </x:c>
      <x:c r="AC34" s="26" t="str">
        <x:v>Committed / Not Delivered</x:v>
      </x:c>
      <x:c r="AD34" s="26" t="str">
        <x:v>Approval not recorded in response</x:v>
      </x:c>
      <x:c r="AE34" s="27" t="b">
        <x:v>1</x:v>
      </x:c>
      <x:c r="AF34" s="34" t="n">
        <x:v>46220.01424768518</x:v>
      </x:c>
      <x:c r="AG34" s="34"/>
      <x:c r="AH34" s="26" t="str">
        <x:v>Fully enriched from attached Mulugu project JSON</x:v>
      </x:c>
      <x:c r="AI34" s="26" t="str"/>
      <x:c r="AJ34" s="26" t="str">
        <x:v>Not Started</x:v>
      </x:c>
      <x:c r="AK34" s="26" t="str"/>
      <x:c r="AL34" s="26" t="str"/>
    </x:row>
    <x:row r="35">
      <x:c r="A35" s="26" t="n">
        <x:v>32</x:v>
      </x:c>
      <x:c r="B35" s="26" t="n">
        <x:v>260</x:v>
      </x:c>
      <x:c r="C35" s="26" t="str">
        <x:v>Mulugu</x:v>
      </x:c>
      <x:c r="D35" s="26" t="str">
        <x:v>Telangana</x:v>
      </x:c>
      <x:c r="E35" s="26" t="n">
        <x:v>13049</x:v>
      </x:c>
      <x:c r="F35" s="26" t="str">
        <x:v>PRJ-2026-0013049</x:v>
      </x:c>
      <x:c r="G35" s="26" t="str">
        <x:v>AWC Infrastructure</x:v>
      </x:c>
      <x:c r="H35" s="26" t="str">
        <x:v>Mission Saksham Anganwadi &amp; POSHAN 2.0</x:v>
      </x:c>
      <x:c r="I35" s="32" t="n">
        <x:v>46165</x:v>
      </x:c>
      <x:c r="J35" s="32" t="n">
        <x:v>46349</x:v>
      </x:c>
      <x:c r="K35" s="32"/>
      <x:c r="L35" s="26" t="str">
        <x:v>Active: On/After 01-Aug-2026</x:v>
      </x:c>
      <x:c r="M35" s="26" t="str">
        <x:v>Complex</x:v>
      </x:c>
      <x:c r="N35" s="26" t="str">
        <x:v>Civil Infrastructure=Complex; Electrical Infrastructure=Medium</x:v>
      </x:c>
      <x:c r="O35" s="26" t="n">
        <x:v>1</x:v>
      </x:c>
      <x:c r="P35" s="26" t="str">
        <x:v>Karivaniguppa (Mini) (36701040615)</x:v>
      </x:c>
      <x:c r="Q35" s="26" t="str">
        <x:v>36701040615</x:v>
      </x:c>
      <x:c r="R35" s="26" t="n">
        <x:v>18</x:v>
      </x:c>
      <x:c r="S35" s="36" t="n">
        <x:v>50000</x:v>
      </x:c>
      <x:c r="T35" s="26" t="str">
        <x:v>BaLA paintings	Gas stove, regulator 	Water Filter	Play Area	Boundary Walls	Digital GMD	Rain Water Harvesting System	Poshan Vatika	Solar Panel
</x:v>
      </x:c>
      <x:c r="U35" s="26" t="str">
        <x:v>BaLA paintings	Gas stove, regulator 	Water Filter	Play Area	Boundary Walls	Digital GMD	Rain Water Harvesting System	Poshan Vatika	Solar Panel
</x:v>
      </x:c>
      <x:c r="V35" s="27" t="b">
        <x:v>0</x:v>
      </x:c>
      <x:c r="W35" s="26" t="n">
        <x:v>2</x:v>
      </x:c>
      <x:c r="X35" s="26" t="n">
        <x:v>0</x:v>
      </x:c>
      <x:c r="Y35" s="26" t="n">
        <x:v>2</x:v>
      </x:c>
      <x:c r="Z35" s="26" t="n">
        <x:v>0</x:v>
      </x:c>
      <x:c r="AA35" s="26" t="n">
        <x:v>2</x:v>
      </x:c>
      <x:c r="AB35" s="38" t="n">
        <x:v>0</x:v>
      </x:c>
      <x:c r="AC35" s="26" t="str">
        <x:v>Committed / Not Delivered</x:v>
      </x:c>
      <x:c r="AD35" s="26" t="str">
        <x:v>Approval not recorded in response</x:v>
      </x:c>
      <x:c r="AE35" s="27" t="b">
        <x:v>1</x:v>
      </x:c>
      <x:c r="AF35" s="34" t="n">
        <x:v>46220.014236111114</x:v>
      </x:c>
      <x:c r="AG35" s="34"/>
      <x:c r="AH35" s="26" t="str">
        <x:v>Fully enriched from attached Mulugu project JSON</x:v>
      </x:c>
      <x:c r="AI35" s="26" t="str"/>
      <x:c r="AJ35" s="26" t="str">
        <x:v>Not Started</x:v>
      </x:c>
      <x:c r="AK35" s="26" t="str"/>
      <x:c r="AL35" s="26" t="str"/>
    </x:row>
    <x:row r="36">
      <x:c r="A36" s="26" t="n">
        <x:v>33</x:v>
      </x:c>
      <x:c r="B36" s="26" t="n">
        <x:v>258</x:v>
      </x:c>
      <x:c r="C36" s="26" t="str">
        <x:v>Mulugu</x:v>
      </x:c>
      <x:c r="D36" s="26" t="str">
        <x:v>Telangana</x:v>
      </x:c>
      <x:c r="E36" s="26" t="n">
        <x:v>8038</x:v>
      </x:c>
      <x:c r="F36" s="26" t="str">
        <x:v>PRJ-2026-0008038</x:v>
      </x:c>
      <x:c r="G36" s="26" t="str">
        <x:v>AWC Bhagyathanda</x:v>
      </x:c>
      <x:c r="H36" s="26" t="str">
        <x:v>Mission Saksham Anganwadi &amp; POSHAN 2.0</x:v>
      </x:c>
      <x:c r="I36" s="32" t="n">
        <x:v>46164</x:v>
      </x:c>
      <x:c r="J36" s="32" t="n">
        <x:v>46348</x:v>
      </x:c>
      <x:c r="K36" s="32"/>
      <x:c r="L36" s="26" t="str">
        <x:v>Active: On/After 01-Aug-2026</x:v>
      </x:c>
      <x:c r="M36" s="26" t="str">
        <x:v>Complex</x:v>
      </x:c>
      <x:c r="N36" s="26" t="str">
        <x:v>Civil Infrastructure=Complex; ECCE Equipment=Minor; Educational Needs=Minor; Electrical Infrastructure=Medium; Office Needs=Minor</x:v>
      </x:c>
      <x:c r="O36" s="26" t="n">
        <x:v>1</x:v>
      </x:c>
      <x:c r="P36" s="26" t="str">
        <x:v>Bhagyathanda (36701020220)</x:v>
      </x:c>
      <x:c r="Q36" s="26" t="str">
        <x:v>36701020220</x:v>
      </x:c>
      <x:c r="R36" s="26" t="n">
        <x:v>15</x:v>
      </x:c>
      <x:c r="S36" s="36" t="n">
        <x:v>50000</x:v>
      </x:c>
      <x:c r="T36" s="26" t="str">
        <x:v>Civil Repair
Water Filter	
Gas Stove&amp; Regulator	
Balapainting					
Pressure Cooker	
Slides	
Kids Chairs	
Fans &amp; Lights	
Storage Bins	
Egg &amp; Milk Storge Racks	
Digital GMD
</x:v>
      </x:c>
      <x:c r="U36" s="26" t="str">
        <x:v>Civil Repair
	Water Filter	
Gas Stove&amp; Regulator	
Balapainting					
Pressure Cooker	
Slides	
Kids Chairs	
Fans &amp; Lights	
Storage Bins	
Egg &amp; Milk Storge Racks	
Digital GMD
</x:v>
      </x:c>
      <x:c r="V36" s="27" t="b">
        <x:v>1</x:v>
      </x:c>
      <x:c r="W36" s="26" t="n">
        <x:v>6</x:v>
      </x:c>
      <x:c r="X36" s="26" t="n">
        <x:v>0</x:v>
      </x:c>
      <x:c r="Y36" s="26" t="n">
        <x:v>22</x:v>
      </x:c>
      <x:c r="Z36" s="26" t="n">
        <x:v>0</x:v>
      </x:c>
      <x:c r="AA36" s="26" t="n">
        <x:v>22</x:v>
      </x:c>
      <x:c r="AB36" s="38" t="n">
        <x:v>0</x:v>
      </x:c>
      <x:c r="AC36" s="26" t="str">
        <x:v>Committed / Not Delivered</x:v>
      </x:c>
      <x:c r="AD36" s="26" t="str">
        <x:v>Approval not recorded in response</x:v>
      </x:c>
      <x:c r="AE36" s="27" t="b">
        <x:v>1</x:v>
      </x:c>
      <x:c r="AF36" s="34" t="n">
        <x:v>46220.01422453704</x:v>
      </x:c>
      <x:c r="AG36" s="34"/>
      <x:c r="AH36" s="26" t="str">
        <x:v>Fully enriched from attached Mulugu project JSON</x:v>
      </x:c>
      <x:c r="AI36" s="26" t="str"/>
      <x:c r="AJ36" s="26" t="str">
        <x:v>Not Started</x:v>
      </x:c>
      <x:c r="AK36" s="26" t="str"/>
      <x:c r="AL36" s="26" t="str"/>
    </x:row>
    <x:row r="37">
      <x:c r="A37" s="26" t="n">
        <x:v>34</x:v>
      </x:c>
      <x:c r="B37" s="26" t="n">
        <x:v>259</x:v>
      </x:c>
      <x:c r="C37" s="26" t="str">
        <x:v>Mulugu</x:v>
      </x:c>
      <x:c r="D37" s="26" t="str">
        <x:v>Telangana</x:v>
      </x:c>
      <x:c r="E37" s="26" t="n">
        <x:v>13048</x:v>
      </x:c>
      <x:c r="F37" s="26" t="str">
        <x:v>PRJ-2026-0013048</x:v>
      </x:c>
      <x:c r="G37" s="26" t="str">
        <x:v>AWC Infrastructure</x:v>
      </x:c>
      <x:c r="H37" s="26" t="str">
        <x:v>Mission Saksham Anganwadi &amp; POSHAN 2.0</x:v>
      </x:c>
      <x:c r="I37" s="32" t="n">
        <x:v>46165</x:v>
      </x:c>
      <x:c r="J37" s="32" t="n">
        <x:v>46349</x:v>
      </x:c>
      <x:c r="K37" s="32"/>
      <x:c r="L37" s="26" t="str">
        <x:v>Active: On/After 01-Aug-2026</x:v>
      </x:c>
      <x:c r="M37" s="26" t="str">
        <x:v>Complex</x:v>
      </x:c>
      <x:c r="N37" s="26" t="str">
        <x:v>Civil Infrastructure=Complex; Electrical Infrastructure=Medium</x:v>
      </x:c>
      <x:c r="O37" s="26" t="n">
        <x:v>1</x:v>
      </x:c>
      <x:c r="P37" s="26" t="str">
        <x:v>Mallapuram (Mini) (36701040613)</x:v>
      </x:c>
      <x:c r="Q37" s="26" t="str">
        <x:v>36701040613</x:v>
      </x:c>
      <x:c r="R37" s="26" t="n">
        <x:v>19</x:v>
      </x:c>
      <x:c r="S37" s="36" t="n">
        <x:v>50000</x:v>
      </x:c>
      <x:c r="T37" s="26" t="str">
        <x:v>BaLA paintings	Gas stove, regulator 	Water Filter	Play Area	Boundary Walls	Digital GMD	Rain Water Harvesting System	Poshan Vatika	Solar Panel
</x:v>
      </x:c>
      <x:c r="U37" s="26" t="str">
        <x:v>BaLA paintings	Gas stove, regulator 	Water Filter	Play Area	Boundary Walls	Digital GMD	Rain Water Harvesting System	Poshan Vatika	Solar Panel
</x:v>
      </x:c>
      <x:c r="V37" s="27" t="b">
        <x:v>0</x:v>
      </x:c>
      <x:c r="W37" s="26" t="n">
        <x:v>2</x:v>
      </x:c>
      <x:c r="X37" s="26" t="n">
        <x:v>0</x:v>
      </x:c>
      <x:c r="Y37" s="26" t="n">
        <x:v>2</x:v>
      </x:c>
      <x:c r="Z37" s="26" t="n">
        <x:v>0</x:v>
      </x:c>
      <x:c r="AA37" s="26" t="n">
        <x:v>2</x:v>
      </x:c>
      <x:c r="AB37" s="38" t="n">
        <x:v>0</x:v>
      </x:c>
      <x:c r="AC37" s="26" t="str">
        <x:v>Committed / Not Delivered</x:v>
      </x:c>
      <x:c r="AD37" s="26" t="str">
        <x:v>Approval not recorded in response</x:v>
      </x:c>
      <x:c r="AE37" s="27" t="b">
        <x:v>1</x:v>
      </x:c>
      <x:c r="AF37" s="34" t="n">
        <x:v>46220.01422453704</x:v>
      </x:c>
      <x:c r="AG37" s="34"/>
      <x:c r="AH37" s="26" t="str">
        <x:v>Fully enriched from attached Mulugu project JSON</x:v>
      </x:c>
      <x:c r="AI37" s="26" t="str"/>
      <x:c r="AJ37" s="26" t="str">
        <x:v>Not Started</x:v>
      </x:c>
      <x:c r="AK37" s="26" t="str"/>
      <x:c r="AL37" s="26" t="str"/>
    </x:row>
    <x:row r="38">
      <x:c r="A38" s="26" t="n">
        <x:v>35</x:v>
      </x:c>
      <x:c r="B38" s="26" t="n">
        <x:v>257</x:v>
      </x:c>
      <x:c r="C38" s="26" t="str">
        <x:v>Mulugu</x:v>
      </x:c>
      <x:c r="D38" s="26" t="str">
        <x:v>Telangana</x:v>
      </x:c>
      <x:c r="E38" s="26" t="n">
        <x:v>8276</x:v>
      </x:c>
      <x:c r="F38" s="26" t="str">
        <x:v>PRJ-2026-0008276</x:v>
      </x:c>
      <x:c r="G38" s="26" t="str">
        <x:v>AWC Banalapally</x:v>
      </x:c>
      <x:c r="H38" s="26" t="str">
        <x:v>Mission Saksham Anganwadi &amp; POSHAN 2.0</x:v>
      </x:c>
      <x:c r="I38" s="32" t="n">
        <x:v>46164</x:v>
      </x:c>
      <x:c r="J38" s="32" t="n">
        <x:v>46348</x:v>
      </x:c>
      <x:c r="K38" s="32"/>
      <x:c r="L38" s="26" t="str">
        <x:v>Active: On/After 01-Aug-2026</x:v>
      </x:c>
      <x:c r="M38" s="26" t="str">
        <x:v>Complex</x:v>
      </x:c>
      <x:c r="N38" s="26" t="str">
        <x:v>Civil Infrastructure=Complex; ECCE Equipment=Minor; Educational Needs=Minor; Electrical Infrastructure=Medium; Office Needs=Minor</x:v>
      </x:c>
      <x:c r="O38" s="26" t="n">
        <x:v>1</x:v>
      </x:c>
      <x:c r="P38" s="26" t="str">
        <x:v>Banalapalli (36701020221)</x:v>
      </x:c>
      <x:c r="Q38" s="26" t="str">
        <x:v>36701020221</x:v>
      </x:c>
      <x:c r="R38" s="26" t="n">
        <x:v>25</x:v>
      </x:c>
      <x:c r="S38" s="36" t="n">
        <x:v>50000</x:v>
      </x:c>
      <x:c r="T38" s="26" t="str">
        <x:v>Civil Repair	
Water Filter	
Gas Stove&amp; Regulator	
Balapainting					
Pressure Cooker	
Slides	
Kids Chairs	
Fans &amp; Lights	
Storage Bins	
Egg &amp; Milk Storge Racks	
Digital GMD
</x:v>
      </x:c>
      <x:c r="U38" s="26" t="str">
        <x:v>Civil Repair	
Water Filter	
Gas Stove&amp; Regulator	
Balapainting					
Pressure Cooker	
Slides	
Kids Chairs	
Fans &amp; Lights	
Storage Bins	
Egg &amp; Milk Storge Racks	
Digital GMD
</x:v>
      </x:c>
      <x:c r="V38" s="27" t="b">
        <x:v>1</x:v>
      </x:c>
      <x:c r="W38" s="26" t="n">
        <x:v>8</x:v>
      </x:c>
      <x:c r="X38" s="26" t="n">
        <x:v>0</x:v>
      </x:c>
      <x:c r="Y38" s="26" t="n">
        <x:v>62</x:v>
      </x:c>
      <x:c r="Z38" s="26" t="n">
        <x:v>0</x:v>
      </x:c>
      <x:c r="AA38" s="26" t="n">
        <x:v>62</x:v>
      </x:c>
      <x:c r="AB38" s="38" t="n">
        <x:v>0</x:v>
      </x:c>
      <x:c r="AC38" s="26" t="str">
        <x:v>Committed / Not Delivered</x:v>
      </x:c>
      <x:c r="AD38" s="26" t="str">
        <x:v>Approval not recorded in response</x:v>
      </x:c>
      <x:c r="AE38" s="27" t="b">
        <x:v>1</x:v>
      </x:c>
      <x:c r="AF38" s="34" t="n">
        <x:v>46220.01421296296</x:v>
      </x:c>
      <x:c r="AG38" s="34"/>
      <x:c r="AH38" s="26" t="str">
        <x:v>Fully enriched from attached Mulugu project JSON</x:v>
      </x:c>
      <x:c r="AI38" s="26" t="str"/>
      <x:c r="AJ38" s="26" t="str">
        <x:v>Not Started</x:v>
      </x:c>
      <x:c r="AK38" s="26" t="str"/>
      <x:c r="AL38" s="26" t="str"/>
    </x:row>
    <x:row r="39">
      <x:c r="A39" s="26" t="n">
        <x:v>36</x:v>
      </x:c>
      <x:c r="B39" s="26" t="n">
        <x:v>256</x:v>
      </x:c>
      <x:c r="C39" s="26" t="str">
        <x:v>Mulugu</x:v>
      </x:c>
      <x:c r="D39" s="26" t="str">
        <x:v>Telangana</x:v>
      </x:c>
      <x:c r="E39" s="26" t="n">
        <x:v>10856</x:v>
      </x:c>
      <x:c r="F39" s="26" t="str">
        <x:v>PRJ-2026-0010856</x:v>
      </x:c>
      <x:c r="G39" s="26" t="str">
        <x:v>AWC Infrastructure</x:v>
      </x:c>
      <x:c r="H39" s="26" t="str">
        <x:v>Mission Saksham Anganwadi &amp; POSHAN 2.0</x:v>
      </x:c>
      <x:c r="I39" s="32" t="n">
        <x:v>46164</x:v>
      </x:c>
      <x:c r="J39" s="32" t="n">
        <x:v>46348</x:v>
      </x:c>
      <x:c r="K39" s="32"/>
      <x:c r="L39" s="26" t="str">
        <x:v>Active: On/After 01-Aug-2026</x:v>
      </x:c>
      <x:c r="M39" s="26" t="str">
        <x:v>Complex</x:v>
      </x:c>
      <x:c r="N39" s="26" t="str">
        <x:v>Civil Infrastructure=Complex</x:v>
      </x:c>
      <x:c r="O39" s="26" t="n">
        <x:v>1</x:v>
      </x:c>
      <x:c r="P39" s="26" t="str">
        <x:v>Arunachalapuram (36701040324)</x:v>
      </x:c>
      <x:c r="Q39" s="26" t="str">
        <x:v>36701040324</x:v>
      </x:c>
      <x:c r="R39" s="26" t="n">
        <x:v>30</x:v>
      </x:c>
      <x:c r="S39" s="36" t="n">
        <x:v>50000</x:v>
      </x:c>
      <x:c r="T39" s="26" t="str">
        <x:v>BaLA paintings	Gas stove, regulator 	Water Filter	Play Area		Digital GMD	Rain Water Harvesting System	Poshan Vatika		Kitchen Construction
</x:v>
      </x:c>
      <x:c r="U39" s="26" t="str">
        <x:v>BaLA paintings	Gas stove, regulator 	Water Filter	Play Area		Digital GMD	Rain Water Harvesting System	Poshan Vatika		Kitchen Construction
</x:v>
      </x:c>
      <x:c r="V39" s="27" t="b">
        <x:v>0</x:v>
      </x:c>
      <x:c r="W39" s="26" t="n">
        <x:v>2</x:v>
      </x:c>
      <x:c r="X39" s="26" t="n">
        <x:v>0</x:v>
      </x:c>
      <x:c r="Y39" s="26" t="n">
        <x:v>2</x:v>
      </x:c>
      <x:c r="Z39" s="26" t="n">
        <x:v>0</x:v>
      </x:c>
      <x:c r="AA39" s="26" t="n">
        <x:v>2</x:v>
      </x:c>
      <x:c r="AB39" s="38" t="n">
        <x:v>0</x:v>
      </x:c>
      <x:c r="AC39" s="26" t="str">
        <x:v>Committed / Not Delivered</x:v>
      </x:c>
      <x:c r="AD39" s="26" t="str">
        <x:v>Approval not recorded in response</x:v>
      </x:c>
      <x:c r="AE39" s="27" t="b">
        <x:v>1</x:v>
      </x:c>
      <x:c r="AF39" s="34" t="n">
        <x:v>46220.01420138889</x:v>
      </x:c>
      <x:c r="AG39" s="34"/>
      <x:c r="AH39" s="26" t="str">
        <x:v>Fully enriched from attached Mulugu project JSON</x:v>
      </x:c>
      <x:c r="AI39" s="26" t="str"/>
      <x:c r="AJ39" s="26" t="str">
        <x:v>Not Started</x:v>
      </x:c>
      <x:c r="AK39" s="26" t="str"/>
      <x:c r="AL39" s="26" t="str"/>
    </x:row>
    <x:row r="40">
      <x:c r="A40" s="26" t="n">
        <x:v>89</x:v>
      </x:c>
      <x:c r="B40" s="26" t="n">
        <x:v>202</x:v>
      </x:c>
      <x:c r="C40" s="26" t="str">
        <x:v>Mulugu</x:v>
      </x:c>
      <x:c r="D40" s="26" t="str">
        <x:v>Telangana</x:v>
      </x:c>
      <x:c r="E40" s="26" t="n">
        <x:v>11186</x:v>
      </x:c>
      <x:c r="F40" s="26" t="str">
        <x:v>PRJ-2026-0011186</x:v>
      </x:c>
      <x:c r="G40" s="26" t="str">
        <x:v>AWC Venkatapur II</x:v>
      </x:c>
      <x:c r="H40" s="26" t="str">
        <x:v>Mission Saksham Anganwadi &amp; POSHAN 2.0</x:v>
      </x:c>
      <x:c r="I40" s="32" t="n">
        <x:v>46164</x:v>
      </x:c>
      <x:c r="J40" s="32" t="n">
        <x:v>46348</x:v>
      </x:c>
      <x:c r="K40" s="32"/>
      <x:c r="L40" s="26" t="str">
        <x:v>Active: On/After 01-Aug-2026</x:v>
      </x:c>
      <x:c r="M40" s="26" t="str">
        <x:v>Medium</x:v>
      </x:c>
      <x:c r="N40" s="26" t="str">
        <x:v>ECCE Equipment=Minor; Educational Needs=Minor; Electrical Infrastructure=Medium; Health and Safety aids=Minor; Office Needs=Minor</x:v>
      </x:c>
      <x:c r="O40" s="26" t="n">
        <x:v>1</x:v>
      </x:c>
      <x:c r="P40" s="26" t="str">
        <x:v>Venkatapur - II (36701020605)</x:v>
      </x:c>
      <x:c r="Q40" s="26" t="str">
        <x:v>36701020605</x:v>
      </x:c>
      <x:c r="R40" s="26" t="n">
        <x:v>102</x:v>
      </x:c>
      <x:c r="S40" s="36" t="n">
        <x:v>50000</x:v>
      </x:c>
      <x:c r="T40" s="26" t="str">
        <x:v>Water Filter	
Gas Stove&amp; Regulator
Pressure Cooker	
Slides	
Kids Chairs	
Fans &amp; Lights	
Storage Bins	
Egg &amp; Milk Storge Racks	
Digital GMD
</x:v>
      </x:c>
      <x:c r="U40" s="26" t="str">
        <x:v>Water Filter	
Gas Stove&amp; Regulator
Pressure Cooker	
Slides	
Kids Chairs	
Fans &amp; Lights	
Storage Bins	
Egg &amp; Milk Storge Racks	
Digital GMD
</x:v>
      </x:c>
      <x:c r="V40" s="27" t="b">
        <x:v>1</x:v>
      </x:c>
      <x:c r="W40" s="26" t="n">
        <x:v>7</x:v>
      </x:c>
      <x:c r="X40" s="26" t="n">
        <x:v>0</x:v>
      </x:c>
      <x:c r="Y40" s="26" t="n">
        <x:v>39</x:v>
      </x:c>
      <x:c r="Z40" s="26" t="n">
        <x:v>0</x:v>
      </x:c>
      <x:c r="AA40" s="26" t="n">
        <x:v>39</x:v>
      </x:c>
      <x:c r="AB40" s="38" t="n">
        <x:v>0</x:v>
      </x:c>
      <x:c r="AC40" s="26" t="str">
        <x:v>Committed / Not Delivered</x:v>
      </x:c>
      <x:c r="AD40" s="26" t="str">
        <x:v>Approval not recorded in response</x:v>
      </x:c>
      <x:c r="AE40" s="27" t="b">
        <x:v>1</x:v>
      </x:c>
      <x:c r="AF40" s="34" t="n">
        <x:v>46219.729675925926</x:v>
      </x:c>
      <x:c r="AG40" s="34"/>
      <x:c r="AH40" s="26" t="str">
        <x:v>Fully enriched from attached Mulugu project JSON</x:v>
      </x:c>
      <x:c r="AI40" s="26" t="str"/>
      <x:c r="AJ40" s="26" t="str">
        <x:v>Not Started</x:v>
      </x:c>
      <x:c r="AK40" s="26" t="str"/>
      <x:c r="AL40" s="26" t="str"/>
    </x:row>
    <x:row r="41">
      <x:c r="A41" s="26" t="n">
        <x:v>90</x:v>
      </x:c>
      <x:c r="B41" s="26" t="n">
        <x:v>203</x:v>
      </x:c>
      <x:c r="C41" s="26" t="str">
        <x:v>Mulugu</x:v>
      </x:c>
      <x:c r="D41" s="26" t="str">
        <x:v>Telangana</x:v>
      </x:c>
      <x:c r="E41" s="26" t="n">
        <x:v>11139</x:v>
      </x:c>
      <x:c r="F41" s="26" t="str">
        <x:v>PRJ-2026-0011139</x:v>
      </x:c>
      <x:c r="G41" s="26" t="str">
        <x:v>AWC Venkatapur II BC Colony</x:v>
      </x:c>
      <x:c r="H41" s="26" t="str">
        <x:v>Mission Saksham Anganwadi &amp; POSHAN 2.0</x:v>
      </x:c>
      <x:c r="I41" s="32" t="n">
        <x:v>46164</x:v>
      </x:c>
      <x:c r="J41" s="32" t="n">
        <x:v>46348</x:v>
      </x:c>
      <x:c r="K41" s="32"/>
      <x:c r="L41" s="26" t="str">
        <x:v>Active: On/After 01-Aug-2026</x:v>
      </x:c>
      <x:c r="M41" s="26" t="str">
        <x:v>Medium</x:v>
      </x:c>
      <x:c r="N41" s="26" t="str">
        <x:v>ECCE Equipment=Minor; Educational Needs=Minor; Electrical Infrastructure=Medium; Health and Safety aids=Minor; Office Needs=Minor</x:v>
      </x:c>
      <x:c r="O41" s="26" t="n">
        <x:v>1</x:v>
      </x:c>
      <x:c r="P41" s="26" t="str">
        <x:v>Venkatapur II (Bc col (36701020602)</x:v>
      </x:c>
      <x:c r="Q41" s="26" t="str">
        <x:v>36701020602</x:v>
      </x:c>
      <x:c r="R41" s="26" t="n">
        <x:v>48</x:v>
      </x:c>
      <x:c r="S41" s="36" t="n">
        <x:v>50000</x:v>
      </x:c>
      <x:c r="T41" s="26" t="str">
        <x:v>Water Filter	
Gas Stove&amp; Regulator
Pressure Cooker	
Slides	
Kids Chairs	
Fans &amp; Lights	
Storage Bins	
Egg &amp; Milk Storge Racks	
Digital GMD
</x:v>
      </x:c>
      <x:c r="U41" s="26" t="str">
        <x:v>Water Filter	
Gas Stove&amp; Regulator
Pressure Cooker	
Slides	
Kids Chairs	
Fans &amp; Lights	
Storage Bins	
Egg &amp; Milk Storge Racks	
Digital GMD
</x:v>
      </x:c>
      <x:c r="V41" s="27" t="b">
        <x:v>1</x:v>
      </x:c>
      <x:c r="W41" s="26" t="n">
        <x:v>8</x:v>
      </x:c>
      <x:c r="X41" s="26" t="n">
        <x:v>0</x:v>
      </x:c>
      <x:c r="Y41" s="26" t="n">
        <x:v>39</x:v>
      </x:c>
      <x:c r="Z41" s="26" t="n">
        <x:v>0</x:v>
      </x:c>
      <x:c r="AA41" s="26" t="n">
        <x:v>39</x:v>
      </x:c>
      <x:c r="AB41" s="38" t="n">
        <x:v>0</x:v>
      </x:c>
      <x:c r="AC41" s="26" t="str">
        <x:v>Committed / Not Delivered</x:v>
      </x:c>
      <x:c r="AD41" s="26" t="str">
        <x:v>Approval not recorded in response</x:v>
      </x:c>
      <x:c r="AE41" s="27" t="b">
        <x:v>1</x:v>
      </x:c>
      <x:c r="AF41" s="34" t="n">
        <x:v>46219.729675925926</x:v>
      </x:c>
      <x:c r="AG41" s="34"/>
      <x:c r="AH41" s="26" t="str">
        <x:v>Fully enriched from attached Mulugu project JSON</x:v>
      </x:c>
      <x:c r="AI41" s="26" t="str"/>
      <x:c r="AJ41" s="26" t="str">
        <x:v>Not Started</x:v>
      </x:c>
      <x:c r="AK41" s="26" t="str"/>
      <x:c r="AL41" s="26" t="str"/>
    </x:row>
    <x:row r="42">
      <x:c r="A42" s="26" t="n">
        <x:v>91</x:v>
      </x:c>
      <x:c r="B42" s="26" t="n">
        <x:v>199</x:v>
      </x:c>
      <x:c r="C42" s="26" t="str">
        <x:v>Mulugu</x:v>
      </x:c>
      <x:c r="D42" s="26" t="str">
        <x:v>Telangana</x:v>
      </x:c>
      <x:c r="E42" s="26" t="n">
        <x:v>13081</x:v>
      </x:c>
      <x:c r="F42" s="26" t="str">
        <x:v>PRJ-2026-0013081</x:v>
      </x:c>
      <x:c r="G42" s="26" t="str">
        <x:v>AWC Venkatapur III</x:v>
      </x:c>
      <x:c r="H42" s="26" t="str">
        <x:v>Mission Saksham Anganwadi &amp; POSHAN 2.0</x:v>
      </x:c>
      <x:c r="I42" s="32" t="n">
        <x:v>46165</x:v>
      </x:c>
      <x:c r="J42" s="32" t="n">
        <x:v>46349</x:v>
      </x:c>
      <x:c r="K42" s="32"/>
      <x:c r="L42" s="26" t="str">
        <x:v>Active: On/After 01-Aug-2026</x:v>
      </x:c>
      <x:c r="M42" s="26" t="str">
        <x:v>Medium</x:v>
      </x:c>
      <x:c r="N42" s="26" t="str">
        <x:v>ECCE Equipment=Minor; Educational Needs=Minor; Electrical Infrastructure=Medium; Health and Safety aids=Minor; Office Needs=Minor</x:v>
      </x:c>
      <x:c r="O42" s="26" t="n">
        <x:v>1</x:v>
      </x:c>
      <x:c r="P42" s="26" t="str">
        <x:v>Venkatapur - III (36701020604)</x:v>
      </x:c>
      <x:c r="Q42" s="26" t="str">
        <x:v>36701020604</x:v>
      </x:c>
      <x:c r="R42" s="26" t="n">
        <x:v>60</x:v>
      </x:c>
      <x:c r="S42" s="36" t="n">
        <x:v>50000</x:v>
      </x:c>
      <x:c r="T42" s="26" t="str">
        <x:v>Water Filter Gas Stove&amp; Regulator Pressure Cooker Slides Kids Chairs Fans &amp; Lights Storage Bins Egg &amp; Milk Storge Racks Digital GMD</x:v>
      </x:c>
      <x:c r="U42" s="26" t="str">
        <x:v>Water Filter Gas Stove&amp; Regulator Pressure Cooker Slides Kids Chairs Fans &amp; Lights Storage Bins Egg &amp; Milk Storge Racks Digital GMD</x:v>
      </x:c>
      <x:c r="V42" s="27" t="b">
        <x:v>1</x:v>
      </x:c>
      <x:c r="W42" s="26" t="n">
        <x:v>7</x:v>
      </x:c>
      <x:c r="X42" s="26" t="n">
        <x:v>0</x:v>
      </x:c>
      <x:c r="Y42" s="26" t="n">
        <x:v>32</x:v>
      </x:c>
      <x:c r="Z42" s="26" t="n">
        <x:v>0</x:v>
      </x:c>
      <x:c r="AA42" s="26" t="n">
        <x:v>32</x:v>
      </x:c>
      <x:c r="AB42" s="38" t="n">
        <x:v>0</x:v>
      </x:c>
      <x:c r="AC42" s="26" t="str">
        <x:v>Committed / Not Delivered</x:v>
      </x:c>
      <x:c r="AD42" s="26" t="str">
        <x:v>Approval not recorded in response</x:v>
      </x:c>
      <x:c r="AE42" s="27" t="b">
        <x:v>1</x:v>
      </x:c>
      <x:c r="AF42" s="34" t="n">
        <x:v>46219.72966435185</x:v>
      </x:c>
      <x:c r="AG42" s="34"/>
      <x:c r="AH42" s="26" t="str">
        <x:v>Fully enriched from attached Mulugu project JSON</x:v>
      </x:c>
      <x:c r="AI42" s="26" t="str"/>
      <x:c r="AJ42" s="26" t="str">
        <x:v>Not Started</x:v>
      </x:c>
      <x:c r="AK42" s="26" t="str"/>
      <x:c r="AL42" s="26" t="str"/>
    </x:row>
    <x:row r="43">
      <x:c r="A43" s="26" t="n">
        <x:v>92</x:v>
      </x:c>
      <x:c r="B43" s="26" t="n">
        <x:v>200</x:v>
      </x:c>
      <x:c r="C43" s="26" t="str">
        <x:v>Mulugu</x:v>
      </x:c>
      <x:c r="D43" s="26" t="str">
        <x:v>Telangana</x:v>
      </x:c>
      <x:c r="E43" s="26" t="n">
        <x:v>11460</x:v>
      </x:c>
      <x:c r="F43" s="26" t="str">
        <x:v>PRJ-2026-0011460</x:v>
      </x:c>
      <x:c r="G43" s="26" t="str">
        <x:v>AWC Venkatapur I</x:v>
      </x:c>
      <x:c r="H43" s="26" t="str">
        <x:v>Mission Saksham Anganwadi &amp; POSHAN 2.0</x:v>
      </x:c>
      <x:c r="I43" s="32" t="n">
        <x:v>46164</x:v>
      </x:c>
      <x:c r="J43" s="32" t="n">
        <x:v>46348</x:v>
      </x:c>
      <x:c r="K43" s="32"/>
      <x:c r="L43" s="26" t="str">
        <x:v>Active: On/After 01-Aug-2026</x:v>
      </x:c>
      <x:c r="M43" s="26" t="str">
        <x:v>Medium</x:v>
      </x:c>
      <x:c r="N43" s="26" t="str">
        <x:v>ECCE Equipment=Minor; Educational Needs=Minor; Electrical Infrastructure=Medium; Health and Safety aids=Minor; Office Needs=Minor</x:v>
      </x:c>
      <x:c r="O43" s="26" t="n">
        <x:v>1</x:v>
      </x:c>
      <x:c r="P43" s="26" t="str">
        <x:v>Venkatapur - I (36701020606)</x:v>
      </x:c>
      <x:c r="Q43" s="26" t="str">
        <x:v>36701020606</x:v>
      </x:c>
      <x:c r="R43" s="26" t="n">
        <x:v>110</x:v>
      </x:c>
      <x:c r="S43" s="36" t="n">
        <x:v>50000</x:v>
      </x:c>
      <x:c r="T43" s="26" t="str">
        <x:v>Water Filter	
Gas Stove&amp; Regulator
Pressure Cooker	
Slides	
Kids Chairs	
Fans &amp; Lights	
Storage Bins	
Egg &amp; Milk Storge Racks	
Digital GMD
</x:v>
      </x:c>
      <x:c r="U43" s="26" t="str">
        <x:v>Water Filter	
Gas Stove&amp; Regulator
Pressure Cooker	
Slides	
Kids Chairs	
Fans &amp; Lights	
Storage Bins	
Egg &amp; Milk Storge Racks	
Digital GMD
</x:v>
      </x:c>
      <x:c r="V43" s="27" t="b">
        <x:v>1</x:v>
      </x:c>
      <x:c r="W43" s="26" t="n">
        <x:v>7</x:v>
      </x:c>
      <x:c r="X43" s="26" t="n">
        <x:v>0</x:v>
      </x:c>
      <x:c r="Y43" s="26" t="n">
        <x:v>37</x:v>
      </x:c>
      <x:c r="Z43" s="26" t="n">
        <x:v>0</x:v>
      </x:c>
      <x:c r="AA43" s="26" t="n">
        <x:v>37</x:v>
      </x:c>
      <x:c r="AB43" s="38" t="n">
        <x:v>0</x:v>
      </x:c>
      <x:c r="AC43" s="26" t="str">
        <x:v>Committed / Not Delivered</x:v>
      </x:c>
      <x:c r="AD43" s="26" t="str">
        <x:v>Approval not recorded in response</x:v>
      </x:c>
      <x:c r="AE43" s="27" t="b">
        <x:v>1</x:v>
      </x:c>
      <x:c r="AF43" s="34" t="n">
        <x:v>46219.72966435185</x:v>
      </x:c>
      <x:c r="AG43" s="34"/>
      <x:c r="AH43" s="26" t="str">
        <x:v>Fully enriched from attached Mulugu project JSON</x:v>
      </x:c>
      <x:c r="AI43" s="26" t="str"/>
      <x:c r="AJ43" s="26" t="str">
        <x:v>Not Started</x:v>
      </x:c>
      <x:c r="AK43" s="26" t="str"/>
      <x:c r="AL43" s="26" t="str"/>
    </x:row>
    <x:row r="44">
      <x:c r="A44" s="26" t="n">
        <x:v>93</x:v>
      </x:c>
      <x:c r="B44" s="26" t="n">
        <x:v>201</x:v>
      </x:c>
      <x:c r="C44" s="26" t="str">
        <x:v>Mulugu</x:v>
      </x:c>
      <x:c r="D44" s="26" t="str">
        <x:v>Telangana</x:v>
      </x:c>
      <x:c r="E44" s="26" t="n">
        <x:v>11386</x:v>
      </x:c>
      <x:c r="F44" s="26" t="str">
        <x:v>PRJ-2026-0011386</x:v>
      </x:c>
      <x:c r="G44" s="26" t="str">
        <x:v>AWC Venkatapur IV</x:v>
      </x:c>
      <x:c r="H44" s="26" t="str">
        <x:v>Mission Saksham Anganwadi &amp; POSHAN 2.0</x:v>
      </x:c>
      <x:c r="I44" s="32" t="n">
        <x:v>46164</x:v>
      </x:c>
      <x:c r="J44" s="32" t="n">
        <x:v>46348</x:v>
      </x:c>
      <x:c r="K44" s="32"/>
      <x:c r="L44" s="26" t="str">
        <x:v>Active: On/After 01-Aug-2026</x:v>
      </x:c>
      <x:c r="M44" s="26" t="str">
        <x:v>Medium</x:v>
      </x:c>
      <x:c r="N44" s="26" t="str">
        <x:v>ECCE Equipment=Minor; Educational Needs=Minor; Electrical Infrastructure=Medium; Health and Safety aids=Minor; Office Needs=Minor</x:v>
      </x:c>
      <x:c r="O44" s="26" t="n">
        <x:v>1</x:v>
      </x:c>
      <x:c r="P44" s="26" t="str">
        <x:v>Venkatapur - IV (36701020603)</x:v>
      </x:c>
      <x:c r="Q44" s="26" t="str">
        <x:v>36701020603</x:v>
      </x:c>
      <x:c r="R44" s="26" t="n">
        <x:v>107</x:v>
      </x:c>
      <x:c r="S44" s="36" t="n">
        <x:v>50000</x:v>
      </x:c>
      <x:c r="T44" s="26" t="str">
        <x:v>Water Filter	
Gas Stove&amp; Regulator
Pressure Cooker	
Slides	
Kids Chairs	
Fans &amp; Lights	
Storage Bins	
Egg &amp; Milk Storge Racks	
Digital GMD
</x:v>
      </x:c>
      <x:c r="U44" s="26" t="str">
        <x:v>Water Filter	
Gas Stove&amp; Regulator
Pressure Cooker	
Slides	
Kids Chairs	
Fans &amp; Lights	
Storage Bins	
Egg &amp; Milk Storge Racks	
Digital GMD
</x:v>
      </x:c>
      <x:c r="V44" s="27" t="b">
        <x:v>1</x:v>
      </x:c>
      <x:c r="W44" s="26" t="n">
        <x:v>8</x:v>
      </x:c>
      <x:c r="X44" s="26" t="n">
        <x:v>0</x:v>
      </x:c>
      <x:c r="Y44" s="26" t="n">
        <x:v>32</x:v>
      </x:c>
      <x:c r="Z44" s="26" t="n">
        <x:v>0</x:v>
      </x:c>
      <x:c r="AA44" s="26" t="n">
        <x:v>32</x:v>
      </x:c>
      <x:c r="AB44" s="38" t="n">
        <x:v>0</x:v>
      </x:c>
      <x:c r="AC44" s="26" t="str">
        <x:v>Committed / Not Delivered</x:v>
      </x:c>
      <x:c r="AD44" s="26" t="str">
        <x:v>Approval not recorded in response</x:v>
      </x:c>
      <x:c r="AE44" s="27" t="b">
        <x:v>1</x:v>
      </x:c>
      <x:c r="AF44" s="34" t="n">
        <x:v>46219.72966435185</x:v>
      </x:c>
      <x:c r="AG44" s="34"/>
      <x:c r="AH44" s="26" t="str">
        <x:v>Fully enriched from attached Mulugu project JSON</x:v>
      </x:c>
      <x:c r="AI44" s="26" t="str"/>
      <x:c r="AJ44" s="26" t="str">
        <x:v>Not Started</x:v>
      </x:c>
      <x:c r="AK44" s="26" t="str"/>
      <x:c r="AL44" s="26" t="str"/>
    </x:row>
    <x:row r="45">
      <x:c r="A45" s="26" t="n">
        <x:v>94</x:v>
      </x:c>
      <x:c r="B45" s="26" t="n">
        <x:v>196</x:v>
      </x:c>
      <x:c r="C45" s="26" t="str">
        <x:v>Mulugu</x:v>
      </x:c>
      <x:c r="D45" s="26" t="str">
        <x:v>Telangana</x:v>
      </x:c>
      <x:c r="E45" s="26" t="n">
        <x:v>13112</x:v>
      </x:c>
      <x:c r="F45" s="26" t="str">
        <x:v>PRJ-2026-0013112</x:v>
      </x:c>
      <x:c r="G45" s="26" t="str">
        <x:v>AWC Laxmidevipeta</x:v>
      </x:c>
      <x:c r="H45" s="26" t="str">
        <x:v>Mission Saksham Anganwadi &amp; POSHAN 2.0</x:v>
      </x:c>
      <x:c r="I45" s="32" t="n">
        <x:v>46165</x:v>
      </x:c>
      <x:c r="J45" s="32" t="n">
        <x:v>46349</x:v>
      </x:c>
      <x:c r="K45" s="32"/>
      <x:c r="L45" s="26" t="str">
        <x:v>Active: On/After 01-Aug-2026</x:v>
      </x:c>
      <x:c r="M45" s="26" t="str">
        <x:v>Medium</x:v>
      </x:c>
      <x:c r="N45" s="26" t="str">
        <x:v>ECCE Equipment=Minor; Educational Needs=Minor; Electrical Infrastructure=Medium; Health and Safety aids=Minor; Office Needs=Minor</x:v>
      </x:c>
      <x:c r="O45" s="26" t="n">
        <x:v>1</x:v>
      </x:c>
      <x:c r="P45" s="26" t="str">
        <x:v>Laxmidevpet (36701020619)</x:v>
      </x:c>
      <x:c r="Q45" s="26" t="str">
        <x:v>36701020619</x:v>
      </x:c>
      <x:c r="R45" s="26" t="n">
        <x:v>75</x:v>
      </x:c>
      <x:c r="S45" s="36" t="n">
        <x:v>50000</x:v>
      </x:c>
      <x:c r="T45" s="26" t="str">
        <x:v>Water Filter Gas Stove&amp; Regulator Pressure Cooker Slides Kids Chairs Fans &amp; Lights Storage Bins Egg &amp; Milk Storge Racks Digital GMD</x:v>
      </x:c>
      <x:c r="U45" s="26" t="str">
        <x:v>Water Filter Gas Stove&amp; Regulator Pressure Cooker Slides Kids Chairs Fans &amp; Lights Storage Bins Egg &amp; Milk Storge Racks Digital GMD</x:v>
      </x:c>
      <x:c r="V45" s="27" t="b">
        <x:v>1</x:v>
      </x:c>
      <x:c r="W45" s="26" t="n">
        <x:v>7</x:v>
      </x:c>
      <x:c r="X45" s="26" t="n">
        <x:v>0</x:v>
      </x:c>
      <x:c r="Y45" s="26" t="n">
        <x:v>37</x:v>
      </x:c>
      <x:c r="Z45" s="26" t="n">
        <x:v>0</x:v>
      </x:c>
      <x:c r="AA45" s="26" t="n">
        <x:v>37</x:v>
      </x:c>
      <x:c r="AB45" s="38" t="n">
        <x:v>0</x:v>
      </x:c>
      <x:c r="AC45" s="26" t="str">
        <x:v>Committed / Not Delivered</x:v>
      </x:c>
      <x:c r="AD45" s="26" t="str">
        <x:v>Approval not recorded in response</x:v>
      </x:c>
      <x:c r="AE45" s="27" t="b">
        <x:v>1</x:v>
      </x:c>
      <x:c r="AF45" s="34" t="n">
        <x:v>46219.72965277778</x:v>
      </x:c>
      <x:c r="AG45" s="34"/>
      <x:c r="AH45" s="26" t="str">
        <x:v>Fully enriched from attached Mulugu project JSON</x:v>
      </x:c>
      <x:c r="AI45" s="26" t="str"/>
      <x:c r="AJ45" s="26" t="str">
        <x:v>Not Started</x:v>
      </x:c>
      <x:c r="AK45" s="26" t="str"/>
      <x:c r="AL45" s="26" t="str"/>
    </x:row>
    <x:row r="46">
      <x:c r="A46" s="26" t="n">
        <x:v>95</x:v>
      </x:c>
      <x:c r="B46" s="26" t="n">
        <x:v>197</x:v>
      </x:c>
      <x:c r="C46" s="26" t="str">
        <x:v>Mulugu</x:v>
      </x:c>
      <x:c r="D46" s="26" t="str">
        <x:v>Telangana</x:v>
      </x:c>
      <x:c r="E46" s="26" t="n">
        <x:v>13091</x:v>
      </x:c>
      <x:c r="F46" s="26" t="str">
        <x:v>PRJ-2026-0013091</x:v>
      </x:c>
      <x:c r="G46" s="26" t="str">
        <x:v>AWC Gamponipally</x:v>
      </x:c>
      <x:c r="H46" s="26" t="str">
        <x:v>Mission Saksham Anganwadi &amp; POSHAN 2.0</x:v>
      </x:c>
      <x:c r="I46" s="32" t="n">
        <x:v>46165</x:v>
      </x:c>
      <x:c r="J46" s="32" t="n">
        <x:v>46349</x:v>
      </x:c>
      <x:c r="K46" s="32"/>
      <x:c r="L46" s="26" t="str">
        <x:v>Active: On/After 01-Aug-2026</x:v>
      </x:c>
      <x:c r="M46" s="26" t="str">
        <x:v>Medium</x:v>
      </x:c>
      <x:c r="N46" s="26" t="str">
        <x:v>ECCE Equipment=Minor; Educational Needs=Minor; Electrical Infrastructure=Medium; Health and Safety aids=Minor; Office Needs=Minor</x:v>
      </x:c>
      <x:c r="O46" s="26" t="n">
        <x:v>1</x:v>
      </x:c>
      <x:c r="P46" s="26" t="str">
        <x:v>Gamponipally(Mini) (36701020623)</x:v>
      </x:c>
      <x:c r="Q46" s="26" t="str">
        <x:v>36701020623</x:v>
      </x:c>
      <x:c r="R46" s="26" t="n">
        <x:v>14</x:v>
      </x:c>
      <x:c r="S46" s="36" t="n">
        <x:v>50000</x:v>
      </x:c>
      <x:c r="T46" s="26" t="str">
        <x:v>Water Filter Gas Stove&amp; Regulator Pressure Cooker Slides Kids Chairs Fans &amp; Lights Storage Bins Egg &amp; Milk Storge Racks Digital GMD</x:v>
      </x:c>
      <x:c r="U46" s="26" t="str">
        <x:v>Water Filter Gas Stove&amp; Regulator Pressure Cooker Slides Kids Chairs Fans &amp; Lights Storage Bins Egg &amp; Milk Storge Racks Digital GMD</x:v>
      </x:c>
      <x:c r="V46" s="27" t="b">
        <x:v>1</x:v>
      </x:c>
      <x:c r="W46" s="26" t="n">
        <x:v>7</x:v>
      </x:c>
      <x:c r="X46" s="26" t="n">
        <x:v>0</x:v>
      </x:c>
      <x:c r="Y46" s="26" t="n">
        <x:v>37</x:v>
      </x:c>
      <x:c r="Z46" s="26" t="n">
        <x:v>0</x:v>
      </x:c>
      <x:c r="AA46" s="26" t="n">
        <x:v>37</x:v>
      </x:c>
      <x:c r="AB46" s="38" t="n">
        <x:v>0</x:v>
      </x:c>
      <x:c r="AC46" s="26" t="str">
        <x:v>Committed / Not Delivered</x:v>
      </x:c>
      <x:c r="AD46" s="26" t="str">
        <x:v>Approval not recorded in response</x:v>
      </x:c>
      <x:c r="AE46" s="27" t="b">
        <x:v>1</x:v>
      </x:c>
      <x:c r="AF46" s="34" t="n">
        <x:v>46219.72965277778</x:v>
      </x:c>
      <x:c r="AG46" s="34"/>
      <x:c r="AH46" s="26" t="str">
        <x:v>Fully enriched from attached Mulugu project JSON</x:v>
      </x:c>
      <x:c r="AI46" s="26" t="str"/>
      <x:c r="AJ46" s="26" t="str">
        <x:v>Not Started</x:v>
      </x:c>
      <x:c r="AK46" s="26" t="str"/>
      <x:c r="AL46" s="26" t="str"/>
    </x:row>
    <x:row r="47">
      <x:c r="A47" s="26" t="n">
        <x:v>96</x:v>
      </x:c>
      <x:c r="B47" s="26" t="n">
        <x:v>198</x:v>
      </x:c>
      <x:c r="C47" s="26" t="str">
        <x:v>Mulugu</x:v>
      </x:c>
      <x:c r="D47" s="26" t="str">
        <x:v>Telangana</x:v>
      </x:c>
      <x:c r="E47" s="26" t="n">
        <x:v>13087</x:v>
      </x:c>
      <x:c r="F47" s="26" t="str">
        <x:v>PRJ-2026-0013087</x:v>
      </x:c>
      <x:c r="G47" s="26" t="str">
        <x:v>AWC Burugupeta</x:v>
      </x:c>
      <x:c r="H47" s="26" t="str">
        <x:v>Mission Saksham Anganwadi &amp; POSHAN 2.0</x:v>
      </x:c>
      <x:c r="I47" s="32" t="n">
        <x:v>46165</x:v>
      </x:c>
      <x:c r="J47" s="32" t="n">
        <x:v>46349</x:v>
      </x:c>
      <x:c r="K47" s="32"/>
      <x:c r="L47" s="26" t="str">
        <x:v>Active: On/After 01-Aug-2026</x:v>
      </x:c>
      <x:c r="M47" s="26" t="str">
        <x:v>Medium</x:v>
      </x:c>
      <x:c r="N47" s="26" t="str">
        <x:v>ECCE Equipment=Minor; Educational Needs=Minor; Electrical Infrastructure=Medium; Health and Safety aids=Minor; Office Needs=Minor</x:v>
      </x:c>
      <x:c r="O47" s="26" t="n">
        <x:v>1</x:v>
      </x:c>
      <x:c r="P47" s="26" t="str">
        <x:v>Burugupeta (36701020624)</x:v>
      </x:c>
      <x:c r="Q47" s="26" t="str">
        <x:v>36701020624</x:v>
      </x:c>
      <x:c r="R47" s="26" t="n">
        <x:v>70</x:v>
      </x:c>
      <x:c r="S47" s="36" t="n">
        <x:v>50000</x:v>
      </x:c>
      <x:c r="T47" s="26" t="str">
        <x:v>Water Filter Gas Stove&amp; Regulator Pressure Cooker Slides Kids Chairs Fans &amp; Lights Storage Bins Egg &amp; Milk Storge Racks Digital GMD</x:v>
      </x:c>
      <x:c r="U47" s="26" t="str">
        <x:v>Water Filter Gas Stove&amp; Regulator Pressure Cooker Slides Kids Chairs Fans &amp; Lights Storage Bins Egg &amp; Milk Storge Racks Digital GMD</x:v>
      </x:c>
      <x:c r="V47" s="27" t="b">
        <x:v>1</x:v>
      </x:c>
      <x:c r="W47" s="26" t="n">
        <x:v>7</x:v>
      </x:c>
      <x:c r="X47" s="26" t="n">
        <x:v>0</x:v>
      </x:c>
      <x:c r="Y47" s="26" t="n">
        <x:v>37</x:v>
      </x:c>
      <x:c r="Z47" s="26" t="n">
        <x:v>0</x:v>
      </x:c>
      <x:c r="AA47" s="26" t="n">
        <x:v>37</x:v>
      </x:c>
      <x:c r="AB47" s="38" t="n">
        <x:v>0</x:v>
      </x:c>
      <x:c r="AC47" s="26" t="str">
        <x:v>Committed / Not Delivered</x:v>
      </x:c>
      <x:c r="AD47" s="26" t="str">
        <x:v>Approval not recorded in response</x:v>
      </x:c>
      <x:c r="AE47" s="27" t="b">
        <x:v>1</x:v>
      </x:c>
      <x:c r="AF47" s="34" t="n">
        <x:v>46219.72965277778</x:v>
      </x:c>
      <x:c r="AG47" s="34"/>
      <x:c r="AH47" s="26" t="str">
        <x:v>Fully enriched from attached Mulugu project JSON</x:v>
      </x:c>
      <x:c r="AI47" s="26" t="str"/>
      <x:c r="AJ47" s="26" t="str">
        <x:v>Not Started</x:v>
      </x:c>
      <x:c r="AK47" s="26" t="str"/>
      <x:c r="AL47" s="26" t="str"/>
    </x:row>
    <x:row r="48">
      <x:c r="A48" s="26" t="n">
        <x:v>97</x:v>
      </x:c>
      <x:c r="B48" s="26" t="n">
        <x:v>193</x:v>
      </x:c>
      <x:c r="C48" s="26" t="str">
        <x:v>Mulugu</x:v>
      </x:c>
      <x:c r="D48" s="26" t="str">
        <x:v>Telangana</x:v>
      </x:c>
      <x:c r="E48" s="26" t="n">
        <x:v>15963</x:v>
      </x:c>
      <x:c r="F48" s="26" t="str">
        <x:v>PRJ-2026-0015963</x:v>
      </x:c>
      <x:c r="G48" s="26" t="str">
        <x:v>AWC Venkatapur Sector</x:v>
      </x:c>
      <x:c r="H48" s="26" t="str">
        <x:v>Mission Saksham Anganwadi &amp; POSHAN 2.0</x:v>
      </x:c>
      <x:c r="I48" s="32" t="n">
        <x:v>46169</x:v>
      </x:c>
      <x:c r="J48" s="32" t="n">
        <x:v>46353</x:v>
      </x:c>
      <x:c r="K48" s="32"/>
      <x:c r="L48" s="26" t="str">
        <x:v>Active: On/After 01-Aug-2026</x:v>
      </x:c>
      <x:c r="M48" s="26" t="str">
        <x:v>Medium</x:v>
      </x:c>
      <x:c r="N48" s="26" t="str">
        <x:v>ECCE Equipment=Minor; Educational Needs=Minor; Electrical Infrastructure=Medium; Health and Safety aids=Minor; Office Needs=Minor</x:v>
      </x:c>
      <x:c r="O48" s="26" t="n">
        <x:v>9</x:v>
      </x:c>
      <x:c r="P48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Q48" s="26" t="str">
        <x:v>36701020607; 36701020613; 36701020622; 36701020610; 36701020616; 36701020615; 36701020617; 36701020612; 36701020609</x:v>
      </x:c>
      <x:c r="R48" s="26" t="n">
        <x:v>1005</x:v>
      </x:c>
      <x:c r="S48" s="36" t="n">
        <x:v>50000</x:v>
      </x:c>
      <x:c r="T48" s="26" t="str">
        <x:v>Water Filter	Gas Stove&amp; Regulator						Pressure Cooker	Slides	Kids Chairs	Fans &amp; Lights	Storage Bins	Egg &amp; Milk Storge Racks	Digital GMD
</x:v>
      </x:c>
      <x:c r="U48" s="26" t="str">
        <x:v>Water Filter	Gas Stove&amp; Regulator						Pressure Cooker	Slides	Kids Chairs	Fans &amp; Lights	Storage Bins	Egg &amp; Milk Storge Racks	Digital GMD
</x:v>
      </x:c>
      <x:c r="V48" s="27" t="b">
        <x:v>1</x:v>
      </x:c>
      <x:c r="W48" s="26" t="n">
        <x:v>7</x:v>
      </x:c>
      <x:c r="X48" s="26" t="n">
        <x:v>0</x:v>
      </x:c>
      <x:c r="Y48" s="26" t="n">
        <x:v>33</x:v>
      </x:c>
      <x:c r="Z48" s="26" t="n">
        <x:v>0</x:v>
      </x:c>
      <x:c r="AA48" s="26" t="n">
        <x:v>33</x:v>
      </x:c>
      <x:c r="AB48" s="38" t="n">
        <x:v>0</x:v>
      </x:c>
      <x:c r="AC48" s="26" t="str">
        <x:v>Committed / Not Delivered</x:v>
      </x:c>
      <x:c r="AD48" s="26" t="str">
        <x:v>Approval not recorded in response</x:v>
      </x:c>
      <x:c r="AE48" s="27" t="b">
        <x:v>1</x:v>
      </x:c>
      <x:c r="AF48" s="34" t="n">
        <x:v>46219.7296412037</x:v>
      </x:c>
      <x:c r="AG48" s="34"/>
      <x:c r="AH48" s="26" t="str">
        <x:v>Fully enriched from attached Mulugu project JSON</x:v>
      </x:c>
      <x:c r="AI48" s="26" t="str"/>
      <x:c r="AJ48" s="26" t="str">
        <x:v>Not Started</x:v>
      </x:c>
      <x:c r="AK48" s="26" t="str"/>
      <x:c r="AL48" s="26" t="str"/>
    </x:row>
    <x:row r="49">
      <x:c r="A49" s="26" t="n">
        <x:v>98</x:v>
      </x:c>
      <x:c r="B49" s="26" t="n">
        <x:v>194</x:v>
      </x:c>
      <x:c r="C49" s="26" t="str">
        <x:v>Mulugu</x:v>
      </x:c>
      <x:c r="D49" s="26" t="str">
        <x:v>Telangana</x:v>
      </x:c>
      <x:c r="E49" s="26" t="n">
        <x:v>13542</x:v>
      </x:c>
      <x:c r="F49" s="26" t="str">
        <x:v>PRJ-2026-0013542</x:v>
      </x:c>
      <x:c r="G49" s="26" t="str">
        <x:v>Egg &amp; Milk Storge Racks</x:v>
      </x:c>
      <x:c r="H49" s="26" t="str">
        <x:v>Mission Saksham Anganwadi &amp; POSHAN 2.0</x:v>
      </x:c>
      <x:c r="I49" s="32" t="n">
        <x:v>46175</x:v>
      </x:c>
      <x:c r="J49" s="32" t="n">
        <x:v>46358</x:v>
      </x:c>
      <x:c r="K49" s="32"/>
      <x:c r="L49" s="26" t="str">
        <x:v>Active: On/After 01-Aug-2026</x:v>
      </x:c>
      <x:c r="M49" s="26" t="str">
        <x:v>Medium</x:v>
      </x:c>
      <x:c r="N49" s="26" t="str">
        <x:v>ECCE Equipment=Minor; Educational Needs=Minor; Electrical Infrastructure=Medium; Health and Safety aids=Minor; Office Needs=Minor</x:v>
      </x:c>
      <x:c r="O49" s="26" t="n">
        <x:v>20</x:v>
      </x:c>
      <x:c r="P49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Q49" s="26" t="str">
        <x:v>36701020423; 36701020422; 36701020421; 36701020420; 36701020418; 36701020417; 36701020416; 36701020414; 36701020413; 36701020412; 36701020411; 36701020410; 36701020409; 36701020408; 36701020407; 36701020406; 36701020405; 36701020404; 36701020403; 36701020402</x:v>
      </x:c>
      <x:c r="R49" s="26" t="n">
        <x:v>160</x:v>
      </x:c>
      <x:c r="S49" s="36" t="n">
        <x:v>50000</x:v>
      </x:c>
      <x:c r="T49" s="26" t="str">
        <x:v>Egg &amp; Milk Storge Racks</x:v>
      </x:c>
      <x:c r="U49" s="26" t="str">
        <x:v>Egg &amp; Milk Storge Racks</x:v>
      </x:c>
      <x:c r="V49" s="27" t="b">
        <x:v>1</x:v>
      </x:c>
      <x:c r="W49" s="26" t="n">
        <x:v>7</x:v>
      </x:c>
      <x:c r="X49" s="26" t="n">
        <x:v>0</x:v>
      </x:c>
      <x:c r="Y49" s="26" t="n">
        <x:v>401</x:v>
      </x:c>
      <x:c r="Z49" s="26" t="n">
        <x:v>0</x:v>
      </x:c>
      <x:c r="AA49" s="26" t="n">
        <x:v>401</x:v>
      </x:c>
      <x:c r="AB49" s="38" t="n">
        <x:v>0</x:v>
      </x:c>
      <x:c r="AC49" s="26" t="str">
        <x:v>Committed / Not Delivered</x:v>
      </x:c>
      <x:c r="AD49" s="26" t="str">
        <x:v>Approval not recorded in response</x:v>
      </x:c>
      <x:c r="AE49" s="27" t="b">
        <x:v>1</x:v>
      </x:c>
      <x:c r="AF49" s="34" t="n">
        <x:v>46219.7296412037</x:v>
      </x:c>
      <x:c r="AG49" s="34"/>
      <x:c r="AH49" s="26" t="str">
        <x:v>Fully enriched from attached Mulugu project JSON</x:v>
      </x:c>
      <x:c r="AI49" s="26" t="str"/>
      <x:c r="AJ49" s="26" t="str">
        <x:v>Not Started</x:v>
      </x:c>
      <x:c r="AK49" s="26" t="str"/>
      <x:c r="AL49" s="26" t="str"/>
    </x:row>
    <x:row r="50">
      <x:c r="A50" s="26" t="n">
        <x:v>99</x:v>
      </x:c>
      <x:c r="B50" s="26" t="n">
        <x:v>195</x:v>
      </x:c>
      <x:c r="C50" s="26" t="str">
        <x:v>Mulugu</x:v>
      </x:c>
      <x:c r="D50" s="26" t="str">
        <x:v>Telangana</x:v>
      </x:c>
      <x:c r="E50" s="26" t="n">
        <x:v>13276</x:v>
      </x:c>
      <x:c r="F50" s="26" t="str">
        <x:v>PRJ-2026-0013276</x:v>
      </x:c>
      <x:c r="G50" s="26" t="str">
        <x:v>Egg &amp; Milk Storge Racks</x:v>
      </x:c>
      <x:c r="H50" s="26" t="str">
        <x:v>Mission Saksham Anganwadi &amp; POSHAN 2.0</x:v>
      </x:c>
      <x:c r="I50" s="32" t="n">
        <x:v>46175</x:v>
      </x:c>
      <x:c r="J50" s="32" t="n">
        <x:v>46358</x:v>
      </x:c>
      <x:c r="K50" s="32"/>
      <x:c r="L50" s="26" t="str">
        <x:v>Active: On/After 01-Aug-2026</x:v>
      </x:c>
      <x:c r="M50" s="26" t="str">
        <x:v>Medium</x:v>
      </x:c>
      <x:c r="N50" s="26" t="str">
        <x:v>ECCE Equipment=Minor; Educational Needs=Minor; Electrical Infrastructure=Medium; Health and Safety aids=Minor; Office Needs=Minor</x:v>
      </x:c>
      <x:c r="O50" s="26" t="n">
        <x:v>12</x:v>
      </x:c>
      <x:c r="P50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Q50" s="26" t="str">
        <x:v>36701020123; 36701020121; 36701020120; 36701020118; 36701020117; 36701020115; 36701020114; 36701020112; 36701020111; 36701020108; 36701020104; 36701020103</x:v>
      </x:c>
      <x:c r="R50" s="26" t="n">
        <x:v>150</x:v>
      </x:c>
      <x:c r="S50" s="36" t="n">
        <x:v>50000</x:v>
      </x:c>
      <x:c r="T50" s="26" t="str">
        <x:v>Egg &amp; Milk Storge Racks
</x:v>
      </x:c>
      <x:c r="U50" s="26" t="str">
        <x:v>Egg &amp; Milk Storge Racks</x:v>
      </x:c>
      <x:c r="V50" s="27" t="b">
        <x:v>1</x:v>
      </x:c>
      <x:c r="W50" s="26" t="n">
        <x:v>6</x:v>
      </x:c>
      <x:c r="X50" s="26" t="n">
        <x:v>0</x:v>
      </x:c>
      <x:c r="Y50" s="26" t="n">
        <x:v>181</x:v>
      </x:c>
      <x:c r="Z50" s="26" t="n">
        <x:v>0</x:v>
      </x:c>
      <x:c r="AA50" s="26" t="n">
        <x:v>181</x:v>
      </x:c>
      <x:c r="AB50" s="38" t="n">
        <x:v>0</x:v>
      </x:c>
      <x:c r="AC50" s="26" t="str">
        <x:v>Committed / Not Delivered</x:v>
      </x:c>
      <x:c r="AD50" s="26" t="str">
        <x:v>Approval not recorded in response</x:v>
      </x:c>
      <x:c r="AE50" s="27" t="b">
        <x:v>1</x:v>
      </x:c>
      <x:c r="AF50" s="34" t="n">
        <x:v>46219.7296412037</x:v>
      </x:c>
      <x:c r="AG50" s="34"/>
      <x:c r="AH50" s="26" t="str">
        <x:v>Fully enriched from attached Mulugu project JSON</x:v>
      </x:c>
      <x:c r="AI50" s="26" t="str"/>
      <x:c r="AJ50" s="26" t="str">
        <x:v>Not Started</x:v>
      </x:c>
      <x:c r="AK50" s="26" t="str"/>
      <x:c r="AL50" s="26" t="str"/>
    </x:row>
    <x:row r="51">
      <x:c r="A51" s="26" t="n">
        <x:v>100</x:v>
      </x:c>
      <x:c r="B51" s="26" t="n">
        <x:v>192</x:v>
      </x:c>
      <x:c r="C51" s="26" t="str">
        <x:v>Mulugu</x:v>
      </x:c>
      <x:c r="D51" s="26" t="str">
        <x:v>Telangana</x:v>
      </x:c>
      <x:c r="E51" s="26" t="n">
        <x:v>19440</x:v>
      </x:c>
      <x:c r="F51" s="26" t="str">
        <x:v>PRJ-2026-0019440</x:v>
      </x:c>
      <x:c r="G51" s="26" t="str">
        <x:v>AWC Jangalapally Sector</x:v>
      </x:c>
      <x:c r="H51" s="26" t="str">
        <x:v>Mission Saksham Anganwadi &amp; POSHAN 2.0</x:v>
      </x:c>
      <x:c r="I51" s="32" t="n">
        <x:v>46177</x:v>
      </x:c>
      <x:c r="J51" s="32" t="n">
        <x:v>46360</x:v>
      </x:c>
      <x:c r="K51" s="32"/>
      <x:c r="L51" s="26" t="str">
        <x:v>Active: On/After 01-Aug-2026</x:v>
      </x:c>
      <x:c r="M51" s="26" t="str">
        <x:v>Medium</x:v>
      </x:c>
      <x:c r="N51" s="26" t="str">
        <x:v>ECCE Equipment=Minor; Educational Needs=Minor; Electrical Infrastructure=Medium; Health and Safety aids=Minor; Office Needs=Minor</x:v>
      </x:c>
      <x:c r="O51" s="26" t="n">
        <x:v>20</x:v>
      </x:c>
      <x:c r="P51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Q51" s="26" t="str">
        <x:v>36701020113; 36701020121; 36701020110; 36701020124; 36701020125; 36701020109; 36701020108; 36701020112; 36701020119; 36701020122; 36701020118; 36701020116; 36701020105; 36701020111; 36701020102; 36701020107; 36701020101; 36701020103; 36701020117; 36701020115</x:v>
      </x:c>
      <x:c r="R51" s="26" t="n">
        <x:v>1200</x:v>
      </x:c>
      <x:c r="S51" s="36" t="n">
        <x:v>50000</x:v>
      </x:c>
      <x:c r="T51" s="26" t="str">
        <x:v>Balapainting					Pressure Cooker	Slides	Kids Chairs	Fans &amp; Lights	Storage Bins	Egg &amp; Milk Storge Racks	Digital GMD
</x:v>
      </x:c>
      <x:c r="U51" s="26" t="str">
        <x:v>Balapainting					Pressure Cooker	Slides	Kids Chairs	Fans &amp; Lights	Storage Bins	Egg &amp; Milk Storge Racks	Digital GMD
</x:v>
      </x:c>
      <x:c r="V51" s="27" t="b">
        <x:v>1</x:v>
      </x:c>
      <x:c r="W51" s="26" t="n">
        <x:v>7</x:v>
      </x:c>
      <x:c r="X51" s="26" t="n">
        <x:v>0</x:v>
      </x:c>
      <x:c r="Y51" s="26" t="n">
        <x:v>580</x:v>
      </x:c>
      <x:c r="Z51" s="26" t="n">
        <x:v>0</x:v>
      </x:c>
      <x:c r="AA51" s="26" t="n">
        <x:v>580</x:v>
      </x:c>
      <x:c r="AB51" s="38" t="n">
        <x:v>0</x:v>
      </x:c>
      <x:c r="AC51" s="26" t="str">
        <x:v>Committed / Not Delivered</x:v>
      </x:c>
      <x:c r="AD51" s="26" t="str">
        <x:v>Approval not recorded in response</x:v>
      </x:c>
      <x:c r="AE51" s="27" t="b">
        <x:v>1</x:v>
      </x:c>
      <x:c r="AF51" s="34" t="n">
        <x:v>46219.72961805556</x:v>
      </x:c>
      <x:c r="AG51" s="34"/>
      <x:c r="AH51" s="26" t="str">
        <x:v>Fully enriched from attached Mulugu project JSON</x:v>
      </x:c>
      <x:c r="AI51" s="26" t="str"/>
      <x:c r="AJ51" s="26" t="str">
        <x:v>Not Started</x:v>
      </x:c>
      <x:c r="AK51" s="26" t="str"/>
      <x:c r="AL51" s="26" t="str"/>
    </x:row>
    <x:row r="52">
      <x:c r="A52" s="26" t="n">
        <x:v>101</x:v>
      </x:c>
      <x:c r="B52" s="26" t="n">
        <x:v>191</x:v>
      </x:c>
      <x:c r="C52" s="26" t="str">
        <x:v>Mulugu</x:v>
      </x:c>
      <x:c r="D52" s="26" t="str">
        <x:v>Telangana</x:v>
      </x:c>
      <x:c r="E52" s="26" t="n">
        <x:v>7936</x:v>
      </x:c>
      <x:c r="F52" s="26" t="str">
        <x:v>PRJ-2026-0007936</x:v>
      </x:c>
      <x:c r="G52" s="26" t="str">
        <x:v>AWC ABBAPUR</x:v>
      </x:c>
      <x:c r="H52" s="26" t="str">
        <x:v>Mission Saksham Anganwadi &amp; POSHAN 2.0</x:v>
      </x:c>
      <x:c r="I52" s="32" t="n">
        <x:v>46164</x:v>
      </x:c>
      <x:c r="J52" s="32" t="n">
        <x:v>46348</x:v>
      </x:c>
      <x:c r="K52" s="32"/>
      <x:c r="L52" s="26" t="str">
        <x:v>Active: On/After 01-Aug-2026</x:v>
      </x:c>
      <x:c r="M52" s="26" t="str">
        <x:v>Medium</x:v>
      </x:c>
      <x:c r="N52" s="26" t="str">
        <x:v>ECCE Equipment=Minor; Educational Needs=Minor; Electrical Infrastructure=Medium; Office Needs=Minor</x:v>
      </x:c>
      <x:c r="O52" s="26" t="n">
        <x:v>1</x:v>
      </x:c>
      <x:c r="P52" s="26" t="str">
        <x:v>Abbapur (36701020223)</x:v>
      </x:c>
      <x:c r="Q52" s="26" t="str">
        <x:v>36701020223</x:v>
      </x:c>
      <x:c r="R52" s="26" t="n">
        <x:v>55</x:v>
      </x:c>
      <x:c r="S52" s="36" t="n">
        <x:v>50000</x:v>
      </x:c>
      <x:c r="T52" s="26" t="str">
        <x:v>Civil Repair
Water Filter	
Gas Stove&amp; Regulator
Pressure Cooker
Slides
Kids Chairs
Fans &amp; Lights
Storage Bins
Egg &amp; Milk Storge 
</x:v>
      </x:c>
      <x:c r="U52" s="26" t="str">
        <x:v>Civil Repair
Water Filter	
Gas Stove&amp; Regulator
Pressure Cooker
Slides
Kids Chairs
Fans &amp; Lights
Storage Bins
Egg &amp; Milk Storge 
</x:v>
      </x:c>
      <x:c r="V52" s="27" t="b">
        <x:v>1</x:v>
      </x:c>
      <x:c r="W52" s="26" t="n">
        <x:v>8</x:v>
      </x:c>
      <x:c r="X52" s="26" t="n">
        <x:v>0</x:v>
      </x:c>
      <x:c r="Y52" s="26" t="n">
        <x:v>39</x:v>
      </x:c>
      <x:c r="Z52" s="26" t="n">
        <x:v>0</x:v>
      </x:c>
      <x:c r="AA52" s="26" t="n">
        <x:v>39</x:v>
      </x:c>
      <x:c r="AB52" s="38" t="n">
        <x:v>0</x:v>
      </x:c>
      <x:c r="AC52" s="26" t="str">
        <x:v>Committed / Not Delivered</x:v>
      </x:c>
      <x:c r="AD52" s="26" t="str">
        <x:v>Approval not recorded in response</x:v>
      </x:c>
      <x:c r="AE52" s="27" t="b">
        <x:v>1</x:v>
      </x:c>
      <x:c r="AF52" s="34" t="n">
        <x:v>46219.72287037037</x:v>
      </x:c>
      <x:c r="AG52" s="34"/>
      <x:c r="AH52" s="26" t="str">
        <x:v>Fully enriched from attached Mulugu project JSON</x:v>
      </x:c>
      <x:c r="AI52" s="26" t="str"/>
      <x:c r="AJ52" s="26" t="str">
        <x:v>Not Started</x:v>
      </x:c>
      <x:c r="AK52" s="26" t="str"/>
      <x:c r="AL52" s="26" t="str"/>
    </x:row>
    <x:row r="53">
      <x:c r="A53" s="26" t="n">
        <x:v>102</x:v>
      </x:c>
      <x:c r="B53" s="26" t="n">
        <x:v>190</x:v>
      </x:c>
      <x:c r="C53" s="26" t="str">
        <x:v>Mulugu</x:v>
      </x:c>
      <x:c r="D53" s="26" t="str">
        <x:v>Telangana</x:v>
      </x:c>
      <x:c r="E53" s="26" t="n">
        <x:v>19443</x:v>
      </x:c>
      <x:c r="F53" s="26" t="str">
        <x:v>PRJ-2026-0019443</x:v>
      </x:c>
      <x:c r="G53" s="26" t="str">
        <x:v>Jangalapally Sector 2</x:v>
      </x:c>
      <x:c r="H53" s="26" t="str">
        <x:v>Mission Saksham Anganwadi &amp; POSHAN 2.0</x:v>
      </x:c>
      <x:c r="I53" s="32" t="n">
        <x:v>46177</x:v>
      </x:c>
      <x:c r="J53" s="32" t="n">
        <x:v>46360</x:v>
      </x:c>
      <x:c r="K53" s="32"/>
      <x:c r="L53" s="26" t="str">
        <x:v>Active: On/After 01-Aug-2026</x:v>
      </x:c>
      <x:c r="M53" s="26" t="str">
        <x:v>Medium</x:v>
      </x:c>
      <x:c r="N53" s="26" t="str">
        <x:v>ECCE Equipment=Minor; Educational Needs=Minor; Electrical Infrastructure=Medium; Health and Safety aids=Minor; Office Needs=Minor</x:v>
      </x:c>
      <x:c r="O53" s="26" t="n">
        <x:v>5</x:v>
      </x:c>
      <x:c r="P53" s="26" t="str">
        <x:v>Incherla - II (36701020120); Jangalapalli - V (36701020114); Barigalonipalli (36701020123); Rainigudem - I (36701020106); Jangalapalli - IV (36701020115)</x:v>
      </x:c>
      <x:c r="Q53" s="26" t="str">
        <x:v>36701020120; 36701020114; 36701020123; 36701020106; 36701020115</x:v>
      </x:c>
      <x:c r="R53" s="26" t="n">
        <x:v>250</x:v>
      </x:c>
      <x:c r="S53" s="36" t="n">
        <x:v>50000</x:v>
      </x:c>
      <x:c r="T53" s="26" t="str">
        <x:v>Balapainting					Pressure Cooker	Slides	Kids Chairs	Fans &amp; Lights	Storage Bins	Egg &amp; Milk Storge Racks	Digital GMD
</x:v>
      </x:c>
      <x:c r="U53" s="26" t="str">
        <x:v>Balapainting					Pressure Cooker	Slides	Kids Chairs	Fans &amp; Lights	Storage Bins	Egg &amp; Milk Storge Racks	Digital GMD
</x:v>
      </x:c>
      <x:c r="V53" s="27" t="b">
        <x:v>1</x:v>
      </x:c>
      <x:c r="W53" s="26" t="n">
        <x:v>7</x:v>
      </x:c>
      <x:c r="X53" s="26" t="n">
        <x:v>0</x:v>
      </x:c>
      <x:c r="Y53" s="26" t="n">
        <x:v>175</x:v>
      </x:c>
      <x:c r="Z53" s="26" t="n">
        <x:v>0</x:v>
      </x:c>
      <x:c r="AA53" s="26" t="n">
        <x:v>175</x:v>
      </x:c>
      <x:c r="AB53" s="38" t="n">
        <x:v>0</x:v>
      </x:c>
      <x:c r="AC53" s="26" t="str">
        <x:v>Committed / Not Delivered</x:v>
      </x:c>
      <x:c r="AD53" s="26" t="str">
        <x:v>Approval not recorded in response</x:v>
      </x:c>
      <x:c r="AE53" s="27" t="b">
        <x:v>1</x:v>
      </x:c>
      <x:c r="AF53" s="34" t="n">
        <x:v>46219.71822916667</x:v>
      </x:c>
      <x:c r="AG53" s="34"/>
      <x:c r="AH53" s="26" t="str">
        <x:v>Fully enriched from attached Mulugu project JSON</x:v>
      </x:c>
      <x:c r="AI53" s="26" t="str"/>
      <x:c r="AJ53" s="26" t="str">
        <x:v>Not Started</x:v>
      </x:c>
      <x:c r="AK53" s="26" t="str"/>
      <x:c r="AL53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50571c0c17e34a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8.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13.130000114440918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PANKHUDI Contributions — Siddipet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134</x:v>
      </x:c>
      <x:c r="B4" s="26" t="n">
        <x:v>130</x:v>
      </x:c>
      <x:c r="C4" s="26" t="str">
        <x:v>Siddipet</x:v>
      </x:c>
      <x:c r="D4" s="26" t="str">
        <x:v>Telangana</x:v>
      </x:c>
      <x:c r="E4" s="26" t="n">
        <x:v>3649</x:v>
      </x:c>
      <x:c r="F4" s="26" t="str">
        <x:v>PRJ-2026-0003649</x:v>
      </x:c>
      <x:c r="G4" s="26" t="str">
        <x:v>doulthabad 1 requirement</x:v>
      </x:c>
      <x:c r="H4" s="26" t="str">
        <x:v>Mission Saksham Anganwadi &amp; POSHAN 2.0</x:v>
      </x:c>
      <x:c r="I4" s="32" t="n">
        <x:v>46200</x:v>
      </x:c>
      <x:c r="J4" s="32" t="n">
        <x:v>46326</x:v>
      </x:c>
      <x:c r="K4" s="32"/>
      <x:c r="L4" s="26" t="str">
        <x:v>Active: On/After 01-Aug-2026</x:v>
      </x:c>
      <x:c r="M4" s="26" t="str">
        <x:v>Pending Mapping</x:v>
      </x:c>
      <x:c r="N4" s="26" t="str">
        <x:v>Original project JSON not available</x:v>
      </x:c>
      <x:c r="O4" s="26"/>
      <x:c r="P4" s="26" t="str"/>
      <x:c r="Q4" s="26" t="str"/>
      <x:c r="R4" s="26"/>
      <x:c r="S4" s="36"/>
      <x:c r="T4" s="26"/>
      <x:c r="U4" s="26"/>
      <x:c r="V4" s="26"/>
      <x:c r="W4" s="26" t="n">
        <x:v>3</x:v>
      </x:c>
      <x:c r="X4" s="26" t="n">
        <x:v>0</x:v>
      </x:c>
      <x:c r="Y4" s="26" t="n">
        <x:v>3</x:v>
      </x:c>
      <x:c r="Z4" s="26" t="n">
        <x:v>0</x:v>
      </x:c>
      <x:c r="AA4" s="26" t="n">
        <x:v>3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46219.40523148148</x:v>
      </x:c>
      <x:c r="AG4" s="34"/>
      <x:c r="AH4" s="26" t="str">
        <x:v>Contribution API fields only; original project JSON needed for line-item names/centres/category</x:v>
      </x:c>
      <x:c r="AI4" s="26" t="str"/>
      <x:c r="AJ4" s="26" t="str">
        <x:v>Not Started</x:v>
      </x:c>
      <x:c r="AK4" s="26" t="str"/>
      <x:c r="AL4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cf3ea815264544c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20.2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222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Projects with Expected End Date On/After 01-Aug-2026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1</x:v>
      </x:c>
      <x:c r="B4" s="26" t="n">
        <x:v>290</x:v>
      </x:c>
      <x:c r="C4" s="26" t="str">
        <x:v>Mulugu</x:v>
      </x:c>
      <x:c r="D4" s="26" t="str">
        <x:v>Telangana</x:v>
      </x:c>
      <x:c r="E4" s="26" t="n">
        <x:v>7797</x:v>
      </x:c>
      <x:c r="F4" s="26" t="str">
        <x:v>PRJ-2026-0007797</x:v>
      </x:c>
      <x:c r="G4" s="26" t="str">
        <x:v>AWC Infrastructure</x:v>
      </x:c>
      <x:c r="H4" s="26" t="str">
        <x:v>Mission Saksham Anganwadi &amp; POSHAN 2.0</x:v>
      </x:c>
      <x:c r="I4" s="32" t="n">
        <x:v>46164</x:v>
      </x:c>
      <x:c r="J4" s="32" t="n">
        <x:v>46348</x:v>
      </x:c>
      <x:c r="K4" s="32"/>
      <x:c r="L4" s="26" t="str">
        <x:v>Active: On/After 01-Aug-2026</x:v>
      </x:c>
      <x:c r="M4" s="26" t="str">
        <x:v>Medium</x:v>
      </x:c>
      <x:c r="N4" s="26" t="str">
        <x:v>ECCE Equipment=Minor; Educational Needs=Minor; Electrical Infrastructure=Medium; Office Needs=Minor</x:v>
      </x:c>
      <x:c r="O4" s="26" t="n">
        <x:v>1</x:v>
      </x:c>
      <x:c r="P4" s="26" t="str">
        <x:v>Puligundam (36701020209)</x:v>
      </x:c>
      <x:c r="Q4" s="26" t="str">
        <x:v>36701020209</x:v>
      </x:c>
      <x:c r="R4" s="26" t="n">
        <x:v>15</x:v>
      </x:c>
      <x:c r="S4" s="36" t="n">
        <x:v>50000</x:v>
      </x:c>
      <x:c r="T4" s="26" t="str">
        <x:v>Gas Stove&amp; Regulator	
Pressure Cooker	
Slides
Kids Chairs	
Fans &amp; Lights
Storage Bins
Egg &amp; Milk Storge Racks
Digital GMD
</x:v>
      </x:c>
      <x:c r="U4" s="26" t="str">
        <x:v>Gas Stove&amp; Regulator	
Pressure Cooker	
Slides
Kids Chairs	
Fans &amp; Lights
Storage Bins
Egg &amp; Milk Storge Racks
Digital GMD
</x:v>
      </x:c>
      <x:c r="V4" s="27" t="b">
        <x:v>1</x:v>
      </x:c>
      <x:c r="W4" s="26" t="n">
        <x:v>5</x:v>
      </x:c>
      <x:c r="X4" s="26" t="n">
        <x:v>0</x:v>
      </x:c>
      <x:c r="Y4" s="26" t="n">
        <x:v>35</x:v>
      </x:c>
      <x:c r="Z4" s="26" t="n">
        <x:v>0</x:v>
      </x:c>
      <x:c r="AA4" s="26" t="n">
        <x:v>35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46220.017800925925</x:v>
      </x:c>
      <x:c r="AG4" s="34"/>
      <x:c r="AH4" s="26" t="str">
        <x:v>Fully enriched from attached Mulugu project JSON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2</x:v>
      </x:c>
      <x:c r="B5" s="26" t="n">
        <x:v>291</x:v>
      </x:c>
      <x:c r="C5" s="26" t="str">
        <x:v>Mulugu</x:v>
      </x:c>
      <x:c r="D5" s="26" t="str">
        <x:v>Telangana</x:v>
      </x:c>
      <x:c r="E5" s="26" t="n">
        <x:v>7735</x:v>
      </x:c>
      <x:c r="F5" s="26" t="str">
        <x:v>PRJ-2026-0007735</x:v>
      </x:c>
      <x:c r="G5" s="26" t="str">
        <x:v>AWC Infrastructure</x:v>
      </x:c>
      <x:c r="H5" s="26" t="str">
        <x:v>Mission Saksham Anganwadi &amp; POSHAN 2.0</x:v>
      </x:c>
      <x:c r="I5" s="32" t="n">
        <x:v>46164</x:v>
      </x:c>
      <x:c r="J5" s="32" t="n">
        <x:v>46348</x:v>
      </x:c>
      <x:c r="K5" s="32"/>
      <x:c r="L5" s="26" t="str">
        <x:v>Active: On/After 01-Aug-2026</x:v>
      </x:c>
      <x:c r="M5" s="26" t="str">
        <x:v>Medium</x:v>
      </x:c>
      <x:c r="N5" s="26" t="str">
        <x:v>Digital Infrastructure=Medium; ECCE Equipment=Minor; Educational Needs=Minor; Electrical Infrastructure=Medium; Health and Safety aids=Minor; Office Needs=Minor</x:v>
      </x:c>
      <x:c r="O5" s="26" t="n">
        <x:v>1</x:v>
      </x:c>
      <x:c r="P5" s="26" t="str">
        <x:v>Chandhruthanda (36701020219)</x:v>
      </x:c>
      <x:c r="Q5" s="26" t="str">
        <x:v>36701020219</x:v>
      </x:c>
      <x:c r="R5" s="26" t="n">
        <x:v>30</x:v>
      </x:c>
      <x:c r="S5" s="36" t="n">
        <x:v>50000</x:v>
      </x:c>
      <x:c r="T5" s="26" t="str">
        <x:v>Water Filter	
Gas Stove&amp; Regulator	
Pressure Cooker	
Slides
Kids Chairs	
Fans &amp; Lights
Storage Bins
Egg &amp; Milk Storge Racks
Digital GMD
</x:v>
      </x:c>
      <x:c r="U5" s="26" t="str">
        <x:v>Water Filter	
Gas Stove&amp; Regulator	
Pressure Cooker	
Slides
Kids Chairs	
Fans &amp; Lights
Storage Bins
Egg &amp; Milk Storge Racks
Digital GMD
</x:v>
      </x:c>
      <x:c r="V5" s="27" t="b">
        <x:v>1</x:v>
      </x:c>
      <x:c r="W5" s="26" t="n">
        <x:v>8</x:v>
      </x:c>
      <x:c r="X5" s="26" t="n">
        <x:v>0</x:v>
      </x:c>
      <x:c r="Y5" s="26" t="n">
        <x:v>30</x:v>
      </x:c>
      <x:c r="Z5" s="26" t="n">
        <x:v>0</x:v>
      </x:c>
      <x:c r="AA5" s="26" t="n">
        <x:v>30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46220.017800925925</x:v>
      </x:c>
      <x:c r="AG5" s="34"/>
      <x:c r="AH5" s="26" t="str">
        <x:v>Fully enriched from attached Mulugu project JSON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3</x:v>
      </x:c>
      <x:c r="B6" s="26" t="n">
        <x:v>288</x:v>
      </x:c>
      <x:c r="C6" s="26" t="str">
        <x:v>Mulugu</x:v>
      </x:c>
      <x:c r="D6" s="26" t="str">
        <x:v>Telangana</x:v>
      </x:c>
      <x:c r="E6" s="26" t="n">
        <x:v>8392</x:v>
      </x:c>
      <x:c r="F6" s="26" t="str">
        <x:v>PRJ-2026-0008392</x:v>
      </x:c>
      <x:c r="G6" s="26" t="str">
        <x:v>AWC Sarangapalli</x:v>
      </x:c>
      <x:c r="H6" s="26" t="str">
        <x:v>Mission Saksham Anganwadi &amp; POSHAN 2.0</x:v>
      </x:c>
      <x:c r="I6" s="32" t="n">
        <x:v>46164</x:v>
      </x:c>
      <x:c r="J6" s="32" t="n">
        <x:v>46348</x:v>
      </x:c>
      <x:c r="K6" s="32"/>
      <x:c r="L6" s="26" t="str">
        <x:v>Active: On/After 01-Aug-2026</x:v>
      </x:c>
      <x:c r="M6" s="26" t="str">
        <x:v>Medium</x:v>
      </x:c>
      <x:c r="N6" s="26" t="str">
        <x:v>ECCE Equipment=Minor; Educational Needs=Minor; Electrical Infrastructure=Medium; Health and Safety aids=Minor; Office Needs=Minor</x:v>
      </x:c>
      <x:c r="O6" s="26" t="n">
        <x:v>1</x:v>
      </x:c>
      <x:c r="P6" s="26" t="str">
        <x:v>Sarangapalli (36701020205)</x:v>
      </x:c>
      <x:c r="Q6" s="26" t="str">
        <x:v>36701020205</x:v>
      </x:c>
      <x:c r="R6" s="26" t="n">
        <x:v>20</x:v>
      </x:c>
      <x:c r="S6" s="36" t="n">
        <x:v>50000</x:v>
      </x:c>
      <x:c r="T6" s="26" t="str">
        <x:v>Civil Repair	
Water Filter	
Gas Stove&amp; Regulator						
Pressure Cooker	
Slides	
Kids Chairs	
Fans &amp; Lights	
Storage Bins	
Egg &amp; Milk Storge Racks	
Digital GMD
</x:v>
      </x:c>
      <x:c r="U6" s="26" t="str">
        <x:v>Civil Repair	
Water Filter	
Gas Stove&amp; Regulator						
Pressure Cooker	
Slides	
Kids Chairs	
Fans &amp; Lights	
Storage Bins	
Egg &amp; Milk Storge Racks	
Digital GMD
</x:v>
      </x:c>
      <x:c r="V6" s="27" t="b">
        <x:v>1</x:v>
      </x:c>
      <x:c r="W6" s="26" t="n">
        <x:v>8</x:v>
      </x:c>
      <x:c r="X6" s="26" t="n">
        <x:v>0</x:v>
      </x:c>
      <x:c r="Y6" s="26" t="n">
        <x:v>25</x:v>
      </x:c>
      <x:c r="Z6" s="26" t="n">
        <x:v>0</x:v>
      </x:c>
      <x:c r="AA6" s="26" t="n">
        <x:v>25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46220.01778935185</x:v>
      </x:c>
      <x:c r="AG6" s="34"/>
      <x:c r="AH6" s="26" t="str">
        <x:v>Fully enriched from attached Mulugu project JSON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4</x:v>
      </x:c>
      <x:c r="B7" s="26" t="n">
        <x:v>289</x:v>
      </x:c>
      <x:c r="C7" s="26" t="str">
        <x:v>Mulugu</x:v>
      </x:c>
      <x:c r="D7" s="26" t="str">
        <x:v>Telangana</x:v>
      </x:c>
      <x:c r="E7" s="26" t="n">
        <x:v>8135</x:v>
      </x:c>
      <x:c r="F7" s="26" t="str">
        <x:v>PRJ-2026-0008135</x:v>
      </x:c>
      <x:c r="G7" s="26" t="str">
        <x:v>AWC VENKATESHWARLAPALLI</x:v>
      </x:c>
      <x:c r="H7" s="26" t="str">
        <x:v>Mission Saksham Anganwadi &amp; POSHAN 2.0</x:v>
      </x:c>
      <x:c r="I7" s="32" t="n">
        <x:v>46164</x:v>
      </x:c>
      <x:c r="J7" s="32" t="n">
        <x:v>46348</x:v>
      </x:c>
      <x:c r="K7" s="32"/>
      <x:c r="L7" s="26" t="str">
        <x:v>Active: On/After 01-Aug-2026</x:v>
      </x:c>
      <x:c r="M7" s="26" t="str">
        <x:v>Medium</x:v>
      </x:c>
      <x:c r="N7" s="26" t="str">
        <x:v>ECCE Equipment=Minor; Educational Needs=Minor; Electrical Infrastructure=Medium; Office Needs=Minor</x:v>
      </x:c>
      <x:c r="O7" s="26" t="n">
        <x:v>1</x:v>
      </x:c>
      <x:c r="P7" s="26" t="str">
        <x:v>VENKATESHWARLAPALLI (Mini) (36701020201)</x:v>
      </x:c>
      <x:c r="Q7" s="26" t="str">
        <x:v>36701020201</x:v>
      </x:c>
      <x:c r="R7" s="26" t="n">
        <x:v>15</x:v>
      </x:c>
      <x:c r="S7" s="36" t="n">
        <x:v>50000</x:v>
      </x:c>
      <x:c r="T7" s="26" t="str">
        <x:v>Water Filter	
Gas Stove&amp; Regulator						
Pressure Cooker	
Slides	
Kids Chairs	
Fans &amp; Lights	
Storage Bins	
Egg &amp; Milk Storge Racks	
Digital GMD
</x:v>
      </x:c>
      <x:c r="U7" s="26" t="str">
        <x:v>Water Filter	
Gas Stove&amp; Regulator						
Pressure Cooker	
Slides	
Kids Chairs	
Fans &amp; Lights	
Storage Bins	
Egg &amp; Milk Storge Racks	
Digital GMD
</x:v>
      </x:c>
      <x:c r="V7" s="27" t="b">
        <x:v>1</x:v>
      </x:c>
      <x:c r="W7" s="26" t="n">
        <x:v>7</x:v>
      </x:c>
      <x:c r="X7" s="26" t="n">
        <x:v>0</x:v>
      </x:c>
      <x:c r="Y7" s="26" t="n">
        <x:v>42</x:v>
      </x:c>
      <x:c r="Z7" s="26" t="n">
        <x:v>0</x:v>
      </x:c>
      <x:c r="AA7" s="26" t="n">
        <x:v>42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46220.01778935185</x:v>
      </x:c>
      <x:c r="AG7" s="34"/>
      <x:c r="AH7" s="26" t="str">
        <x:v>Fully enriched from attached Mulugu project JSON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5</x:v>
      </x:c>
      <x:c r="B8" s="26" t="n">
        <x:v>286</x:v>
      </x:c>
      <x:c r="C8" s="26" t="str">
        <x:v>Mulugu</x:v>
      </x:c>
      <x:c r="D8" s="26" t="str">
        <x:v>Telangana</x:v>
      </x:c>
      <x:c r="E8" s="26" t="n">
        <x:v>8796</x:v>
      </x:c>
      <x:c r="F8" s="26" t="str">
        <x:v>PRJ-2026-0008796</x:v>
      </x:c>
      <x:c r="G8" s="26" t="str">
        <x:v>AWC Kodeshalakunta</x:v>
      </x:c>
      <x:c r="H8" s="26" t="str">
        <x:v>Mission Saksham Anganwadi &amp; POSHAN 2.0</x:v>
      </x:c>
      <x:c r="I8" s="32" t="n">
        <x:v>46164</x:v>
      </x:c>
      <x:c r="J8" s="32" t="n">
        <x:v>46348</x:v>
      </x:c>
      <x:c r="K8" s="32"/>
      <x:c r="L8" s="26" t="str">
        <x:v>Active: On/After 01-Aug-2026</x:v>
      </x:c>
      <x:c r="M8" s="26" t="str">
        <x:v>Medium</x:v>
      </x:c>
      <x:c r="N8" s="26" t="str">
        <x:v>ECCE Equipment=Minor; Educational Needs=Minor; Electrical Infrastructure=Medium; Health and Safety aids=Minor; Office Needs=Minor</x:v>
      </x:c>
      <x:c r="O8" s="26" t="n">
        <x:v>1</x:v>
      </x:c>
      <x:c r="P8" s="26" t="str">
        <x:v>Kodeshalakunta (36701020214)</x:v>
      </x:c>
      <x:c r="Q8" s="26" t="str">
        <x:v>36701020214</x:v>
      </x:c>
      <x:c r="R8" s="26" t="n">
        <x:v>11</x:v>
      </x:c>
      <x:c r="S8" s="36" t="n">
        <x:v>50000</x:v>
      </x:c>
      <x:c r="T8" s="26" t="str">
        <x:v>Water Filter	
Gas Stove&amp; Regulator						
Pressure Cooker	
Slides	
Kids Chairs	
Fans &amp; Lights	
Storage Bins	
Egg &amp; Milk Storge Racks	
Digital GMD
</x:v>
      </x:c>
      <x:c r="U8" s="26" t="str">
        <x:v>Water Filter	
Gas Stove&amp; Regulator						
Pressure Cooker	
Slides	
Kids Chairs	
Fans &amp; Lights	
Storage Bins	
Egg &amp; Milk Storge Racks	
Digital GMD
</x:v>
      </x:c>
      <x:c r="V8" s="27" t="b">
        <x:v>1</x:v>
      </x:c>
      <x:c r="W8" s="26" t="n">
        <x:v>8</x:v>
      </x:c>
      <x:c r="X8" s="26" t="n">
        <x:v>0</x:v>
      </x:c>
      <x:c r="Y8" s="26" t="n">
        <x:v>36</x:v>
      </x:c>
      <x:c r="Z8" s="26" t="n">
        <x:v>0</x:v>
      </x:c>
      <x:c r="AA8" s="26" t="n">
        <x:v>36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46220.01777777778</x:v>
      </x:c>
      <x:c r="AG8" s="34"/>
      <x:c r="AH8" s="26" t="str">
        <x:v>Fully enriched from attached Mulugu project JSON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6</x:v>
      </x:c>
      <x:c r="B9" s="26" t="n">
        <x:v>287</x:v>
      </x:c>
      <x:c r="C9" s="26" t="str">
        <x:v>Mulugu</x:v>
      </x:c>
      <x:c r="D9" s="26" t="str">
        <x:v>Telangana</x:v>
      </x:c>
      <x:c r="E9" s="26" t="n">
        <x:v>8670</x:v>
      </x:c>
      <x:c r="F9" s="26" t="str">
        <x:v>PRJ-2026-0008670</x:v>
      </x:c>
      <x:c r="G9" s="26" t="str">
        <x:v>AWC Mansingh thanda</x:v>
      </x:c>
      <x:c r="H9" s="26" t="str">
        <x:v>Mission Saksham Anganwadi &amp; POSHAN 2.0</x:v>
      </x:c>
      <x:c r="I9" s="32" t="n">
        <x:v>46164</x:v>
      </x:c>
      <x:c r="J9" s="32" t="n">
        <x:v>46348</x:v>
      </x:c>
      <x:c r="K9" s="32"/>
      <x:c r="L9" s="26" t="str">
        <x:v>Active: On/After 01-Aug-2026</x:v>
      </x:c>
      <x:c r="M9" s="26" t="str">
        <x:v>Medium</x:v>
      </x:c>
      <x:c r="N9" s="26" t="str">
        <x:v>ECCE Equipment=Minor; Educational Needs=Minor; Electrical Infrastructure=Medium; Health and Safety aids=Minor; Office Needs=Minor</x:v>
      </x:c>
      <x:c r="O9" s="26" t="n">
        <x:v>1</x:v>
      </x:c>
      <x:c r="P9" s="26" t="str">
        <x:v>Mansingh thanda (36701020213)</x:v>
      </x:c>
      <x:c r="Q9" s="26" t="str">
        <x:v>36701020213</x:v>
      </x:c>
      <x:c r="R9" s="26" t="n">
        <x:v>47</x:v>
      </x:c>
      <x:c r="S9" s="36" t="n">
        <x:v>50000</x:v>
      </x:c>
      <x:c r="T9" s="26" t="str">
        <x:v>Water Filter	
Gas Stove&amp; Regulator						
Pressure Cooker	
Slides	
Kids Chairs	
Fans &amp; Lights	
Storage Bins	
Egg &amp; Milk Storge Racks	
Digital GMD
</x:v>
      </x:c>
      <x:c r="U9" s="26" t="str">
        <x:v>Water Filter	
Gas Stove&amp; Regulator						
Pressure Cooker	
Slides	
Kids Chairs	
Fans &amp; Lights	
Storage Bins	
Egg &amp; Milk Storge Racks	
Digital GMD
</x:v>
      </x:c>
      <x:c r="V9" s="27" t="b">
        <x:v>1</x:v>
      </x:c>
      <x:c r="W9" s="26" t="n">
        <x:v>8</x:v>
      </x:c>
      <x:c r="X9" s="26" t="n">
        <x:v>0</x:v>
      </x:c>
      <x:c r="Y9" s="26" t="n">
        <x:v>38</x:v>
      </x:c>
      <x:c r="Z9" s="26" t="n">
        <x:v>0</x:v>
      </x:c>
      <x:c r="AA9" s="26" t="n">
        <x:v>38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46220.01777777778</x:v>
      </x:c>
      <x:c r="AG9" s="34"/>
      <x:c r="AH9" s="26" t="str">
        <x:v>Fully enriched from attached Mulugu project JSON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7</x:v>
      </x:c>
      <x:c r="B10" s="26" t="n">
        <x:v>284</x:v>
      </x:c>
      <x:c r="C10" s="26" t="str">
        <x:v>Mulugu</x:v>
      </x:c>
      <x:c r="D10" s="26" t="str">
        <x:v>Telangana</x:v>
      </x:c>
      <x:c r="E10" s="26" t="n">
        <x:v>10211</x:v>
      </x:c>
      <x:c r="F10" s="26" t="str">
        <x:v>PRJ-2026-0010211</x:v>
      </x:c>
      <x:c r="G10" s="26" t="str">
        <x:v>AWC Chinnagunturpalli -1 </x:v>
      </x:c>
      <x:c r="H10" s="26" t="str">
        <x:v>Mission Saksham Anganwadi &amp; POSHAN 2.0</x:v>
      </x:c>
      <x:c r="I10" s="32" t="n">
        <x:v>46164</x:v>
      </x:c>
      <x:c r="J10" s="32" t="n">
        <x:v>46348</x:v>
      </x:c>
      <x:c r="K10" s="32"/>
      <x:c r="L10" s="26" t="str">
        <x:v>Active: On/After 01-Aug-2026</x:v>
      </x:c>
      <x:c r="M10" s="26" t="str">
        <x:v>Medium</x:v>
      </x:c>
      <x:c r="N10" s="26" t="str">
        <x:v>ECCE Equipment=Minor; Educational Needs=Minor; Electrical Infrastructure=Medium; Health and Safety aids=Minor; Office Needs=Minor</x:v>
      </x:c>
      <x:c r="O10" s="26" t="n">
        <x:v>1</x:v>
      </x:c>
      <x:c r="P10" s="26" t="str">
        <x:v>Chinnagunturpalli -1 (36701020218)</x:v>
      </x:c>
      <x:c r="Q10" s="26" t="str">
        <x:v>36701020218</x:v>
      </x:c>
      <x:c r="R10" s="26" t="n">
        <x:v>12</x:v>
      </x:c>
      <x:c r="S10" s="36" t="n">
        <x:v>50000</x:v>
      </x:c>
      <x:c r="T10" s="26" t="str">
        <x:v>Water Filter	
Gas Stove&amp; Regulator						
Pressure Cooker	
Slides	
Kids Chairs	
Fans &amp; Lights	
Storage Bins	
Egg &amp; Milk Storge Racks	
Digital GMD
</x:v>
      </x:c>
      <x:c r="U10" s="26" t="str">
        <x:v>Water Filter	
Gas Stove&amp; Regulator						
Pressure Cooker	
Slides	
Kids Chairs	
Fans &amp; Lights	
Storage Bins	
Egg &amp; Milk Storge Racks	
Digital GMD
</x:v>
      </x:c>
      <x:c r="V10" s="27" t="b">
        <x:v>1</x:v>
      </x:c>
      <x:c r="W10" s="26" t="n">
        <x:v>9</x:v>
      </x:c>
      <x:c r="X10" s="26" t="n">
        <x:v>0</x:v>
      </x:c>
      <x:c r="Y10" s="26" t="n">
        <x:v>40</x:v>
      </x:c>
      <x:c r="Z10" s="26" t="n">
        <x:v>0</x:v>
      </x:c>
      <x:c r="AA10" s="26" t="n">
        <x:v>40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46220.0177662037</x:v>
      </x:c>
      <x:c r="AG10" s="34"/>
      <x:c r="AH10" s="26" t="str">
        <x:v>Fully enriched from attached Mulugu project JSON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8</x:v>
      </x:c>
      <x:c r="B11" s="26" t="n">
        <x:v>285</x:v>
      </x:c>
      <x:c r="C11" s="26" t="str">
        <x:v>Mulugu</x:v>
      </x:c>
      <x:c r="D11" s="26" t="str">
        <x:v>Telangana</x:v>
      </x:c>
      <x:c r="E11" s="26" t="n">
        <x:v>9008</x:v>
      </x:c>
      <x:c r="F11" s="26" t="str">
        <x:v>PRJ-2026-0009008</x:v>
      </x:c>
      <x:c r="G11" s="26" t="str">
        <x:v>AWC Pandikunta - II</x:v>
      </x:c>
      <x:c r="H11" s="26" t="str">
        <x:v>Mission Saksham Anganwadi &amp; POSHAN 2.0</x:v>
      </x:c>
      <x:c r="I11" s="32" t="n">
        <x:v>46164</x:v>
      </x:c>
      <x:c r="J11" s="32" t="n">
        <x:v>46348</x:v>
      </x:c>
      <x:c r="K11" s="32"/>
      <x:c r="L11" s="26" t="str">
        <x:v>Active: On/After 01-Aug-2026</x:v>
      </x:c>
      <x:c r="M11" s="26" t="str">
        <x:v>Medium</x:v>
      </x:c>
      <x:c r="N11" s="26" t="str">
        <x:v>ECCE Equipment=Minor; Educational Needs=Minor; Electrical Infrastructure=Medium; Health and Safety aids=Minor; Office Needs=Minor</x:v>
      </x:c>
      <x:c r="O11" s="26" t="n">
        <x:v>1</x:v>
      </x:c>
      <x:c r="P11" s="26" t="str">
        <x:v>Pandikunta - II (36701020210)</x:v>
      </x:c>
      <x:c r="Q11" s="26" t="str">
        <x:v>36701020210</x:v>
      </x:c>
      <x:c r="R11" s="26" t="n">
        <x:v>53</x:v>
      </x:c>
      <x:c r="S11" s="36" t="n">
        <x:v>50000</x:v>
      </x:c>
      <x:c r="T11" s="26" t="str">
        <x:v>Water Filter	
Gas Stove&amp; Regulator						
Pressure Cooker	
Slides	
Kids Chairs	
Fans &amp; Lights	
Storage Bins	
Egg &amp; Milk Storge Racks	
Digital GMD
</x:v>
      </x:c>
      <x:c r="U11" s="26" t="str">
        <x:v>Water Filter	
Gas Stove&amp; Regulator						
Pressure Cooker	
Slides	
Kids Chairs	
Fans &amp; Lights	
Storage Bins	
Egg &amp; Milk Storge Racks	
Digital GMD
</x:v>
      </x:c>
      <x:c r="V11" s="27" t="b">
        <x:v>1</x:v>
      </x:c>
      <x:c r="W11" s="26" t="n">
        <x:v>9</x:v>
      </x:c>
      <x:c r="X11" s="26" t="n">
        <x:v>0</x:v>
      </x:c>
      <x:c r="Y11" s="26" t="n">
        <x:v>45</x:v>
      </x:c>
      <x:c r="Z11" s="26" t="n">
        <x:v>0</x:v>
      </x:c>
      <x:c r="AA11" s="26" t="n">
        <x:v>45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46220.0177662037</x:v>
      </x:c>
      <x:c r="AG11" s="34"/>
      <x:c r="AH11" s="26" t="str">
        <x:v>Fully enriched from attached Mulugu project JSON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9</x:v>
      </x:c>
      <x:c r="B12" s="26" t="n">
        <x:v>283</x:v>
      </x:c>
      <x:c r="C12" s="26" t="str">
        <x:v>Mulugu</x:v>
      </x:c>
      <x:c r="D12" s="26" t="str">
        <x:v>Telangana</x:v>
      </x:c>
      <x:c r="E12" s="26" t="n">
        <x:v>10287</x:v>
      </x:c>
      <x:c r="F12" s="26" t="str">
        <x:v>PRJ-2026-0010287</x:v>
      </x:c>
      <x:c r="G12" s="26" t="str">
        <x:v>AWC Jaggannapet</x:v>
      </x:c>
      <x:c r="H12" s="26" t="str">
        <x:v>Mission Saksham Anganwadi &amp; POSHAN 2.0</x:v>
      </x:c>
      <x:c r="I12" s="32" t="n">
        <x:v>46164</x:v>
      </x:c>
      <x:c r="J12" s="32" t="n">
        <x:v>46348</x:v>
      </x:c>
      <x:c r="K12" s="32"/>
      <x:c r="L12" s="26" t="str">
        <x:v>Active: On/After 01-Aug-2026</x:v>
      </x:c>
      <x:c r="M12" s="26" t="str">
        <x:v>Medium</x:v>
      </x:c>
      <x:c r="N12" s="26" t="str">
        <x:v>ECCE Equipment=Minor; Educational Needs=Minor; Electrical Infrastructure=Medium; Health and Safety aids=Minor; Office Needs=Minor</x:v>
      </x:c>
      <x:c r="O12" s="26" t="n">
        <x:v>1</x:v>
      </x:c>
      <x:c r="P12" s="26" t="str">
        <x:v>Jaggannapet (36701020215)</x:v>
      </x:c>
      <x:c r="Q12" s="26" t="str">
        <x:v>36701020215</x:v>
      </x:c>
      <x:c r="R12" s="26" t="n">
        <x:v>41</x:v>
      </x:c>
      <x:c r="S12" s="36" t="n">
        <x:v>50000</x:v>
      </x:c>
      <x:c r="T12" s="26" t="str">
        <x:v>Water Filter	Gas Stove&amp; Regulator						Pressure Cooker	Slides	Kids Chairs	Fans &amp; Lights	Storage Bins	Egg &amp; Milk Storge Racks	Digital GMD
</x:v>
      </x:c>
      <x:c r="U12" s="26" t="str">
        <x:v>Water Filter	Gas Stove&amp; Regulator						Pressure Cooker	Slides	Kids Chairs	Fans &amp; Lights	Storage Bins	Egg &amp; Milk Storge Racks	Digital GMD
</x:v>
      </x:c>
      <x:c r="V12" s="27" t="b">
        <x:v>1</x:v>
      </x:c>
      <x:c r="W12" s="26" t="n">
        <x:v>7</x:v>
      </x:c>
      <x:c r="X12" s="26" t="n">
        <x:v>0</x:v>
      </x:c>
      <x:c r="Y12" s="26" t="n">
        <x:v>21</x:v>
      </x:c>
      <x:c r="Z12" s="26" t="n">
        <x:v>0</x:v>
      </x:c>
      <x:c r="AA12" s="26" t="n">
        <x:v>21</x:v>
      </x:c>
      <x:c r="AB12" s="38" t="n"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46220.01775462963</x:v>
      </x:c>
      <x:c r="AG12" s="34"/>
      <x:c r="AH12" s="26" t="str">
        <x:v>Fully enriched from attached Mulugu project JSON</x:v>
      </x:c>
      <x:c r="AI12" s="26" t="str"/>
      <x:c r="AJ12" s="26" t="str">
        <x:v>Not Started</x:v>
      </x:c>
      <x:c r="AK12" s="26" t="str"/>
      <x:c r="AL12" s="26" t="str"/>
    </x:row>
    <x:row r="13">
      <x:c r="A13" s="26" t="n">
        <x:v>10</x:v>
      </x:c>
      <x:c r="B13" s="26" t="n">
        <x:v>281</x:v>
      </x:c>
      <x:c r="C13" s="26" t="str">
        <x:v>Mulugu</x:v>
      </x:c>
      <x:c r="D13" s="26" t="str">
        <x:v>Telangana</x:v>
      </x:c>
      <x:c r="E13" s="26" t="n">
        <x:v>10430</x:v>
      </x:c>
      <x:c r="F13" s="26" t="str">
        <x:v>PRJ-2026-0010430</x:v>
      </x:c>
      <x:c r="G13" s="26" t="str">
        <x:v>AWC Ramsing Thanda</x:v>
      </x:c>
      <x:c r="H13" s="26" t="str">
        <x:v>Mission Saksham Anganwadi &amp; POSHAN 2.0</x:v>
      </x:c>
      <x:c r="I13" s="32" t="n">
        <x:v>46164</x:v>
      </x:c>
      <x:c r="J13" s="32" t="n">
        <x:v>46348</x:v>
      </x:c>
      <x:c r="K13" s="32"/>
      <x:c r="L13" s="26" t="str">
        <x:v>Active: On/After 01-Aug-2026</x:v>
      </x:c>
      <x:c r="M13" s="26" t="str">
        <x:v>Medium</x:v>
      </x:c>
      <x:c r="N13" s="26" t="str">
        <x:v>ECCE Equipment=Minor; Educational Needs=Minor; Electrical Infrastructure=Medium; Health and Safety aids=Minor; Office Needs=Minor</x:v>
      </x:c>
      <x:c r="O13" s="26" t="n">
        <x:v>1</x:v>
      </x:c>
      <x:c r="P13" s="26" t="str">
        <x:v>RAMSING THANDA  (Mini) (36701020207)</x:v>
      </x:c>
      <x:c r="Q13" s="26" t="str">
        <x:v>36701020207</x:v>
      </x:c>
      <x:c r="R13" s="26" t="n">
        <x:v>18</x:v>
      </x:c>
      <x:c r="S13" s="36" t="n">
        <x:v>50000</x:v>
      </x:c>
      <x:c r="T13" s="26" t="str">
        <x:v>Water Filter	
Gas Stove&amp; Regulator						
Pressure Cooker	
Slides	
Kids Chairs	
Fans &amp; Lights	
Storage Bins	
Egg &amp; Milk Storge Racks	
Digital GMD
</x:v>
      </x:c>
      <x:c r="U13" s="26" t="str">
        <x:v>Water Filter	
Gas Stove&amp; Regulator						
Pressure Cooker	
Slides	
Kids Chairs	
Fans &amp; Lights	
Storage Bins	
Egg &amp; Milk Storge Racks	
Digital GMD</x:v>
      </x:c>
      <x:c r="V13" s="27" t="b">
        <x:v>1</x:v>
      </x:c>
      <x:c r="W13" s="26" t="n">
        <x:v>7</x:v>
      </x:c>
      <x:c r="X13" s="26" t="n">
        <x:v>0</x:v>
      </x:c>
      <x:c r="Y13" s="26" t="n">
        <x:v>37</x:v>
      </x:c>
      <x:c r="Z13" s="26" t="n">
        <x:v>0</x:v>
      </x:c>
      <x:c r="AA13" s="26" t="n">
        <x:v>37</x:v>
      </x:c>
      <x:c r="AB13" s="38" t="n">
        <x:v>0</x:v>
      </x:c>
      <x:c r="AC13" s="26" t="str">
        <x:v>Committed / Not Delivered</x:v>
      </x:c>
      <x:c r="AD13" s="26" t="str">
        <x:v>Approval not recorded in response</x:v>
      </x:c>
      <x:c r="AE13" s="27" t="b">
        <x:v>1</x:v>
      </x:c>
      <x:c r="AF13" s="34" t="n">
        <x:v>46220.017743055556</x:v>
      </x:c>
      <x:c r="AG13" s="34"/>
      <x:c r="AH13" s="26" t="str">
        <x:v>Fully enriched from attached Mulugu project JSON</x:v>
      </x:c>
      <x:c r="AI13" s="26" t="str"/>
      <x:c r="AJ13" s="26" t="str">
        <x:v>Not Started</x:v>
      </x:c>
      <x:c r="AK13" s="26" t="str"/>
      <x:c r="AL13" s="26" t="str"/>
    </x:row>
    <x:row r="14">
      <x:c r="A14" s="26" t="n">
        <x:v>11</x:v>
      </x:c>
      <x:c r="B14" s="26" t="n">
        <x:v>282</x:v>
      </x:c>
      <x:c r="C14" s="26" t="str">
        <x:v>Mulugu</x:v>
      </x:c>
      <x:c r="D14" s="26" t="str">
        <x:v>Telangana</x:v>
      </x:c>
      <x:c r="E14" s="26" t="n">
        <x:v>10329</x:v>
      </x:c>
      <x:c r="F14" s="26" t="str">
        <x:v>PRJ-2026-0010329</x:v>
      </x:c>
      <x:c r="G14" s="26" t="str">
        <x:v>AWC Gurthuruthanda</x:v>
      </x:c>
      <x:c r="H14" s="26" t="str">
        <x:v>Mission Saksham Anganwadi &amp; POSHAN 2.0</x:v>
      </x:c>
      <x:c r="I14" s="32" t="n">
        <x:v>46164</x:v>
      </x:c>
      <x:c r="J14" s="32" t="n">
        <x:v>46348</x:v>
      </x:c>
      <x:c r="K14" s="32"/>
      <x:c r="L14" s="26" t="str">
        <x:v>Active: On/After 01-Aug-2026</x:v>
      </x:c>
      <x:c r="M14" s="26" t="str">
        <x:v>Medium</x:v>
      </x:c>
      <x:c r="N14" s="26" t="str">
        <x:v>ECCE Equipment=Minor; Educational Needs=Minor; Electrical Infrastructure=Medium; Health and Safety aids=Minor; Office Needs=Minor</x:v>
      </x:c>
      <x:c r="O14" s="26" t="n">
        <x:v>1</x:v>
      </x:c>
      <x:c r="P14" s="26" t="str">
        <x:v>Gurthuruthanda (36701020216)</x:v>
      </x:c>
      <x:c r="Q14" s="26" t="str">
        <x:v>36701020216</x:v>
      </x:c>
      <x:c r="R14" s="26" t="n">
        <x:v>42</x:v>
      </x:c>
      <x:c r="S14" s="36" t="n">
        <x:v>50000</x:v>
      </x:c>
      <x:c r="T14" s="26" t="str">
        <x:v>Civil Repair	Water Filter	Gas Stove&amp; Regulator						Pressure Cooker	Slides	Kids Chairs	Fans &amp; Lights	Storage Bins	Egg &amp; Milk Storge Racks	Digital GMD
</x:v>
      </x:c>
      <x:c r="U14" s="26" t="str">
        <x:v>Civil Repair	Water Filter	Gas Stove&amp; Regulator						Pressure Cooker	Slides	Kids Chairs	Fans &amp; Lights	Storage Bins	Egg &amp; Milk Storge Racks	Digital GMD
</x:v>
      </x:c>
      <x:c r="V14" s="27" t="b">
        <x:v>1</x:v>
      </x:c>
      <x:c r="W14" s="26" t="n">
        <x:v>7</x:v>
      </x:c>
      <x:c r="X14" s="26" t="n">
        <x:v>0</x:v>
      </x:c>
      <x:c r="Y14" s="26" t="n">
        <x:v>34</x:v>
      </x:c>
      <x:c r="Z14" s="26" t="n">
        <x:v>0</x:v>
      </x:c>
      <x:c r="AA14" s="26" t="n">
        <x:v>34</x:v>
      </x:c>
      <x:c r="AB14" s="38" t="n">
        <x:v>0</x:v>
      </x:c>
      <x:c r="AC14" s="26" t="str">
        <x:v>Committed / Not Delivered</x:v>
      </x:c>
      <x:c r="AD14" s="26" t="str">
        <x:v>Approval not recorded in response</x:v>
      </x:c>
      <x:c r="AE14" s="27" t="b">
        <x:v>1</x:v>
      </x:c>
      <x:c r="AF14" s="34" t="n">
        <x:v>46220.017743055556</x:v>
      </x:c>
      <x:c r="AG14" s="34"/>
      <x:c r="AH14" s="26" t="str">
        <x:v>Fully enriched from attached Mulugu project JSON</x:v>
      </x:c>
      <x:c r="AI14" s="26" t="str"/>
      <x:c r="AJ14" s="26" t="str">
        <x:v>Not Started</x:v>
      </x:c>
      <x:c r="AK14" s="26" t="str"/>
      <x:c r="AL14" s="26" t="str"/>
    </x:row>
    <x:row r="15">
      <x:c r="A15" s="26" t="n">
        <x:v>12</x:v>
      </x:c>
      <x:c r="B15" s="26" t="n">
        <x:v>280</x:v>
      </x:c>
      <x:c r="C15" s="26" t="str">
        <x:v>Mulugu</x:v>
      </x:c>
      <x:c r="D15" s="26" t="str">
        <x:v>Telangana</x:v>
      </x:c>
      <x:c r="E15" s="26" t="n">
        <x:v>10539</x:v>
      </x:c>
      <x:c r="F15" s="26" t="str">
        <x:v>PRJ-2026-0010539</x:v>
      </x:c>
      <x:c r="G15" s="26" t="str">
        <x:v>AWC Annampalli</x:v>
      </x:c>
      <x:c r="H15" s="26" t="str">
        <x:v>Mission Saksham Anganwadi &amp; POSHAN 2.0</x:v>
      </x:c>
      <x:c r="I15" s="32" t="n">
        <x:v>46164</x:v>
      </x:c>
      <x:c r="J15" s="32" t="n">
        <x:v>46348</x:v>
      </x:c>
      <x:c r="K15" s="32"/>
      <x:c r="L15" s="26" t="str">
        <x:v>Active: On/After 01-Aug-2026</x:v>
      </x:c>
      <x:c r="M15" s="26" t="str">
        <x:v>Medium</x:v>
      </x:c>
      <x:c r="N15" s="26" t="str">
        <x:v>ECCE Equipment=Minor; Educational Needs=Minor; Electrical Infrastructure=Medium; Health and Safety aids=Minor; Office Needs=Minor</x:v>
      </x:c>
      <x:c r="O15" s="26" t="n">
        <x:v>1</x:v>
      </x:c>
      <x:c r="P15" s="26" t="str">
        <x:v>ANNAMPALLI (36701020222)</x:v>
      </x:c>
      <x:c r="Q15" s="26" t="str">
        <x:v>36701020222</x:v>
      </x:c>
      <x:c r="R15" s="26" t="n">
        <x:v>30</x:v>
      </x:c>
      <x:c r="S15" s="36" t="n">
        <x:v>50000</x:v>
      </x:c>
      <x:c r="T15" s="26" t="str">
        <x:v>Water Filter	
Gas Stove&amp; Regulator						
Pressure Cooker	
Slides	
Kids Chairs	
Fans &amp; Lights	
Storage Bins	
Egg &amp; Milk Storge Racks	
Digital GMD</x:v>
      </x:c>
      <x:c r="U15" s="26" t="str">
        <x:v>Water Filter	
Gas Stove&amp; Regulator						
Pressure Cooker	
Slides	
Kids Chairs	
Fans &amp; Lights	
Storage Bins	
Egg &amp; Milk Storge Racks	
Digital GMD</x:v>
      </x:c>
      <x:c r="V15" s="27" t="b">
        <x:v>1</x:v>
      </x:c>
      <x:c r="W15" s="26" t="n">
        <x:v>7</x:v>
      </x:c>
      <x:c r="X15" s="26" t="n">
        <x:v>0</x:v>
      </x:c>
      <x:c r="Y15" s="26" t="n">
        <x:v>29</x:v>
      </x:c>
      <x:c r="Z15" s="26" t="n">
        <x:v>0</x:v>
      </x:c>
      <x:c r="AA15" s="26" t="n">
        <x:v>29</x:v>
      </x:c>
      <x:c r="AB15" s="38" t="n">
        <x:v>0</x:v>
      </x:c>
      <x:c r="AC15" s="26" t="str">
        <x:v>Committed / Not Delivered</x:v>
      </x:c>
      <x:c r="AD15" s="26" t="str">
        <x:v>Approval not recorded in response</x:v>
      </x:c>
      <x:c r="AE15" s="27" t="b">
        <x:v>1</x:v>
      </x:c>
      <x:c r="AF15" s="34" t="n">
        <x:v>46220.01773148148</x:v>
      </x:c>
      <x:c r="AG15" s="34"/>
      <x:c r="AH15" s="26" t="str">
        <x:v>Fully enriched from attached Mulugu project JSON</x:v>
      </x:c>
      <x:c r="AI15" s="26" t="str"/>
      <x:c r="AJ15" s="26" t="str">
        <x:v>Not Started</x:v>
      </x:c>
      <x:c r="AK15" s="26" t="str"/>
      <x:c r="AL15" s="26" t="str"/>
    </x:row>
    <x:row r="16">
      <x:c r="A16" s="26" t="n">
        <x:v>13</x:v>
      </x:c>
      <x:c r="B16" s="26" t="n">
        <x:v>279</x:v>
      </x:c>
      <x:c r="C16" s="26" t="str">
        <x:v>Mulugu</x:v>
      </x:c>
      <x:c r="D16" s="26" t="str">
        <x:v>Telangana</x:v>
      </x:c>
      <x:c r="E16" s="26" t="n">
        <x:v>10589</x:v>
      </x:c>
      <x:c r="F16" s="26" t="str">
        <x:v>PRJ-2026-0010589</x:v>
      </x:c>
      <x:c r="G16" s="26" t="str">
        <x:v>AWC Pandikunta I</x:v>
      </x:c>
      <x:c r="H16" s="26" t="str">
        <x:v>Mission Saksham Anganwadi &amp; POSHAN 2.0</x:v>
      </x:c>
      <x:c r="I16" s="32" t="n">
        <x:v>46164</x:v>
      </x:c>
      <x:c r="J16" s="32" t="n">
        <x:v>46348</x:v>
      </x:c>
      <x:c r="K16" s="32"/>
      <x:c r="L16" s="26" t="str">
        <x:v>Active: On/After 01-Aug-2026</x:v>
      </x:c>
      <x:c r="M16" s="26" t="str">
        <x:v>Medium</x:v>
      </x:c>
      <x:c r="N16" s="26" t="str">
        <x:v>ECCE Equipment=Minor; Educational Needs=Minor; Electrical Infrastructure=Medium; Health and Safety aids=Minor; Office Needs=Minor</x:v>
      </x:c>
      <x:c r="O16" s="26" t="n">
        <x:v>1</x:v>
      </x:c>
      <x:c r="P16" s="26" t="str">
        <x:v>Pandikunta - I (36701020211)</x:v>
      </x:c>
      <x:c r="Q16" s="26" t="str">
        <x:v>36701020211</x:v>
      </x:c>
      <x:c r="R16" s="26" t="n">
        <x:v>59</x:v>
      </x:c>
      <x:c r="S16" s="36" t="n">
        <x:v>50000</x:v>
      </x:c>
      <x:c r="T16" s="26" t="str">
        <x:v>Water Filter	
Gas Stove&amp; Regulator						
Pressure Cooker	
Slides	
Kids Chairs	
Fans &amp; Lights	
Storage Bins	
Egg &amp; Milk Storge Racks	
Digital GMD</x:v>
      </x:c>
      <x:c r="U16" s="26" t="str">
        <x:v>Water Filter	
Gas Stove&amp; Regulator						
Pressure Cooker	
Slides	
Kids Chairs	
Fans &amp; Lights	
Storage Bins	
Egg &amp; Milk Storge Racks	
Digital GMD</x:v>
      </x:c>
      <x:c r="V16" s="27" t="b">
        <x:v>1</x:v>
      </x:c>
      <x:c r="W16" s="26" t="n">
        <x:v>8</x:v>
      </x:c>
      <x:c r="X16" s="26" t="n">
        <x:v>0</x:v>
      </x:c>
      <x:c r="Y16" s="26" t="n">
        <x:v>43</x:v>
      </x:c>
      <x:c r="Z16" s="26" t="n">
        <x:v>0</x:v>
      </x:c>
      <x:c r="AA16" s="26" t="n">
        <x:v>43</x:v>
      </x:c>
      <x:c r="AB16" s="38" t="n">
        <x:v>0</x:v>
      </x:c>
      <x:c r="AC16" s="26" t="str">
        <x:v>Committed / Not Delivered</x:v>
      </x:c>
      <x:c r="AD16" s="26" t="str">
        <x:v>Approval not recorded in response</x:v>
      </x:c>
      <x:c r="AE16" s="27" t="b">
        <x:v>1</x:v>
      </x:c>
      <x:c r="AF16" s="34" t="n">
        <x:v>46220.01724537037</x:v>
      </x:c>
      <x:c r="AG16" s="34"/>
      <x:c r="AH16" s="26" t="str">
        <x:v>Fully enriched from attached Mulugu project JSON</x:v>
      </x:c>
      <x:c r="AI16" s="26" t="str"/>
      <x:c r="AJ16" s="26" t="str">
        <x:v>Not Started</x:v>
      </x:c>
      <x:c r="AK16" s="26" t="str"/>
      <x:c r="AL16" s="26" t="str"/>
    </x:row>
    <x:row r="17">
      <x:c r="A17" s="26" t="n">
        <x:v>14</x:v>
      </x:c>
      <x:c r="B17" s="26" t="n">
        <x:v>277</x:v>
      </x:c>
      <x:c r="C17" s="26" t="str">
        <x:v>Mulugu</x:v>
      </x:c>
      <x:c r="D17" s="26" t="str">
        <x:v>Telangana</x:v>
      </x:c>
      <x:c r="E17" s="26" t="n">
        <x:v>10671</x:v>
      </x:c>
      <x:c r="F17" s="26" t="str">
        <x:v>PRJ-2026-0010671</x:v>
      </x:c>
      <x:c r="G17" s="26" t="str">
        <x:v>AWC </x:v>
      </x:c>
      <x:c r="H17" s="26" t="str">
        <x:v>Mission Saksham Anganwadi &amp; POSHAN 2.0</x:v>
      </x:c>
      <x:c r="I17" s="32" t="n">
        <x:v>46164</x:v>
      </x:c>
      <x:c r="J17" s="32" t="n">
        <x:v>46348</x:v>
      </x:c>
      <x:c r="K17" s="32"/>
      <x:c r="L17" s="26" t="str">
        <x:v>Active: On/After 01-Aug-2026</x:v>
      </x:c>
      <x:c r="M17" s="26" t="str">
        <x:v>Medium</x:v>
      </x:c>
      <x:c r="N17" s="26" t="str">
        <x:v>ECCE Equipment=Minor; Educational Needs=Minor; Electrical Infrastructure=Medium; Health and Safety aids=Minor; Office Needs=Minor</x:v>
      </x:c>
      <x:c r="O17" s="26" t="n">
        <x:v>1</x:v>
      </x:c>
      <x:c r="P17" s="26" t="str">
        <x:v>Shivathanda (36701020204)</x:v>
      </x:c>
      <x:c r="Q17" s="26" t="str">
        <x:v>36701020204</x:v>
      </x:c>
      <x:c r="R17" s="26" t="n">
        <x:v>20</x:v>
      </x:c>
      <x:c r="S17" s="36" t="n">
        <x:v>50000</x:v>
      </x:c>
      <x:c r="T17" s="26" t="str">
        <x:v>Water Filter	
Gas Stove&amp; Regulator						
Pressure Cooker	
Slides	
Kids Chairs	
Fans &amp; Lights	
Storage Bins	
Egg &amp; Milk Storge Racks	
Digital GMD</x:v>
      </x:c>
      <x:c r="U17" s="26" t="str">
        <x:v>Water Filter	
Gas Stove&amp; Regulator						
Pressure Cooker	
Slides	
Kids Chairs	
Fans &amp; Lights	
Storage Bins	
Egg &amp; Milk Storge Racks	
Digital GMD</x:v>
      </x:c>
      <x:c r="V17" s="27" t="b">
        <x:v>1</x:v>
      </x:c>
      <x:c r="W17" s="26" t="n">
        <x:v>7</x:v>
      </x:c>
      <x:c r="X17" s="26" t="n">
        <x:v>0</x:v>
      </x:c>
      <x:c r="Y17" s="26" t="n">
        <x:v>35</x:v>
      </x:c>
      <x:c r="Z17" s="26" t="n">
        <x:v>0</x:v>
      </x:c>
      <x:c r="AA17" s="26" t="n">
        <x:v>35</x:v>
      </x:c>
      <x:c r="AB17" s="38" t="n">
        <x:v>0</x:v>
      </x:c>
      <x:c r="AC17" s="26" t="str">
        <x:v>Committed / Not Delivered</x:v>
      </x:c>
      <x:c r="AD17" s="26" t="str">
        <x:v>Approval not recorded in response</x:v>
      </x:c>
      <x:c r="AE17" s="27" t="b">
        <x:v>1</x:v>
      </x:c>
      <x:c r="AF17" s="34" t="n">
        <x:v>46220.017233796294</x:v>
      </x:c>
      <x:c r="AG17" s="34"/>
      <x:c r="AH17" s="26" t="str">
        <x:v>Fully enriched from attached Mulugu project JSON</x:v>
      </x:c>
      <x:c r="AI17" s="26" t="str"/>
      <x:c r="AJ17" s="26" t="str">
        <x:v>Not Started</x:v>
      </x:c>
      <x:c r="AK17" s="26" t="str"/>
      <x:c r="AL17" s="26" t="str"/>
    </x:row>
    <x:row r="18">
      <x:c r="A18" s="26" t="n">
        <x:v>15</x:v>
      </x:c>
      <x:c r="B18" s="26" t="n">
        <x:v>278</x:v>
      </x:c>
      <x:c r="C18" s="26" t="str">
        <x:v>Mulugu</x:v>
      </x:c>
      <x:c r="D18" s="26" t="str">
        <x:v>Telangana</x:v>
      </x:c>
      <x:c r="E18" s="26" t="n">
        <x:v>10633</x:v>
      </x:c>
      <x:c r="F18" s="26" t="str">
        <x:v>PRJ-2026-0010633</x:v>
      </x:c>
      <x:c r="G18" s="26" t="str">
        <x:v>AWC Sreeramulapalli</x:v>
      </x:c>
      <x:c r="H18" s="26" t="str">
        <x:v>Mission Saksham Anganwadi &amp; POSHAN 2.0</x:v>
      </x:c>
      <x:c r="I18" s="32" t="n">
        <x:v>46164</x:v>
      </x:c>
      <x:c r="J18" s="32" t="n">
        <x:v>46348</x:v>
      </x:c>
      <x:c r="K18" s="32"/>
      <x:c r="L18" s="26" t="str">
        <x:v>Active: On/After 01-Aug-2026</x:v>
      </x:c>
      <x:c r="M18" s="26" t="str">
        <x:v>Medium</x:v>
      </x:c>
      <x:c r="N18" s="26" t="str">
        <x:v>ECCE Equipment=Minor; Educational Needs=Minor; Electrical Infrastructure=Medium; Health and Safety aids=Minor; Office Needs=Minor</x:v>
      </x:c>
      <x:c r="O18" s="26" t="n">
        <x:v>1</x:v>
      </x:c>
      <x:c r="P18" s="26" t="str">
        <x:v>Sreeramulapalli (36687040422)</x:v>
      </x:c>
      <x:c r="Q18" s="26" t="str">
        <x:v>36687040422</x:v>
      </x:c>
      <x:c r="R18" s="26" t="n">
        <x:v>84</x:v>
      </x:c>
      <x:c r="S18" s="36" t="n">
        <x:v>50000</x:v>
      </x:c>
      <x:c r="T18" s="26" t="str">
        <x:v>Water Filter	
Gas Stove&amp; Regulator						
Pressure Cooker	
Slides	
Kids Chairs	
Fans &amp; Lights	
Storage Bins	
Egg &amp; Milk Storge Racks	
Digital GMD</x:v>
      </x:c>
      <x:c r="U18" s="26" t="str">
        <x:v>Water Filter	
Gas Stove&amp; Regulator						
Pressure Cooker	
Slides	
Kids Chairs	
Fans &amp; Lights	
Storage Bins	
Egg &amp; Milk Storge Racks	
Digital GMD</x:v>
      </x:c>
      <x:c r="V18" s="27" t="b">
        <x:v>1</x:v>
      </x:c>
      <x:c r="W18" s="26" t="n">
        <x:v>9</x:v>
      </x:c>
      <x:c r="X18" s="26" t="n">
        <x:v>0</x:v>
      </x:c>
      <x:c r="Y18" s="26" t="n">
        <x:v>61</x:v>
      </x:c>
      <x:c r="Z18" s="26" t="n">
        <x:v>0</x:v>
      </x:c>
      <x:c r="AA18" s="26" t="n">
        <x:v>61</x:v>
      </x:c>
      <x:c r="AB18" s="38" t="n">
        <x:v>0</x:v>
      </x:c>
      <x:c r="AC18" s="26" t="str">
        <x:v>Committed / Not Delivered</x:v>
      </x:c>
      <x:c r="AD18" s="26" t="str">
        <x:v>Approval not recorded in response</x:v>
      </x:c>
      <x:c r="AE18" s="27" t="b">
        <x:v>1</x:v>
      </x:c>
      <x:c r="AF18" s="34" t="n">
        <x:v>46220.017233796294</x:v>
      </x:c>
      <x:c r="AG18" s="34"/>
      <x:c r="AH18" s="26" t="str">
        <x:v>Fully enriched from attached Mulugu project JSON</x:v>
      </x:c>
      <x:c r="AI18" s="26" t="str"/>
      <x:c r="AJ18" s="26" t="str">
        <x:v>Not Started</x:v>
      </x:c>
      <x:c r="AK18" s="26" t="str"/>
      <x:c r="AL18" s="26" t="str"/>
    </x:row>
    <x:row r="19">
      <x:c r="A19" s="26" t="n">
        <x:v>16</x:v>
      </x:c>
      <x:c r="B19" s="26" t="n">
        <x:v>275</x:v>
      </x:c>
      <x:c r="C19" s="26" t="str">
        <x:v>Mulugu</x:v>
      </x:c>
      <x:c r="D19" s="26" t="str">
        <x:v>Telangana</x:v>
      </x:c>
      <x:c r="E19" s="26" t="n">
        <x:v>10774</x:v>
      </x:c>
      <x:c r="F19" s="26" t="str">
        <x:v>PRJ-2026-0010774</x:v>
      </x:c>
      <x:c r="G19" s="26" t="str">
        <x:v>AWC Chinnagunturupalli 2</x:v>
      </x:c>
      <x:c r="H19" s="26" t="str">
        <x:v>Mission Saksham Anganwadi &amp; POSHAN 2.0</x:v>
      </x:c>
      <x:c r="I19" s="32" t="n">
        <x:v>46164</x:v>
      </x:c>
      <x:c r="J19" s="32" t="n">
        <x:v>46348</x:v>
      </x:c>
      <x:c r="K19" s="32"/>
      <x:c r="L19" s="26" t="str">
        <x:v>Active: On/After 01-Aug-2026</x:v>
      </x:c>
      <x:c r="M19" s="26" t="str">
        <x:v>Medium</x:v>
      </x:c>
      <x:c r="N19" s="26" t="str">
        <x:v>ECCE Equipment=Minor; Educational Needs=Minor; Electrical Infrastructure=Medium; Health and Safety aids=Minor; Office Needs=Minor</x:v>
      </x:c>
      <x:c r="O19" s="26" t="n">
        <x:v>1</x:v>
      </x:c>
      <x:c r="P19" s="26" t="str">
        <x:v>Chinnagunturpalli -2 (36701020217)</x:v>
      </x:c>
      <x:c r="Q19" s="26" t="str">
        <x:v>36701020217</x:v>
      </x:c>
      <x:c r="R19" s="26" t="n">
        <x:v>27</x:v>
      </x:c>
      <x:c r="S19" s="36" t="n">
        <x:v>50000</x:v>
      </x:c>
      <x:c r="T19" s="26" t="str">
        <x:v>Water Filter	
Gas Stove&amp; Regulator						
Pressure Cooker	
Slides	
Kids Chairs	
Fans &amp; Lights	
Storage Bins	
Egg &amp; Milk Storge Racks	
Digital GMD</x:v>
      </x:c>
      <x:c r="U19" s="26" t="str">
        <x:v>Water Filter	
Gas Stove&amp; Regulator						
Pressure Cooker	
Slides	
Kids Chairs	
Fans &amp; Lights	
Storage Bins	
Egg &amp; Milk Storge Racks	
Digital GMD</x:v>
      </x:c>
      <x:c r="V19" s="27" t="b">
        <x:v>1</x:v>
      </x:c>
      <x:c r="W19" s="26" t="n">
        <x:v>7</x:v>
      </x:c>
      <x:c r="X19" s="26" t="n">
        <x:v>0</x:v>
      </x:c>
      <x:c r="Y19" s="26" t="n">
        <x:v>36</x:v>
      </x:c>
      <x:c r="Z19" s="26" t="n">
        <x:v>0</x:v>
      </x:c>
      <x:c r="AA19" s="26" t="n">
        <x:v>36</x:v>
      </x:c>
      <x:c r="AB19" s="38" t="n">
        <x:v>0</x:v>
      </x:c>
      <x:c r="AC19" s="26" t="str">
        <x:v>Committed / Not Delivered</x:v>
      </x:c>
      <x:c r="AD19" s="26" t="str">
        <x:v>Approval not recorded in response</x:v>
      </x:c>
      <x:c r="AE19" s="27" t="b">
        <x:v>1</x:v>
      </x:c>
      <x:c r="AF19" s="34" t="n">
        <x:v>46220.017222222225</x:v>
      </x:c>
      <x:c r="AG19" s="34"/>
      <x:c r="AH19" s="26" t="str">
        <x:v>Fully enriched from attached Mulugu project JSON</x:v>
      </x:c>
      <x:c r="AI19" s="26" t="str"/>
      <x:c r="AJ19" s="26" t="str">
        <x:v>Not Started</x:v>
      </x:c>
      <x:c r="AK19" s="26" t="str"/>
      <x:c r="AL19" s="26" t="str"/>
    </x:row>
    <x:row r="20">
      <x:c r="A20" s="26" t="n">
        <x:v>17</x:v>
      </x:c>
      <x:c r="B20" s="26" t="n">
        <x:v>276</x:v>
      </x:c>
      <x:c r="C20" s="26" t="str">
        <x:v>Mulugu</x:v>
      </x:c>
      <x:c r="D20" s="26" t="str">
        <x:v>Telangana</x:v>
      </x:c>
      <x:c r="E20" s="26" t="n">
        <x:v>10716</x:v>
      </x:c>
      <x:c r="F20" s="26" t="str">
        <x:v>PRJ-2026-0010716</x:v>
      </x:c>
      <x:c r="G20" s="26" t="str">
        <x:v>AWC Ramihnagarthanda</x:v>
      </x:c>
      <x:c r="H20" s="26" t="str">
        <x:v>Mission Saksham Anganwadi &amp; POSHAN 2.0</x:v>
      </x:c>
      <x:c r="I20" s="32" t="n">
        <x:v>46164</x:v>
      </x:c>
      <x:c r="J20" s="32" t="n">
        <x:v>46348</x:v>
      </x:c>
      <x:c r="K20" s="32"/>
      <x:c r="L20" s="26" t="str">
        <x:v>Active: On/After 01-Aug-2026</x:v>
      </x:c>
      <x:c r="M20" s="26" t="str">
        <x:v>Medium</x:v>
      </x:c>
      <x:c r="N20" s="26" t="str">
        <x:v>ECCE Equipment=Minor; Educational Needs=Minor; Electrical Infrastructure=Medium; Health and Safety aids=Minor; Office Needs=Minor</x:v>
      </x:c>
      <x:c r="O20" s="26" t="n">
        <x:v>1</x:v>
      </x:c>
      <x:c r="P20" s="26" t="str">
        <x:v>RAHIMNAGARTHANDA  (Mini) (36701020208)</x:v>
      </x:c>
      <x:c r="Q20" s="26" t="str">
        <x:v>36701020208</x:v>
      </x:c>
      <x:c r="R20" s="26" t="n">
        <x:v>24</x:v>
      </x:c>
      <x:c r="S20" s="36" t="n">
        <x:v>50000</x:v>
      </x:c>
      <x:c r="T20" s="26" t="str">
        <x:v>Water Filter	
Gas Stove&amp; Regulator						
Pressure Cooker	
Slides	
Kids Chairs	
Fans &amp; Lights	
Storage Bins	
Egg &amp; Milk Storge Racks	
Digital GMD</x:v>
      </x:c>
      <x:c r="U20" s="26" t="str">
        <x:v>Water Filter	
Gas Stove&amp; Regulator						
Pressure Cooker	
Slides	
Kids Chairs	
Fans &amp; Lights	
Storage Bins	
Egg &amp; Milk Storge Racks	
Digital GMD</x:v>
      </x:c>
      <x:c r="V20" s="27" t="b">
        <x:v>1</x:v>
      </x:c>
      <x:c r="W20" s="26" t="n">
        <x:v>7</x:v>
      </x:c>
      <x:c r="X20" s="26" t="n">
        <x:v>0</x:v>
      </x:c>
      <x:c r="Y20" s="26" t="n">
        <x:v>37</x:v>
      </x:c>
      <x:c r="Z20" s="26" t="n">
        <x:v>0</x:v>
      </x:c>
      <x:c r="AA20" s="26" t="n">
        <x:v>37</x:v>
      </x:c>
      <x:c r="AB20" s="38" t="n">
        <x:v>0</x:v>
      </x:c>
      <x:c r="AC20" s="26" t="str">
        <x:v>Committed / Not Delivered</x:v>
      </x:c>
      <x:c r="AD20" s="26" t="str">
        <x:v>Approval not recorded in response</x:v>
      </x:c>
      <x:c r="AE20" s="27" t="b">
        <x:v>1</x:v>
      </x:c>
      <x:c r="AF20" s="34" t="n">
        <x:v>46220.017222222225</x:v>
      </x:c>
      <x:c r="AG20" s="34"/>
      <x:c r="AH20" s="26" t="str">
        <x:v>Fully enriched from attached Mulugu project JSON</x:v>
      </x:c>
      <x:c r="AI20" s="26" t="str"/>
      <x:c r="AJ20" s="26" t="str">
        <x:v>Not Started</x:v>
      </x:c>
      <x:c r="AK20" s="26" t="str"/>
      <x:c r="AL20" s="26" t="str"/>
    </x:row>
    <x:row r="21">
      <x:c r="A21" s="26" t="n">
        <x:v>18</x:v>
      </x:c>
      <x:c r="B21" s="26" t="n">
        <x:v>273</x:v>
      </x:c>
      <x:c r="C21" s="26" t="str">
        <x:v>Mulugu</x:v>
      </x:c>
      <x:c r="D21" s="26" t="str">
        <x:v>Telangana</x:v>
      </x:c>
      <x:c r="E21" s="26" t="n">
        <x:v>11291</x:v>
      </x:c>
      <x:c r="F21" s="26" t="str">
        <x:v>PRJ-2026-0011291</x:v>
      </x:c>
      <x:c r="G21" s="26" t="str">
        <x:v>AWC Narsingapur</x:v>
      </x:c>
      <x:c r="H21" s="26" t="str">
        <x:v>Mission Saksham Anganwadi &amp; POSHAN 2.0</x:v>
      </x:c>
      <x:c r="I21" s="32" t="n">
        <x:v>46164</x:v>
      </x:c>
      <x:c r="J21" s="32" t="n">
        <x:v>46348</x:v>
      </x:c>
      <x:c r="K21" s="32"/>
      <x:c r="L21" s="26" t="str">
        <x:v>Active: On/After 01-Aug-2026</x:v>
      </x:c>
      <x:c r="M21" s="26" t="str">
        <x:v>Medium</x:v>
      </x:c>
      <x:c r="N21" s="26" t="str">
        <x:v>ECCE Equipment=Minor; Educational Needs=Minor; Electrical Infrastructure=Medium; Health and Safety aids=Minor; Office Needs=Minor</x:v>
      </x:c>
      <x:c r="O21" s="26" t="n">
        <x:v>1</x:v>
      </x:c>
      <x:c r="P21" s="26" t="str">
        <x:v>Narsingapur (36701020614)</x:v>
      </x:c>
      <x:c r="Q21" s="26" t="str">
        <x:v>36701020614</x:v>
      </x:c>
      <x:c r="R21" s="26" t="n">
        <x:v>49</x:v>
      </x:c>
      <x:c r="S21" s="36" t="n">
        <x:v>50000</x:v>
      </x:c>
      <x:c r="T21" s="26" t="str">
        <x:v>Water Filter	
Gas Stove&amp; Regulator
Pressure Cooker	
Slides	
Kids Chairs	
Fans &amp; Lights	
Storage Bins	
Egg &amp; Milk Storge Racks	
Digital GMD
</x:v>
      </x:c>
      <x:c r="U21" s="26" t="str">
        <x:v>Water Filter	
Gas Stove&amp; Regulator
Pressure Cooker	
Slides	
Kids Chairs	
Fans &amp; Lights	
Storage Bins	
Egg &amp; Milk Storge Racks	
Digital GMD
</x:v>
      </x:c>
      <x:c r="V21" s="27" t="b">
        <x:v>1</x:v>
      </x:c>
      <x:c r="W21" s="26" t="n">
        <x:v>7</x:v>
      </x:c>
      <x:c r="X21" s="26" t="n">
        <x:v>0</x:v>
      </x:c>
      <x:c r="Y21" s="26" t="n">
        <x:v>37</x:v>
      </x:c>
      <x:c r="Z21" s="26" t="n">
        <x:v>0</x:v>
      </x:c>
      <x:c r="AA21" s="26" t="n">
        <x:v>37</x:v>
      </x:c>
      <x:c r="AB21" s="38" t="n">
        <x:v>0</x:v>
      </x:c>
      <x:c r="AC21" s="26" t="str">
        <x:v>Committed / Not Delivered</x:v>
      </x:c>
      <x:c r="AD21" s="26" t="str">
        <x:v>Approval not recorded in response</x:v>
      </x:c>
      <x:c r="AE21" s="27" t="b">
        <x:v>1</x:v>
      </x:c>
      <x:c r="AF21" s="34" t="n">
        <x:v>46220.01721064815</x:v>
      </x:c>
      <x:c r="AG21" s="34"/>
      <x:c r="AH21" s="26" t="str">
        <x:v>Fully enriched from attached Mulugu project JSON</x:v>
      </x:c>
      <x:c r="AI21" s="26" t="str"/>
      <x:c r="AJ21" s="26" t="str">
        <x:v>Not Started</x:v>
      </x:c>
      <x:c r="AK21" s="26" t="str"/>
      <x:c r="AL21" s="26" t="str"/>
    </x:row>
    <x:row r="22">
      <x:c r="A22" s="26" t="n">
        <x:v>19</x:v>
      </x:c>
      <x:c r="B22" s="26" t="n">
        <x:v>274</x:v>
      </x:c>
      <x:c r="C22" s="26" t="str">
        <x:v>Mulugu</x:v>
      </x:c>
      <x:c r="D22" s="26" t="str">
        <x:v>Telangana</x:v>
      </x:c>
      <x:c r="E22" s="26" t="n">
        <x:v>10963</x:v>
      </x:c>
      <x:c r="F22" s="26" t="str">
        <x:v>PRJ-2026-0010963</x:v>
      </x:c>
      <x:c r="G22" s="26" t="str">
        <x:v>AWC Andugulamani</x:v>
      </x:c>
      <x:c r="H22" s="26" t="str">
        <x:v>Mission Saksham Anganwadi &amp; POSHAN 2.0</x:v>
      </x:c>
      <x:c r="I22" s="32" t="n">
        <x:v>46164</x:v>
      </x:c>
      <x:c r="J22" s="32" t="n">
        <x:v>46348</x:v>
      </x:c>
      <x:c r="K22" s="32"/>
      <x:c r="L22" s="26" t="str">
        <x:v>Active: On/After 01-Aug-2026</x:v>
      </x:c>
      <x:c r="M22" s="26" t="str">
        <x:v>Medium</x:v>
      </x:c>
      <x:c r="N22" s="26" t="str">
        <x:v>ECCE Equipment=Minor; Educational Needs=Minor; Electrical Infrastructure=Medium; Health and Safety aids=Minor; Office Needs=Minor</x:v>
      </x:c>
      <x:c r="O22" s="26" t="n">
        <x:v>1</x:v>
      </x:c>
      <x:c r="P22" s="26" t="str">
        <x:v>Andugulamani (36701020625)</x:v>
      </x:c>
      <x:c r="Q22" s="26" t="str">
        <x:v>36701020625</x:v>
      </x:c>
      <x:c r="R22" s="26" t="n">
        <x:v>51</x:v>
      </x:c>
      <x:c r="S22" s="36" t="n">
        <x:v>50000</x:v>
      </x:c>
      <x:c r="T22" s="26" t="str">
        <x:v>Water Filter	
Gas Stove&amp; Regulator
Pressure Cooker	
Slides	
Kids Chairs	
Fans &amp; Lights	
Storage Bins	
Egg &amp; Milk Storge Racks	
Digital GMD
</x:v>
      </x:c>
      <x:c r="U22" s="26" t="str">
        <x:v>Water Filter	
Gas Stove&amp; Regulator
Pressure Cooker	
Slides	
Kids Chairs	
Fans &amp; Lights	
Storage Bins	
Egg &amp; Milk Storge Racks	
Digital GMD
</x:v>
      </x:c>
      <x:c r="V22" s="27" t="b">
        <x:v>1</x:v>
      </x:c>
      <x:c r="W22" s="26" t="n">
        <x:v>8</x:v>
      </x:c>
      <x:c r="X22" s="26" t="n">
        <x:v>0</x:v>
      </x:c>
      <x:c r="Y22" s="26" t="n">
        <x:v>38</x:v>
      </x:c>
      <x:c r="Z22" s="26" t="n">
        <x:v>0</x:v>
      </x:c>
      <x:c r="AA22" s="26" t="n">
        <x:v>38</x:v>
      </x:c>
      <x:c r="AB22" s="38" t="n">
        <x:v>0</x:v>
      </x:c>
      <x:c r="AC22" s="26" t="str">
        <x:v>Committed / Not Delivered</x:v>
      </x:c>
      <x:c r="AD22" s="26" t="str">
        <x:v>Approval not recorded in response</x:v>
      </x:c>
      <x:c r="AE22" s="27" t="b">
        <x:v>1</x:v>
      </x:c>
      <x:c r="AF22" s="34" t="n">
        <x:v>46220.01721064815</x:v>
      </x:c>
      <x:c r="AG22" s="34"/>
      <x:c r="AH22" s="26" t="str">
        <x:v>Fully enriched from attached Mulugu project JSON</x:v>
      </x:c>
      <x:c r="AI22" s="26" t="str"/>
      <x:c r="AJ22" s="26" t="str">
        <x:v>Not Started</x:v>
      </x:c>
      <x:c r="AK22" s="26" t="str"/>
      <x:c r="AL22" s="26" t="str"/>
    </x:row>
    <x:row r="23">
      <x:c r="A23" s="26" t="n">
        <x:v>20</x:v>
      </x:c>
      <x:c r="B23" s="26" t="n">
        <x:v>271</x:v>
      </x:c>
      <x:c r="C23" s="26" t="str">
        <x:v>Mulugu</x:v>
      </x:c>
      <x:c r="D23" s="26" t="str">
        <x:v>Telangana</x:v>
      </x:c>
      <x:c r="E23" s="26" t="n">
        <x:v>11328</x:v>
      </x:c>
      <x:c r="F23" s="26" t="str">
        <x:v>PRJ-2026-0011328</x:v>
      </x:c>
      <x:c r="G23" s="26" t="str">
        <x:v>AWC Lingapur</x:v>
      </x:c>
      <x:c r="H23" s="26" t="str">
        <x:v>Mission Saksham Anganwadi &amp; POSHAN 2.0</x:v>
      </x:c>
      <x:c r="I23" s="32" t="n">
        <x:v>46164</x:v>
      </x:c>
      <x:c r="J23" s="32" t="n">
        <x:v>46348</x:v>
      </x:c>
      <x:c r="K23" s="32"/>
      <x:c r="L23" s="26" t="str">
        <x:v>Active: On/After 01-Aug-2026</x:v>
      </x:c>
      <x:c r="M23" s="26" t="str">
        <x:v>Medium</x:v>
      </x:c>
      <x:c r="N23" s="26" t="str">
        <x:v>ECCE Equipment=Minor; Educational Needs=Minor; Electrical Infrastructure=Medium; Health and Safety aids=Minor; Office Needs=Minor</x:v>
      </x:c>
      <x:c r="O23" s="26" t="n">
        <x:v>1</x:v>
      </x:c>
      <x:c r="P23" s="26" t="str">
        <x:v>Lingapur (36701020618)</x:v>
      </x:c>
      <x:c r="Q23" s="26" t="str">
        <x:v>36701020618</x:v>
      </x:c>
      <x:c r="R23" s="26" t="n">
        <x:v>35</x:v>
      </x:c>
      <x:c r="S23" s="36" t="n">
        <x:v>50000</x:v>
      </x:c>
      <x:c r="T23" s="26" t="str">
        <x:v>Water Filter	
Gas Stove&amp; Regulator
Pressure Cooker	
Slides	
Kids Chairs	
Fans &amp; Lights	
Storage Bins	
Egg &amp; Milk Storge Racks	
Digital GMD
</x:v>
      </x:c>
      <x:c r="U23" s="26" t="str">
        <x:v>Water Filter	
Gas Stove&amp; Regulator
Pressure Cooker	
Slides	
Kids Chairs	
Fans &amp; Lights	
Storage Bins	
Egg &amp; Milk Storge Racks	
Digital GMD
</x:v>
      </x:c>
      <x:c r="V23" s="27" t="b">
        <x:v>1</x:v>
      </x:c>
      <x:c r="W23" s="26" t="n">
        <x:v>7</x:v>
      </x:c>
      <x:c r="X23" s="26" t="n">
        <x:v>0</x:v>
      </x:c>
      <x:c r="Y23" s="26" t="n">
        <x:v>37</x:v>
      </x:c>
      <x:c r="Z23" s="26" t="n">
        <x:v>0</x:v>
      </x:c>
      <x:c r="AA23" s="26" t="n">
        <x:v>37</x:v>
      </x:c>
      <x:c r="AB23" s="38" t="n">
        <x:v>0</x:v>
      </x:c>
      <x:c r="AC23" s="26" t="str">
        <x:v>Committed / Not Delivered</x:v>
      </x:c>
      <x:c r="AD23" s="26" t="str">
        <x:v>Approval not recorded in response</x:v>
      </x:c>
      <x:c r="AE23" s="27" t="b">
        <x:v>1</x:v>
      </x:c>
      <x:c r="AF23" s="34" t="n">
        <x:v>46220.01719907407</x:v>
      </x:c>
      <x:c r="AG23" s="34"/>
      <x:c r="AH23" s="26" t="str">
        <x:v>Fully enriched from attached Mulugu project JSON</x:v>
      </x:c>
      <x:c r="AI23" s="26" t="str"/>
      <x:c r="AJ23" s="26" t="str">
        <x:v>Not Started</x:v>
      </x:c>
      <x:c r="AK23" s="26" t="str"/>
      <x:c r="AL23" s="26" t="str"/>
    </x:row>
    <x:row r="24">
      <x:c r="A24" s="26" t="n">
        <x:v>21</x:v>
      </x:c>
      <x:c r="B24" s="26" t="n">
        <x:v>272</x:v>
      </x:c>
      <x:c r="C24" s="26" t="str">
        <x:v>Mulugu</x:v>
      </x:c>
      <x:c r="D24" s="26" t="str">
        <x:v>Telangana</x:v>
      </x:c>
      <x:c r="E24" s="26" t="n">
        <x:v>11378</x:v>
      </x:c>
      <x:c r="F24" s="26" t="str">
        <x:v>PRJ-2026-0011378</x:v>
      </x:c>
      <x:c r="G24" s="26" t="str">
        <x:v>Muppanapally-I.</x:v>
      </x:c>
      <x:c r="H24" s="26" t="str">
        <x:v>Mission Saksham Anganwadi &amp; POSHAN 2.0</x:v>
      </x:c>
      <x:c r="I24" s="32" t="n">
        <x:v>46164</x:v>
      </x:c>
      <x:c r="J24" s="32" t="n">
        <x:v>46347</x:v>
      </x:c>
      <x:c r="K24" s="32"/>
      <x:c r="L24" s="26" t="str">
        <x:v>Active: On/After 01-Aug-2026</x:v>
      </x:c>
      <x:c r="M24" s="26" t="str">
        <x:v>Medium</x:v>
      </x:c>
      <x:c r="N24" s="26" t="str">
        <x:v>ECCE Equipment=Minor; Educational Needs=Minor; Electrical Infrastructure=Medium; Health and Safety aids=Minor</x:v>
      </x:c>
      <x:c r="O24" s="26" t="n">
        <x:v>1</x:v>
      </x:c>
      <x:c r="P24" s="26" t="str">
        <x:v>Muppanapally - I (36701010509)</x:v>
      </x:c>
      <x:c r="Q24" s="26" t="str">
        <x:v>36701010509</x:v>
      </x:c>
      <x:c r="R24" s="26" t="n">
        <x:v>16</x:v>
      </x:c>
      <x:c r="S24" s="36" t="n">
        <x:v>50000</x:v>
      </x:c>
      <x:c r="T24" s="26" t="str">
        <x:v>Gas double burners and regulators, Milk storage bins, Fans, Digital CMD, Baby Scales</x:v>
      </x:c>
      <x:c r="U24" s="26" t="str">
        <x:v>Improved hygiene, child-friendly environment, enhanced early childhood learning, safe drinking water access, better nutrition awareness and improved attendance of children at Anganwadi Centres</x:v>
      </x:c>
      <x:c r="V24" s="27" t="b">
        <x:v>1</x:v>
      </x:c>
      <x:c r="W24" s="26" t="n">
        <x:v>6</x:v>
      </x:c>
      <x:c r="X24" s="26" t="n">
        <x:v>0</x:v>
      </x:c>
      <x:c r="Y24" s="26" t="n">
        <x:v>53</x:v>
      </x:c>
      <x:c r="Z24" s="26" t="n">
        <x:v>0</x:v>
      </x:c>
      <x:c r="AA24" s="26" t="n">
        <x:v>53</x:v>
      </x:c>
      <x:c r="AB24" s="38" t="n">
        <x:v>0</x:v>
      </x:c>
      <x:c r="AC24" s="26" t="str">
        <x:v>Committed / Not Delivered</x:v>
      </x:c>
      <x:c r="AD24" s="26" t="str">
        <x:v>Approval not recorded in response</x:v>
      </x:c>
      <x:c r="AE24" s="27" t="b">
        <x:v>1</x:v>
      </x:c>
      <x:c r="AF24" s="34" t="n">
        <x:v>46220.01719907407</x:v>
      </x:c>
      <x:c r="AG24" s="34"/>
      <x:c r="AH24" s="26" t="str">
        <x:v>Fully enriched from attached Mulugu project JSON</x:v>
      </x:c>
      <x:c r="AI24" s="26" t="str"/>
      <x:c r="AJ24" s="26" t="str">
        <x:v>Not Started</x:v>
      </x:c>
      <x:c r="AK24" s="26" t="str"/>
      <x:c r="AL24" s="26" t="str"/>
    </x:row>
    <x:row r="25">
      <x:c r="A25" s="26" t="n">
        <x:v>22</x:v>
      </x:c>
      <x:c r="B25" s="26" t="n">
        <x:v>269</x:v>
      </x:c>
      <x:c r="C25" s="26" t="str">
        <x:v>Mulugu</x:v>
      </x:c>
      <x:c r="D25" s="26" t="str">
        <x:v>Telangana</x:v>
      </x:c>
      <x:c r="E25" s="26" t="n">
        <x:v>11743</x:v>
      </x:c>
      <x:c r="F25" s="26" t="str">
        <x:v>PRJ-2026-0011743</x:v>
      </x:c>
      <x:c r="G25" s="26" t="str">
        <x:v>AWC Thimmapur I</x:v>
      </x:c>
      <x:c r="H25" s="26" t="str">
        <x:v>Mission Saksham Anganwadi &amp; POSHAN 2.0</x:v>
      </x:c>
      <x:c r="I25" s="32" t="n">
        <x:v>46164</x:v>
      </x:c>
      <x:c r="J25" s="32" t="n">
        <x:v>46348</x:v>
      </x:c>
      <x:c r="K25" s="32"/>
      <x:c r="L25" s="26" t="str">
        <x:v>Active: On/After 01-Aug-2026</x:v>
      </x:c>
      <x:c r="M25" s="26" t="str">
        <x:v>Medium</x:v>
      </x:c>
      <x:c r="N25" s="26" t="str">
        <x:v>ECCE Equipment=Minor; Educational Needs=Minor; Electrical Infrastructure=Medium; Health and Safety aids=Minor; Office Needs=Minor</x:v>
      </x:c>
      <x:c r="O25" s="26" t="n">
        <x:v>1</x:v>
      </x:c>
      <x:c r="P25" s="26" t="str">
        <x:v>Thimmapur-1 (36701020608)</x:v>
      </x:c>
      <x:c r="Q25" s="26" t="str">
        <x:v>36701020608</x:v>
      </x:c>
      <x:c r="R25" s="26" t="n">
        <x:v>26</x:v>
      </x:c>
      <x:c r="S25" s="36" t="n">
        <x:v>50000</x:v>
      </x:c>
      <x:c r="T25" s="26" t="str">
        <x:v>Water Filter	
Gas Stove&amp; Regulator
Pressure Cooker	
Slides	
Kids Chairs	
Fans &amp; Lights	
Storage Bins	
Egg &amp; Milk Storge Racks	
Digital GMD
</x:v>
      </x:c>
      <x:c r="U25" s="26" t="str">
        <x:v>Water Filter	
Gas Stove&amp; Regulator
Pressure Cooker	
Slides	
Kids Chairs	
Fans &amp; Lights	
Storage Bins	
Egg &amp; Milk Storge Racks	
Digital GMD
</x:v>
      </x:c>
      <x:c r="V25" s="27" t="b">
        <x:v>1</x:v>
      </x:c>
      <x:c r="W25" s="26" t="n">
        <x:v>7</x:v>
      </x:c>
      <x:c r="X25" s="26" t="n">
        <x:v>0</x:v>
      </x:c>
      <x:c r="Y25" s="26" t="n">
        <x:v>36</x:v>
      </x:c>
      <x:c r="Z25" s="26" t="n">
        <x:v>0</x:v>
      </x:c>
      <x:c r="AA25" s="26" t="n">
        <x:v>36</x:v>
      </x:c>
      <x:c r="AB25" s="38" t="n">
        <x:v>0</x:v>
      </x:c>
      <x:c r="AC25" s="26" t="str">
        <x:v>Committed / Not Delivered</x:v>
      </x:c>
      <x:c r="AD25" s="26" t="str">
        <x:v>Approval not recorded in response</x:v>
      </x:c>
      <x:c r="AE25" s="27" t="b">
        <x:v>1</x:v>
      </x:c>
      <x:c r="AF25" s="34" t="n">
        <x:v>46220.0171875</x:v>
      </x:c>
      <x:c r="AG25" s="34"/>
      <x:c r="AH25" s="26" t="str">
        <x:v>Fully enriched from attached Mulugu project JSON</x:v>
      </x:c>
      <x:c r="AI25" s="26" t="str"/>
      <x:c r="AJ25" s="26" t="str">
        <x:v>Not Started</x:v>
      </x:c>
      <x:c r="AK25" s="26" t="str"/>
      <x:c r="AL25" s="26" t="str"/>
    </x:row>
    <x:row r="26">
      <x:c r="A26" s="26" t="n">
        <x:v>23</x:v>
      </x:c>
      <x:c r="B26" s="26" t="n">
        <x:v>270</x:v>
      </x:c>
      <x:c r="C26" s="26" t="str">
        <x:v>Mulugu</x:v>
      </x:c>
      <x:c r="D26" s="26" t="str">
        <x:v>Telangana</x:v>
      </x:c>
      <x:c r="E26" s="26" t="n">
        <x:v>11421</x:v>
      </x:c>
      <x:c r="F26" s="26" t="str">
        <x:v>PRJ-2026-0011421</x:v>
      </x:c>
      <x:c r="G26" s="26" t="str">
        <x:v>AWC YellareddyPalli</x:v>
      </x:c>
      <x:c r="H26" s="26" t="str">
        <x:v>Mission Saksham Anganwadi &amp; POSHAN 2.0</x:v>
      </x:c>
      <x:c r="I26" s="32" t="n">
        <x:v>46164</x:v>
      </x:c>
      <x:c r="J26" s="32" t="n">
        <x:v>46348</x:v>
      </x:c>
      <x:c r="K26" s="32"/>
      <x:c r="L26" s="26" t="str">
        <x:v>Active: On/After 01-Aug-2026</x:v>
      </x:c>
      <x:c r="M26" s="26" t="str">
        <x:v>Medium</x:v>
      </x:c>
      <x:c r="N26" s="26" t="str">
        <x:v>ECCE Equipment=Minor; Educational Needs=Minor; Electrical Infrastructure=Medium; Health and Safety aids=Minor; Office Needs=Minor</x:v>
      </x:c>
      <x:c r="O26" s="26" t="n">
        <x:v>1</x:v>
      </x:c>
      <x:c r="P26" s="26" t="str">
        <x:v>Yellareddypalli (36701020601)</x:v>
      </x:c>
      <x:c r="Q26" s="26" t="str">
        <x:v>36701020601</x:v>
      </x:c>
      <x:c r="R26" s="26" t="n">
        <x:v>50</x:v>
      </x:c>
      <x:c r="S26" s="36" t="n">
        <x:v>50000</x:v>
      </x:c>
      <x:c r="T26" s="26" t="str">
        <x:v>Water Filter	
Gas Stove&amp; Regulator
Pressure Cooker	
Slides	
Kids Chairs	
Fans &amp; Lights	
Storage Bins	
Egg &amp; Milk Storge Racks	
Digital GMD
</x:v>
      </x:c>
      <x:c r="U26" s="26" t="str">
        <x:v>Water Filter	
Gas Stove&amp; Regulator
Pressure Cooker	
Slides	
Kids Chairs	
Fans &amp; Lights	
Storage Bins	
Egg &amp; Milk Storge Racks	
Digital GMD
</x:v>
      </x:c>
      <x:c r="V26" s="27" t="b">
        <x:v>1</x:v>
      </x:c>
      <x:c r="W26" s="26" t="n">
        <x:v>7</x:v>
      </x:c>
      <x:c r="X26" s="26" t="n">
        <x:v>0</x:v>
      </x:c>
      <x:c r="Y26" s="26" t="n">
        <x:v>36</x:v>
      </x:c>
      <x:c r="Z26" s="26" t="n">
        <x:v>0</x:v>
      </x:c>
      <x:c r="AA26" s="26" t="n">
        <x:v>36</x:v>
      </x:c>
      <x:c r="AB26" s="38" t="n">
        <x:v>0</x:v>
      </x:c>
      <x:c r="AC26" s="26" t="str">
        <x:v>Committed / Not Delivered</x:v>
      </x:c>
      <x:c r="AD26" s="26" t="str">
        <x:v>Approval not recorded in response</x:v>
      </x:c>
      <x:c r="AE26" s="27" t="b">
        <x:v>1</x:v>
      </x:c>
      <x:c r="AF26" s="34" t="n">
        <x:v>46220.0171875</x:v>
      </x:c>
      <x:c r="AG26" s="34"/>
      <x:c r="AH26" s="26" t="str">
        <x:v>Fully enriched from attached Mulugu project JSON</x:v>
      </x:c>
      <x:c r="AI26" s="26" t="str"/>
      <x:c r="AJ26" s="26" t="str">
        <x:v>Not Started</x:v>
      </x:c>
      <x:c r="AK26" s="26" t="str"/>
      <x:c r="AL26" s="26" t="str"/>
    </x:row>
    <x:row r="27">
      <x:c r="A27" s="26" t="n">
        <x:v>24</x:v>
      </x:c>
      <x:c r="B27" s="26" t="n">
        <x:v>268</x:v>
      </x:c>
      <x:c r="C27" s="26" t="str">
        <x:v>Mulugu</x:v>
      </x:c>
      <x:c r="D27" s="26" t="str">
        <x:v>Telangana</x:v>
      </x:c>
      <x:c r="E27" s="26" t="n">
        <x:v>11841</x:v>
      </x:c>
      <x:c r="F27" s="26" t="str">
        <x:v>PRJ-2026-0011841</x:v>
      </x:c>
      <x:c r="G27" s="26" t="str">
        <x:v>AWC  Lambadipally</x:v>
      </x:c>
      <x:c r="H27" s="26" t="str">
        <x:v>Mission Saksham Anganwadi &amp; POSHAN 2.0</x:v>
      </x:c>
      <x:c r="I27" s="32" t="n">
        <x:v>46164</x:v>
      </x:c>
      <x:c r="J27" s="32" t="n">
        <x:v>46348</x:v>
      </x:c>
      <x:c r="K27" s="32"/>
      <x:c r="L27" s="26" t="str">
        <x:v>Active: On/After 01-Aug-2026</x:v>
      </x:c>
      <x:c r="M27" s="26" t="str">
        <x:v>Medium</x:v>
      </x:c>
      <x:c r="N27" s="26" t="str">
        <x:v>ECCE Equipment=Minor; Electrical Infrastructure=Medium; Health and Safety aids=Minor; Office Needs=Minor</x:v>
      </x:c>
      <x:c r="O27" s="26" t="n">
        <x:v>1</x:v>
      </x:c>
      <x:c r="P27" s="26" t="str">
        <x:v>Lambadpally (36701020620)</x:v>
      </x:c>
      <x:c r="Q27" s="26" t="str">
        <x:v>36701020620</x:v>
      </x:c>
      <x:c r="R27" s="26" t="n">
        <x:v>48</x:v>
      </x:c>
      <x:c r="S27" s="36" t="n">
        <x:v>50000</x:v>
      </x:c>
      <x:c r="T27" s="26" t="str">
        <x:v>Water Filter	
Gas Stove&amp; Regulator
Pressure Cooker	
Slides	
Kids Chairs	
Fans &amp; Lights	
Storage Bins	
Egg &amp; Milk Storge Racks	
Digital GMD
</x:v>
      </x:c>
      <x:c r="U27" s="26" t="str">
        <x:v>Water Filter	
Gas Stove&amp; Regulator
Pressure Cooker	
Slides	
Kids Chairs	
Fans &amp; Lights	
Storage Bins	
Egg &amp; Milk Storge Racks	
Digital GMD
</x:v>
      </x:c>
      <x:c r="V27" s="27" t="b">
        <x:v>1</x:v>
      </x:c>
      <x:c r="W27" s="26" t="n">
        <x:v>6</x:v>
      </x:c>
      <x:c r="X27" s="26" t="n">
        <x:v>0</x:v>
      </x:c>
      <x:c r="Y27" s="26" t="n">
        <x:v>27</x:v>
      </x:c>
      <x:c r="Z27" s="26" t="n">
        <x:v>0</x:v>
      </x:c>
      <x:c r="AA27" s="26" t="n">
        <x:v>27</x:v>
      </x:c>
      <x:c r="AB27" s="38" t="n">
        <x:v>0</x:v>
      </x:c>
      <x:c r="AC27" s="26" t="str">
        <x:v>Committed / Not Delivered</x:v>
      </x:c>
      <x:c r="AD27" s="26" t="str">
        <x:v>Approval not recorded in response</x:v>
      </x:c>
      <x:c r="AE27" s="27" t="b">
        <x:v>1</x:v>
      </x:c>
      <x:c r="AF27" s="34" t="n">
        <x:v>46220.017175925925</x:v>
      </x:c>
      <x:c r="AG27" s="34"/>
      <x:c r="AH27" s="26" t="str">
        <x:v>Fully enriched from attached Mulugu project JSON</x:v>
      </x:c>
      <x:c r="AI27" s="26" t="str"/>
      <x:c r="AJ27" s="26" t="str">
        <x:v>Not Started</x:v>
      </x:c>
      <x:c r="AK27" s="26" t="str"/>
      <x:c r="AL27" s="26" t="str"/>
    </x:row>
    <x:row r="28">
      <x:c r="A28" s="26" t="n">
        <x:v>25</x:v>
      </x:c>
      <x:c r="B28" s="26" t="n">
        <x:v>266</x:v>
      </x:c>
      <x:c r="C28" s="26" t="str">
        <x:v>Mulugu</x:v>
      </x:c>
      <x:c r="D28" s="26" t="str">
        <x:v>Telangana</x:v>
      </x:c>
      <x:c r="E28" s="26" t="n">
        <x:v>13054</x:v>
      </x:c>
      <x:c r="F28" s="26" t="str">
        <x:v>PRJ-2026-0013054</x:v>
      </x:c>
      <x:c r="G28" s="26" t="str">
        <x:v>AWC Infrastructure</x:v>
      </x:c>
      <x:c r="H28" s="26" t="str">
        <x:v>Mission Saksham Anganwadi &amp; POSHAN 2.0</x:v>
      </x:c>
      <x:c r="I28" s="32" t="n">
        <x:v>46165</x:v>
      </x:c>
      <x:c r="J28" s="32" t="n">
        <x:v>46349</x:v>
      </x:c>
      <x:c r="K28" s="32"/>
      <x:c r="L28" s="26" t="str">
        <x:v>Active: On/After 01-Aug-2026</x:v>
      </x:c>
      <x:c r="M28" s="26" t="str">
        <x:v>Medium</x:v>
      </x:c>
      <x:c r="N28" s="26" t="str">
        <x:v>Digital Infrastructure=Medium; Health and Safety aids=Minor</x:v>
      </x:c>
      <x:c r="O28" s="26" t="n">
        <x:v>1</x:v>
      </x:c>
      <x:c r="P28" s="26" t="str">
        <x:v>Churchipeta (Mini) (36701040619)</x:v>
      </x:c>
      <x:c r="Q28" s="26" t="str">
        <x:v>36701040619</x:v>
      </x:c>
      <x:c r="R28" s="26" t="n">
        <x:v>21</x:v>
      </x:c>
      <x:c r="S28" s="36" t="n">
        <x:v>50000</x:v>
      </x:c>
      <x:c r="T28" s="26" t="str">
        <x:v>Gas stove, regulator 	Water Filter			Digital GMD	Rain Water Harvesting System	Poshan Vatika
</x:v>
      </x:c>
      <x:c r="U28" s="26" t="str">
        <x:v>Gas stove, regulator 	Water Filter			Digital GMD	Rain Water Harvesting System	Poshan Vatika
</x:v>
      </x:c>
      <x:c r="V28" s="27" t="b">
        <x:v>0</x:v>
      </x:c>
      <x:c r="W28" s="26" t="n">
        <x:v>2</x:v>
      </x:c>
      <x:c r="X28" s="26" t="n">
        <x:v>0</x:v>
      </x:c>
      <x:c r="Y28" s="26" t="n">
        <x:v>2</x:v>
      </x:c>
      <x:c r="Z28" s="26" t="n">
        <x:v>0</x:v>
      </x:c>
      <x:c r="AA28" s="26" t="n">
        <x:v>2</x:v>
      </x:c>
      <x:c r="AB28" s="38" t="n">
        <x:v>0</x:v>
      </x:c>
      <x:c r="AC28" s="26" t="str">
        <x:v>Committed / Not Delivered</x:v>
      </x:c>
      <x:c r="AD28" s="26" t="str">
        <x:v>Approval not recorded in response</x:v>
      </x:c>
      <x:c r="AE28" s="27" t="b">
        <x:v>1</x:v>
      </x:c>
      <x:c r="AF28" s="34" t="n">
        <x:v>46220.017164351855</x:v>
      </x:c>
      <x:c r="AG28" s="34"/>
      <x:c r="AH28" s="26" t="str">
        <x:v>Fully enriched from attached Mulugu project JSON</x:v>
      </x:c>
      <x:c r="AI28" s="26" t="str"/>
      <x:c r="AJ28" s="26" t="str">
        <x:v>Not Started</x:v>
      </x:c>
      <x:c r="AK28" s="26" t="str"/>
      <x:c r="AL28" s="26" t="str"/>
    </x:row>
    <x:row r="29">
      <x:c r="A29" s="26" t="n">
        <x:v>26</x:v>
      </x:c>
      <x:c r="B29" s="26" t="n">
        <x:v>267</x:v>
      </x:c>
      <x:c r="C29" s="26" t="str">
        <x:v>Mulugu</x:v>
      </x:c>
      <x:c r="D29" s="26" t="str">
        <x:v>Telangana</x:v>
      </x:c>
      <x:c r="E29" s="26" t="n">
        <x:v>13051</x:v>
      </x:c>
      <x:c r="F29" s="26" t="str">
        <x:v>PRJ-2026-0013051</x:v>
      </x:c>
      <x:c r="G29" s="26" t="str">
        <x:v>AWC Infrastructure</x:v>
      </x:c>
      <x:c r="H29" s="26" t="str">
        <x:v>Mission Saksham Anganwadi &amp; POSHAN 2.0</x:v>
      </x:c>
      <x:c r="I29" s="32" t="n">
        <x:v>46165</x:v>
      </x:c>
      <x:c r="J29" s="32" t="n">
        <x:v>46349</x:v>
      </x:c>
      <x:c r="K29" s="32"/>
      <x:c r="L29" s="26" t="str">
        <x:v>Active: On/After 01-Aug-2026</x:v>
      </x:c>
      <x:c r="M29" s="26" t="str">
        <x:v>Complex</x:v>
      </x:c>
      <x:c r="N29" s="26" t="str">
        <x:v>Civil Infrastructure=Complex</x:v>
      </x:c>
      <x:c r="O29" s="26" t="n">
        <x:v>1</x:v>
      </x:c>
      <x:c r="P29" s="26" t="str">
        <x:v>Jakkulavaari veedhi (36701040616)</x:v>
      </x:c>
      <x:c r="Q29" s="26" t="str">
        <x:v>36701040616</x:v>
      </x:c>
      <x:c r="R29" s="26" t="n">
        <x:v>22</x:v>
      </x:c>
      <x:c r="S29" s="36" t="n">
        <x:v>50000</x:v>
      </x:c>
      <x:c r="T29" s="26" t="str">
        <x:v>Gas stove, regulator 	Water Filter	Play Area		Digital GMD	Rain Water Harvesting System	Poshan Vatika
</x:v>
      </x:c>
      <x:c r="U29" s="26" t="str">
        <x:v>Gas stove, regulator 	Water Filter	Play Area		Digital GMD	Rain Water Harvesting System	Poshan Vatika
</x:v>
      </x:c>
      <x:c r="V29" s="27" t="b">
        <x:v>0</x:v>
      </x:c>
      <x:c r="W29" s="26" t="n">
        <x:v>1</x:v>
      </x:c>
      <x:c r="X29" s="26" t="n">
        <x:v>0</x:v>
      </x:c>
      <x:c r="Y29" s="26" t="n">
        <x:v>1</x:v>
      </x:c>
      <x:c r="Z29" s="26" t="n">
        <x:v>0</x:v>
      </x:c>
      <x:c r="AA29" s="26" t="n">
        <x:v>1</x:v>
      </x:c>
      <x:c r="AB29" s="38" t="n">
        <x:v>0</x:v>
      </x:c>
      <x:c r="AC29" s="26" t="str">
        <x:v>Committed / Not Delivered</x:v>
      </x:c>
      <x:c r="AD29" s="26" t="str">
        <x:v>Approval not recorded in response</x:v>
      </x:c>
      <x:c r="AE29" s="27" t="b">
        <x:v>1</x:v>
      </x:c>
      <x:c r="AF29" s="34" t="n">
        <x:v>46220.017164351855</x:v>
      </x:c>
      <x:c r="AG29" s="34"/>
      <x:c r="AH29" s="26" t="str">
        <x:v>Fully enriched from attached Mulugu project JSON</x:v>
      </x:c>
      <x:c r="AI29" s="26" t="str"/>
      <x:c r="AJ29" s="26" t="str">
        <x:v>Not Started</x:v>
      </x:c>
      <x:c r="AK29" s="26" t="str"/>
      <x:c r="AL29" s="26" t="str"/>
    </x:row>
    <x:row r="30">
      <x:c r="A30" s="26" t="n">
        <x:v>27</x:v>
      </x:c>
      <x:c r="B30" s="26" t="n">
        <x:v>264</x:v>
      </x:c>
      <x:c r="C30" s="26" t="str">
        <x:v>Mulugu</x:v>
      </x:c>
      <x:c r="D30" s="26" t="str">
        <x:v>Telangana</x:v>
      </x:c>
      <x:c r="E30" s="26" t="n">
        <x:v>13066</x:v>
      </x:c>
      <x:c r="F30" s="26" t="str">
        <x:v>PRJ-2026-0013066</x:v>
      </x:c>
      <x:c r="G30" s="26" t="str">
        <x:v>AWC Infrastructure</x:v>
      </x:c>
      <x:c r="H30" s="26" t="str">
        <x:v>Mission Saksham Anganwadi &amp; POSHAN 2.0</x:v>
      </x:c>
      <x:c r="I30" s="32" t="n">
        <x:v>46165</x:v>
      </x:c>
      <x:c r="J30" s="32" t="n">
        <x:v>46349</x:v>
      </x:c>
      <x:c r="K30" s="32"/>
      <x:c r="L30" s="26" t="str">
        <x:v>Active: On/After 01-Aug-2026</x:v>
      </x:c>
      <x:c r="M30" s="26" t="str">
        <x:v>Complex</x:v>
      </x:c>
      <x:c r="N30" s="26" t="str">
        <x:v>Civil Infrastructure=Complex</x:v>
      </x:c>
      <x:c r="O30" s="26" t="n">
        <x:v>1</x:v>
      </x:c>
      <x:c r="P30" s="26" t="str">
        <x:v>BC Marrigudem (Mini) (36701040624)</x:v>
      </x:c>
      <x:c r="Q30" s="26" t="str">
        <x:v>36701040624</x:v>
      </x:c>
      <x:c r="R30" s="26" t="n">
        <x:v>24</x:v>
      </x:c>
      <x:c r="S30" s="36" t="n">
        <x:v>50000</x:v>
      </x:c>
      <x:c r="T30" s="26" t="str">
        <x:v>Gas stove, regulator 	Water Filter	Play Area		Digital GMD	Rain Water Harvesting System	Poshan Vatika
</x:v>
      </x:c>
      <x:c r="U30" s="26" t="str">
        <x:v>Gas stove, regulator 	Water Filter	Play Area		Digital GMD	Rain Water Harvesting System	Poshan Vatika
</x:v>
      </x:c>
      <x:c r="V30" s="27" t="b">
        <x:v>0</x:v>
      </x:c>
      <x:c r="W30" s="26" t="n">
        <x:v>1</x:v>
      </x:c>
      <x:c r="X30" s="26" t="n">
        <x:v>0</x:v>
      </x:c>
      <x:c r="Y30" s="26" t="n">
        <x:v>1</x:v>
      </x:c>
      <x:c r="Z30" s="26" t="n">
        <x:v>0</x:v>
      </x:c>
      <x:c r="AA30" s="26" t="n">
        <x:v>1</x:v>
      </x:c>
      <x:c r="AB30" s="38" t="n">
        <x:v>0</x:v>
      </x:c>
      <x:c r="AC30" s="26" t="str">
        <x:v>Committed / Not Delivered</x:v>
      </x:c>
      <x:c r="AD30" s="26" t="str">
        <x:v>Approval not recorded in response</x:v>
      </x:c>
      <x:c r="AE30" s="27" t="b">
        <x:v>1</x:v>
      </x:c>
      <x:c r="AF30" s="34" t="n">
        <x:v>46220.01715277778</x:v>
      </x:c>
      <x:c r="AG30" s="34"/>
      <x:c r="AH30" s="26" t="str">
        <x:v>Fully enriched from attached Mulugu project JSON</x:v>
      </x:c>
      <x:c r="AI30" s="26" t="str"/>
      <x:c r="AJ30" s="26" t="str">
        <x:v>Not Started</x:v>
      </x:c>
      <x:c r="AK30" s="26" t="str"/>
      <x:c r="AL30" s="26" t="str"/>
    </x:row>
    <x:row r="31">
      <x:c r="A31" s="26" t="n">
        <x:v>28</x:v>
      </x:c>
      <x:c r="B31" s="26" t="n">
        <x:v>265</x:v>
      </x:c>
      <x:c r="C31" s="26" t="str">
        <x:v>Mulugu</x:v>
      </x:c>
      <x:c r="D31" s="26" t="str">
        <x:v>Telangana</x:v>
      </x:c>
      <x:c r="E31" s="26" t="n">
        <x:v>13063</x:v>
      </x:c>
      <x:c r="F31" s="26" t="str">
        <x:v>PRJ-2026-0013063</x:v>
      </x:c>
      <x:c r="G31" s="26" t="str">
        <x:v>AWC Infrastructure</x:v>
      </x:c>
      <x:c r="H31" s="26" t="str">
        <x:v>Mission Saksham Anganwadi &amp; POSHAN 2.0</x:v>
      </x:c>
      <x:c r="I31" s="32" t="n">
        <x:v>46165</x:v>
      </x:c>
      <x:c r="J31" s="32" t="n">
        <x:v>46349</x:v>
      </x:c>
      <x:c r="K31" s="32"/>
      <x:c r="L31" s="26" t="str">
        <x:v>Active: On/After 01-Aug-2026</x:v>
      </x:c>
      <x:c r="M31" s="26" t="str">
        <x:v>Complex</x:v>
      </x:c>
      <x:c r="N31" s="26" t="str">
        <x:v>Civil Infrastructure=Complex</x:v>
      </x:c>
      <x:c r="O31" s="26" t="n">
        <x:v>1</x:v>
      </x:c>
      <x:c r="P31" s="26" t="str">
        <x:v>Chokkala-1 (36701040623)</x:v>
      </x:c>
      <x:c r="Q31" s="26" t="str">
        <x:v>36701040623</x:v>
      </x:c>
      <x:c r="R31" s="26" t="n">
        <x:v>30</x:v>
      </x:c>
      <x:c r="S31" s="36" t="n">
        <x:v>50000</x:v>
      </x:c>
      <x:c r="T31" s="26" t="str">
        <x:v>Gas stove, regulator 		Play Area		Digital GMD	Rain Water Harvesting System		Solar Panel	Kitchen Construction
</x:v>
      </x:c>
      <x:c r="U31" s="26" t="str">
        <x:v>Gas stove, regulator 		Play Area		Digital GMD	Rain Water Harvesting System		Solar Panel	Kitchen Construction
</x:v>
      </x:c>
      <x:c r="V31" s="27" t="b">
        <x:v>0</x:v>
      </x:c>
      <x:c r="W31" s="26" t="n">
        <x:v>1</x:v>
      </x:c>
      <x:c r="X31" s="26" t="n">
        <x:v>0</x:v>
      </x:c>
      <x:c r="Y31" s="26" t="n">
        <x:v>1</x:v>
      </x:c>
      <x:c r="Z31" s="26" t="n">
        <x:v>0</x:v>
      </x:c>
      <x:c r="AA31" s="26" t="n">
        <x:v>1</x:v>
      </x:c>
      <x:c r="AB31" s="38" t="n">
        <x:v>0</x:v>
      </x:c>
      <x:c r="AC31" s="26" t="str">
        <x:v>Committed / Not Delivered</x:v>
      </x:c>
      <x:c r="AD31" s="26" t="str">
        <x:v>Approval not recorded in response</x:v>
      </x:c>
      <x:c r="AE31" s="27" t="b">
        <x:v>1</x:v>
      </x:c>
      <x:c r="AF31" s="34" t="n">
        <x:v>46220.01715277778</x:v>
      </x:c>
      <x:c r="AG31" s="34"/>
      <x:c r="AH31" s="26" t="str">
        <x:v>Fully enriched from attached Mulugu project JSON</x:v>
      </x:c>
      <x:c r="AI31" s="26" t="str"/>
      <x:c r="AJ31" s="26" t="str">
        <x:v>Not Started</x:v>
      </x:c>
      <x:c r="AK31" s="26" t="str"/>
      <x:c r="AL31" s="26" t="str"/>
    </x:row>
    <x:row r="32">
      <x:c r="A32" s="26" t="n">
        <x:v>29</x:v>
      </x:c>
      <x:c r="B32" s="26" t="n">
        <x:v>263</x:v>
      </x:c>
      <x:c r="C32" s="26" t="str">
        <x:v>Mulugu</x:v>
      </x:c>
      <x:c r="D32" s="26" t="str">
        <x:v>Telangana</x:v>
      </x:c>
      <x:c r="E32" s="26" t="n">
        <x:v>13084</x:v>
      </x:c>
      <x:c r="F32" s="26" t="str">
        <x:v>PRJ-2026-0013084</x:v>
      </x:c>
      <x:c r="G32" s="26" t="str">
        <x:v>AWC Porkapally</x:v>
      </x:c>
      <x:c r="H32" s="26" t="str">
        <x:v>Mission Saksham Anganwadi &amp; POSHAN 2.0</x:v>
      </x:c>
      <x:c r="I32" s="32" t="n">
        <x:v>46165</x:v>
      </x:c>
      <x:c r="J32" s="32" t="n">
        <x:v>46349</x:v>
      </x:c>
      <x:c r="K32" s="32"/>
      <x:c r="L32" s="26" t="str">
        <x:v>Active: On/After 01-Aug-2026</x:v>
      </x:c>
      <x:c r="M32" s="26" t="str">
        <x:v>Medium</x:v>
      </x:c>
      <x:c r="N32" s="26" t="str">
        <x:v>ECCE Equipment=Minor; Educational Needs=Minor; Electrical Infrastructure=Medium; Health and Safety aids=Minor; Office Needs=Minor</x:v>
      </x:c>
      <x:c r="O32" s="26" t="n">
        <x:v>1</x:v>
      </x:c>
      <x:c r="P32" s="26" t="str">
        <x:v>Porkapally (36701020611)</x:v>
      </x:c>
      <x:c r="Q32" s="26" t="str">
        <x:v>36701020611</x:v>
      </x:c>
      <x:c r="R32" s="26" t="n">
        <x:v>50</x:v>
      </x:c>
      <x:c r="S32" s="36" t="n">
        <x:v>50000</x:v>
      </x:c>
      <x:c r="T32" s="26" t="str">
        <x:v>Water Filter Gas Stove&amp; Regulator Pressure Cooker Slides Kids Chairs Fans &amp; Lights Storage Bins Egg &amp; Milk Storge Racks Digital GMD</x:v>
      </x:c>
      <x:c r="U32" s="26" t="str">
        <x:v>Water Filter Gas Stove&amp; Regulator Pressure Cooker Slides Kids Chairs Fans &amp; Lights Storage Bins Egg &amp; Milk Storge Racks Digital GMD</x:v>
      </x:c>
      <x:c r="V32" s="27" t="b">
        <x:v>1</x:v>
      </x:c>
      <x:c r="W32" s="26" t="n">
        <x:v>8</x:v>
      </x:c>
      <x:c r="X32" s="26" t="n">
        <x:v>0</x:v>
      </x:c>
      <x:c r="Y32" s="26" t="n">
        <x:v>38</x:v>
      </x:c>
      <x:c r="Z32" s="26" t="n">
        <x:v>0</x:v>
      </x:c>
      <x:c r="AA32" s="26" t="n">
        <x:v>38</x:v>
      </x:c>
      <x:c r="AB32" s="38" t="n">
        <x:v>0</x:v>
      </x:c>
      <x:c r="AC32" s="26" t="str">
        <x:v>Committed / Not Delivered</x:v>
      </x:c>
      <x:c r="AD32" s="26" t="str">
        <x:v>Approval not recorded in response</x:v>
      </x:c>
      <x:c r="AE32" s="27" t="b">
        <x:v>1</x:v>
      </x:c>
      <x:c r="AF32" s="34" t="n">
        <x:v>46220.0171412037</x:v>
      </x:c>
      <x:c r="AG32" s="34"/>
      <x:c r="AH32" s="26" t="str">
        <x:v>Fully enriched from attached Mulugu project JSON</x:v>
      </x:c>
      <x:c r="AI32" s="26" t="str"/>
      <x:c r="AJ32" s="26" t="str">
        <x:v>Not Started</x:v>
      </x:c>
      <x:c r="AK32" s="26" t="str"/>
      <x:c r="AL32" s="26" t="str"/>
    </x:row>
    <x:row r="33">
      <x:c r="A33" s="26" t="n">
        <x:v>30</x:v>
      </x:c>
      <x:c r="B33" s="26" t="n">
        <x:v>262</x:v>
      </x:c>
      <x:c r="C33" s="26" t="str">
        <x:v>Mulugu</x:v>
      </x:c>
      <x:c r="D33" s="26" t="str">
        <x:v>Telangana</x:v>
      </x:c>
      <x:c r="E33" s="26" t="n">
        <x:v>13573</x:v>
      </x:c>
      <x:c r="F33" s="26" t="str">
        <x:v>PRJ-2026-0013573</x:v>
      </x:c>
      <x:c r="G33" s="26" t="str">
        <x:v>Egg &amp; Milk Storge Racks</x:v>
      </x:c>
      <x:c r="H33" s="26" t="str">
        <x:v>Mission Saksham Anganwadi &amp; POSHAN 2.0</x:v>
      </x:c>
      <x:c r="I33" s="32" t="n">
        <x:v>46175</x:v>
      </x:c>
      <x:c r="J33" s="32" t="n">
        <x:v>46358</x:v>
      </x:c>
      <x:c r="K33" s="32"/>
      <x:c r="L33" s="26" t="str">
        <x:v>Active: On/After 01-Aug-2026</x:v>
      </x:c>
      <x:c r="M33" s="26" t="str">
        <x:v>Medium</x:v>
      </x:c>
      <x:c r="N33" s="26" t="str">
        <x:v>ECCE Equipment=Minor; Electrical Infrastructure=Medium; Health and Safety aids=Minor; Office Needs=Minor</x:v>
      </x:c>
      <x:c r="O33" s="26" t="n">
        <x:v>1</x:v>
      </x:c>
      <x:c r="P33" s="26" t="str">
        <x:v>Weavers Colony (36701020401)</x:v>
      </x:c>
      <x:c r="Q33" s="26" t="str">
        <x:v>36701020401</x:v>
      </x:c>
      <x:c r="R33" s="26" t="n">
        <x:v>10</x:v>
      </x:c>
      <x:c r="S33" s="36" t="n">
        <x:v>50000</x:v>
      </x:c>
      <x:c r="T33" s="26" t="str">
        <x:v>Egg &amp; Milk Storge Racks
</x:v>
      </x:c>
      <x:c r="U33" s="26" t="str">
        <x:v>Egg &amp; Milk Storge Racks
</x:v>
      </x:c>
      <x:c r="V33" s="27" t="b">
        <x:v>1</x:v>
      </x:c>
      <x:c r="W33" s="26" t="n">
        <x:v>6</x:v>
      </x:c>
      <x:c r="X33" s="26" t="n">
        <x:v>0</x:v>
      </x:c>
      <x:c r="Y33" s="26" t="n">
        <x:v>26</x:v>
      </x:c>
      <x:c r="Z33" s="26" t="n">
        <x:v>0</x:v>
      </x:c>
      <x:c r="AA33" s="26" t="n">
        <x:v>26</x:v>
      </x:c>
      <x:c r="AB33" s="38" t="n">
        <x:v>0</x:v>
      </x:c>
      <x:c r="AC33" s="26" t="str">
        <x:v>Committed / Not Delivered</x:v>
      </x:c>
      <x:c r="AD33" s="26" t="str">
        <x:v>Approval not recorded in response</x:v>
      </x:c>
      <x:c r="AE33" s="27" t="b">
        <x:v>1</x:v>
      </x:c>
      <x:c r="AF33" s="34" t="n">
        <x:v>46220.01712962963</x:v>
      </x:c>
      <x:c r="AG33" s="34"/>
      <x:c r="AH33" s="26" t="str">
        <x:v>Fully enriched from attached Mulugu project JSON</x:v>
      </x:c>
      <x:c r="AI33" s="26" t="str"/>
      <x:c r="AJ33" s="26" t="str">
        <x:v>Not Started</x:v>
      </x:c>
      <x:c r="AK33" s="26" t="str"/>
      <x:c r="AL33" s="26" t="str"/>
    </x:row>
    <x:row r="34">
      <x:c r="A34" s="26" t="n">
        <x:v>31</x:v>
      </x:c>
      <x:c r="B34" s="26" t="n">
        <x:v>261</x:v>
      </x:c>
      <x:c r="C34" s="26" t="str">
        <x:v>Mulugu</x:v>
      </x:c>
      <x:c r="D34" s="26" t="str">
        <x:v>Telangana</x:v>
      </x:c>
      <x:c r="E34" s="26" t="n">
        <x:v>13053</x:v>
      </x:c>
      <x:c r="F34" s="26" t="str">
        <x:v>PRJ-2026-0013053</x:v>
      </x:c>
      <x:c r="G34" s="26" t="str">
        <x:v>AWC Infrastructure</x:v>
      </x:c>
      <x:c r="H34" s="26" t="str">
        <x:v>Mission Saksham Anganwadi &amp; POSHAN 2.0</x:v>
      </x:c>
      <x:c r="I34" s="32" t="n">
        <x:v>46165</x:v>
      </x:c>
      <x:c r="J34" s="32" t="n">
        <x:v>46349</x:v>
      </x:c>
      <x:c r="K34" s="32"/>
      <x:c r="L34" s="26" t="str">
        <x:v>Active: On/After 01-Aug-2026</x:v>
      </x:c>
      <x:c r="M34" s="26" t="str">
        <x:v>Complex</x:v>
      </x:c>
      <x:c r="N34" s="26" t="str">
        <x:v>Civil Infrastructure=Complex; Electrical Infrastructure=Medium</x:v>
      </x:c>
      <x:c r="O34" s="26" t="n">
        <x:v>1</x:v>
      </x:c>
      <x:c r="P34" s="26" t="str">
        <x:v>Harijana colony (36701040618)</x:v>
      </x:c>
      <x:c r="Q34" s="26" t="str">
        <x:v>36701040618</x:v>
      </x:c>
      <x:c r="R34" s="26" t="n">
        <x:v>36</x:v>
      </x:c>
      <x:c r="S34" s="36" t="n">
        <x:v>50000</x:v>
      </x:c>
      <x:c r="T34" s="26" t="str">
        <x:v>BaLA paintings	Gas stove, regulator 	Water Filter	Play Area	Boundary Walls	Digital GMD	Rain Water Harvesting System	Poshan Vatika	Solar Panel
</x:v>
      </x:c>
      <x:c r="U34" s="26" t="str">
        <x:v>BaLA paintings	Gas stove, regulator 	Water Filter	Play Area	Boundary Walls	Digital GMD	Rain Water Harvesting System	Poshan Vatika	Solar Panel
</x:v>
      </x:c>
      <x:c r="V34" s="27" t="b">
        <x:v>0</x:v>
      </x:c>
      <x:c r="W34" s="26" t="n">
        <x:v>2</x:v>
      </x:c>
      <x:c r="X34" s="26" t="n">
        <x:v>0</x:v>
      </x:c>
      <x:c r="Y34" s="26" t="n">
        <x:v>2</x:v>
      </x:c>
      <x:c r="Z34" s="26" t="n">
        <x:v>0</x:v>
      </x:c>
      <x:c r="AA34" s="26" t="n">
        <x:v>2</x:v>
      </x:c>
      <x:c r="AB34" s="38" t="n">
        <x:v>0</x:v>
      </x:c>
      <x:c r="AC34" s="26" t="str">
        <x:v>Committed / Not Delivered</x:v>
      </x:c>
      <x:c r="AD34" s="26" t="str">
        <x:v>Approval not recorded in response</x:v>
      </x:c>
      <x:c r="AE34" s="27" t="b">
        <x:v>1</x:v>
      </x:c>
      <x:c r="AF34" s="34" t="n">
        <x:v>46220.01424768518</x:v>
      </x:c>
      <x:c r="AG34" s="34"/>
      <x:c r="AH34" s="26" t="str">
        <x:v>Fully enriched from attached Mulugu project JSON</x:v>
      </x:c>
      <x:c r="AI34" s="26" t="str"/>
      <x:c r="AJ34" s="26" t="str">
        <x:v>Not Started</x:v>
      </x:c>
      <x:c r="AK34" s="26" t="str"/>
      <x:c r="AL34" s="26" t="str"/>
    </x:row>
    <x:row r="35">
      <x:c r="A35" s="26" t="n">
        <x:v>32</x:v>
      </x:c>
      <x:c r="B35" s="26" t="n">
        <x:v>260</x:v>
      </x:c>
      <x:c r="C35" s="26" t="str">
        <x:v>Mulugu</x:v>
      </x:c>
      <x:c r="D35" s="26" t="str">
        <x:v>Telangana</x:v>
      </x:c>
      <x:c r="E35" s="26" t="n">
        <x:v>13049</x:v>
      </x:c>
      <x:c r="F35" s="26" t="str">
        <x:v>PRJ-2026-0013049</x:v>
      </x:c>
      <x:c r="G35" s="26" t="str">
        <x:v>AWC Infrastructure</x:v>
      </x:c>
      <x:c r="H35" s="26" t="str">
        <x:v>Mission Saksham Anganwadi &amp; POSHAN 2.0</x:v>
      </x:c>
      <x:c r="I35" s="32" t="n">
        <x:v>46165</x:v>
      </x:c>
      <x:c r="J35" s="32" t="n">
        <x:v>46349</x:v>
      </x:c>
      <x:c r="K35" s="32"/>
      <x:c r="L35" s="26" t="str">
        <x:v>Active: On/After 01-Aug-2026</x:v>
      </x:c>
      <x:c r="M35" s="26" t="str">
        <x:v>Complex</x:v>
      </x:c>
      <x:c r="N35" s="26" t="str">
        <x:v>Civil Infrastructure=Complex; Electrical Infrastructure=Medium</x:v>
      </x:c>
      <x:c r="O35" s="26" t="n">
        <x:v>1</x:v>
      </x:c>
      <x:c r="P35" s="26" t="str">
        <x:v>Karivaniguppa (Mini) (36701040615)</x:v>
      </x:c>
      <x:c r="Q35" s="26" t="str">
        <x:v>36701040615</x:v>
      </x:c>
      <x:c r="R35" s="26" t="n">
        <x:v>18</x:v>
      </x:c>
      <x:c r="S35" s="36" t="n">
        <x:v>50000</x:v>
      </x:c>
      <x:c r="T35" s="26" t="str">
        <x:v>BaLA paintings	Gas stove, regulator 	Water Filter	Play Area	Boundary Walls	Digital GMD	Rain Water Harvesting System	Poshan Vatika	Solar Panel
</x:v>
      </x:c>
      <x:c r="U35" s="26" t="str">
        <x:v>BaLA paintings	Gas stove, regulator 	Water Filter	Play Area	Boundary Walls	Digital GMD	Rain Water Harvesting System	Poshan Vatika	Solar Panel
</x:v>
      </x:c>
      <x:c r="V35" s="27" t="b">
        <x:v>0</x:v>
      </x:c>
      <x:c r="W35" s="26" t="n">
        <x:v>2</x:v>
      </x:c>
      <x:c r="X35" s="26" t="n">
        <x:v>0</x:v>
      </x:c>
      <x:c r="Y35" s="26" t="n">
        <x:v>2</x:v>
      </x:c>
      <x:c r="Z35" s="26" t="n">
        <x:v>0</x:v>
      </x:c>
      <x:c r="AA35" s="26" t="n">
        <x:v>2</x:v>
      </x:c>
      <x:c r="AB35" s="38" t="n">
        <x:v>0</x:v>
      </x:c>
      <x:c r="AC35" s="26" t="str">
        <x:v>Committed / Not Delivered</x:v>
      </x:c>
      <x:c r="AD35" s="26" t="str">
        <x:v>Approval not recorded in response</x:v>
      </x:c>
      <x:c r="AE35" s="27" t="b">
        <x:v>1</x:v>
      </x:c>
      <x:c r="AF35" s="34" t="n">
        <x:v>46220.014236111114</x:v>
      </x:c>
      <x:c r="AG35" s="34"/>
      <x:c r="AH35" s="26" t="str">
        <x:v>Fully enriched from attached Mulugu project JSON</x:v>
      </x:c>
      <x:c r="AI35" s="26" t="str"/>
      <x:c r="AJ35" s="26" t="str">
        <x:v>Not Started</x:v>
      </x:c>
      <x:c r="AK35" s="26" t="str"/>
      <x:c r="AL35" s="26" t="str"/>
    </x:row>
    <x:row r="36">
      <x:c r="A36" s="26" t="n">
        <x:v>33</x:v>
      </x:c>
      <x:c r="B36" s="26" t="n">
        <x:v>258</x:v>
      </x:c>
      <x:c r="C36" s="26" t="str">
        <x:v>Mulugu</x:v>
      </x:c>
      <x:c r="D36" s="26" t="str">
        <x:v>Telangana</x:v>
      </x:c>
      <x:c r="E36" s="26" t="n">
        <x:v>8038</x:v>
      </x:c>
      <x:c r="F36" s="26" t="str">
        <x:v>PRJ-2026-0008038</x:v>
      </x:c>
      <x:c r="G36" s="26" t="str">
        <x:v>AWC Bhagyathanda</x:v>
      </x:c>
      <x:c r="H36" s="26" t="str">
        <x:v>Mission Saksham Anganwadi &amp; POSHAN 2.0</x:v>
      </x:c>
      <x:c r="I36" s="32" t="n">
        <x:v>46164</x:v>
      </x:c>
      <x:c r="J36" s="32" t="n">
        <x:v>46348</x:v>
      </x:c>
      <x:c r="K36" s="32"/>
      <x:c r="L36" s="26" t="str">
        <x:v>Active: On/After 01-Aug-2026</x:v>
      </x:c>
      <x:c r="M36" s="26" t="str">
        <x:v>Complex</x:v>
      </x:c>
      <x:c r="N36" s="26" t="str">
        <x:v>Civil Infrastructure=Complex; ECCE Equipment=Minor; Educational Needs=Minor; Electrical Infrastructure=Medium; Office Needs=Minor</x:v>
      </x:c>
      <x:c r="O36" s="26" t="n">
        <x:v>1</x:v>
      </x:c>
      <x:c r="P36" s="26" t="str">
        <x:v>Bhagyathanda (36701020220)</x:v>
      </x:c>
      <x:c r="Q36" s="26" t="str">
        <x:v>36701020220</x:v>
      </x:c>
      <x:c r="R36" s="26" t="n">
        <x:v>15</x:v>
      </x:c>
      <x:c r="S36" s="36" t="n">
        <x:v>50000</x:v>
      </x:c>
      <x:c r="T36" s="26" t="str">
        <x:v>Civil Repair
Water Filter	
Gas Stove&amp; Regulator	
Balapainting					
Pressure Cooker	
Slides	
Kids Chairs	
Fans &amp; Lights	
Storage Bins	
Egg &amp; Milk Storge Racks	
Digital GMD
</x:v>
      </x:c>
      <x:c r="U36" s="26" t="str">
        <x:v>Civil Repair
	Water Filter	
Gas Stove&amp; Regulator	
Balapainting					
Pressure Cooker	
Slides	
Kids Chairs	
Fans &amp; Lights	
Storage Bins	
Egg &amp; Milk Storge Racks	
Digital GMD
</x:v>
      </x:c>
      <x:c r="V36" s="27" t="b">
        <x:v>1</x:v>
      </x:c>
      <x:c r="W36" s="26" t="n">
        <x:v>6</x:v>
      </x:c>
      <x:c r="X36" s="26" t="n">
        <x:v>0</x:v>
      </x:c>
      <x:c r="Y36" s="26" t="n">
        <x:v>22</x:v>
      </x:c>
      <x:c r="Z36" s="26" t="n">
        <x:v>0</x:v>
      </x:c>
      <x:c r="AA36" s="26" t="n">
        <x:v>22</x:v>
      </x:c>
      <x:c r="AB36" s="38" t="n">
        <x:v>0</x:v>
      </x:c>
      <x:c r="AC36" s="26" t="str">
        <x:v>Committed / Not Delivered</x:v>
      </x:c>
      <x:c r="AD36" s="26" t="str">
        <x:v>Approval not recorded in response</x:v>
      </x:c>
      <x:c r="AE36" s="27" t="b">
        <x:v>1</x:v>
      </x:c>
      <x:c r="AF36" s="34" t="n">
        <x:v>46220.01422453704</x:v>
      </x:c>
      <x:c r="AG36" s="34"/>
      <x:c r="AH36" s="26" t="str">
        <x:v>Fully enriched from attached Mulugu project JSON</x:v>
      </x:c>
      <x:c r="AI36" s="26" t="str"/>
      <x:c r="AJ36" s="26" t="str">
        <x:v>Not Started</x:v>
      </x:c>
      <x:c r="AK36" s="26" t="str"/>
      <x:c r="AL36" s="26" t="str"/>
    </x:row>
    <x:row r="37">
      <x:c r="A37" s="26" t="n">
        <x:v>34</x:v>
      </x:c>
      <x:c r="B37" s="26" t="n">
        <x:v>259</x:v>
      </x:c>
      <x:c r="C37" s="26" t="str">
        <x:v>Mulugu</x:v>
      </x:c>
      <x:c r="D37" s="26" t="str">
        <x:v>Telangana</x:v>
      </x:c>
      <x:c r="E37" s="26" t="n">
        <x:v>13048</x:v>
      </x:c>
      <x:c r="F37" s="26" t="str">
        <x:v>PRJ-2026-0013048</x:v>
      </x:c>
      <x:c r="G37" s="26" t="str">
        <x:v>AWC Infrastructure</x:v>
      </x:c>
      <x:c r="H37" s="26" t="str">
        <x:v>Mission Saksham Anganwadi &amp; POSHAN 2.0</x:v>
      </x:c>
      <x:c r="I37" s="32" t="n">
        <x:v>46165</x:v>
      </x:c>
      <x:c r="J37" s="32" t="n">
        <x:v>46349</x:v>
      </x:c>
      <x:c r="K37" s="32"/>
      <x:c r="L37" s="26" t="str">
        <x:v>Active: On/After 01-Aug-2026</x:v>
      </x:c>
      <x:c r="M37" s="26" t="str">
        <x:v>Complex</x:v>
      </x:c>
      <x:c r="N37" s="26" t="str">
        <x:v>Civil Infrastructure=Complex; Electrical Infrastructure=Medium</x:v>
      </x:c>
      <x:c r="O37" s="26" t="n">
        <x:v>1</x:v>
      </x:c>
      <x:c r="P37" s="26" t="str">
        <x:v>Mallapuram (Mini) (36701040613)</x:v>
      </x:c>
      <x:c r="Q37" s="26" t="str">
        <x:v>36701040613</x:v>
      </x:c>
      <x:c r="R37" s="26" t="n">
        <x:v>19</x:v>
      </x:c>
      <x:c r="S37" s="36" t="n">
        <x:v>50000</x:v>
      </x:c>
      <x:c r="T37" s="26" t="str">
        <x:v>BaLA paintings	Gas stove, regulator 	Water Filter	Play Area	Boundary Walls	Digital GMD	Rain Water Harvesting System	Poshan Vatika	Solar Panel
</x:v>
      </x:c>
      <x:c r="U37" s="26" t="str">
        <x:v>BaLA paintings	Gas stove, regulator 	Water Filter	Play Area	Boundary Walls	Digital GMD	Rain Water Harvesting System	Poshan Vatika	Solar Panel
</x:v>
      </x:c>
      <x:c r="V37" s="27" t="b">
        <x:v>0</x:v>
      </x:c>
      <x:c r="W37" s="26" t="n">
        <x:v>2</x:v>
      </x:c>
      <x:c r="X37" s="26" t="n">
        <x:v>0</x:v>
      </x:c>
      <x:c r="Y37" s="26" t="n">
        <x:v>2</x:v>
      </x:c>
      <x:c r="Z37" s="26" t="n">
        <x:v>0</x:v>
      </x:c>
      <x:c r="AA37" s="26" t="n">
        <x:v>2</x:v>
      </x:c>
      <x:c r="AB37" s="38" t="n">
        <x:v>0</x:v>
      </x:c>
      <x:c r="AC37" s="26" t="str">
        <x:v>Committed / Not Delivered</x:v>
      </x:c>
      <x:c r="AD37" s="26" t="str">
        <x:v>Approval not recorded in response</x:v>
      </x:c>
      <x:c r="AE37" s="27" t="b">
        <x:v>1</x:v>
      </x:c>
      <x:c r="AF37" s="34" t="n">
        <x:v>46220.01422453704</x:v>
      </x:c>
      <x:c r="AG37" s="34"/>
      <x:c r="AH37" s="26" t="str">
        <x:v>Fully enriched from attached Mulugu project JSON</x:v>
      </x:c>
      <x:c r="AI37" s="26" t="str"/>
      <x:c r="AJ37" s="26" t="str">
        <x:v>Not Started</x:v>
      </x:c>
      <x:c r="AK37" s="26" t="str"/>
      <x:c r="AL37" s="26" t="str"/>
    </x:row>
    <x:row r="38">
      <x:c r="A38" s="26" t="n">
        <x:v>35</x:v>
      </x:c>
      <x:c r="B38" s="26" t="n">
        <x:v>257</x:v>
      </x:c>
      <x:c r="C38" s="26" t="str">
        <x:v>Mulugu</x:v>
      </x:c>
      <x:c r="D38" s="26" t="str">
        <x:v>Telangana</x:v>
      </x:c>
      <x:c r="E38" s="26" t="n">
        <x:v>8276</x:v>
      </x:c>
      <x:c r="F38" s="26" t="str">
        <x:v>PRJ-2026-0008276</x:v>
      </x:c>
      <x:c r="G38" s="26" t="str">
        <x:v>AWC Banalapally</x:v>
      </x:c>
      <x:c r="H38" s="26" t="str">
        <x:v>Mission Saksham Anganwadi &amp; POSHAN 2.0</x:v>
      </x:c>
      <x:c r="I38" s="32" t="n">
        <x:v>46164</x:v>
      </x:c>
      <x:c r="J38" s="32" t="n">
        <x:v>46348</x:v>
      </x:c>
      <x:c r="K38" s="32"/>
      <x:c r="L38" s="26" t="str">
        <x:v>Active: On/After 01-Aug-2026</x:v>
      </x:c>
      <x:c r="M38" s="26" t="str">
        <x:v>Complex</x:v>
      </x:c>
      <x:c r="N38" s="26" t="str">
        <x:v>Civil Infrastructure=Complex; ECCE Equipment=Minor; Educational Needs=Minor; Electrical Infrastructure=Medium; Office Needs=Minor</x:v>
      </x:c>
      <x:c r="O38" s="26" t="n">
        <x:v>1</x:v>
      </x:c>
      <x:c r="P38" s="26" t="str">
        <x:v>Banalapalli (36701020221)</x:v>
      </x:c>
      <x:c r="Q38" s="26" t="str">
        <x:v>36701020221</x:v>
      </x:c>
      <x:c r="R38" s="26" t="n">
        <x:v>25</x:v>
      </x:c>
      <x:c r="S38" s="36" t="n">
        <x:v>50000</x:v>
      </x:c>
      <x:c r="T38" s="26" t="str">
        <x:v>Civil Repair	
Water Filter	
Gas Stove&amp; Regulator	
Balapainting					
Pressure Cooker	
Slides	
Kids Chairs	
Fans &amp; Lights	
Storage Bins	
Egg &amp; Milk Storge Racks	
Digital GMD
</x:v>
      </x:c>
      <x:c r="U38" s="26" t="str">
        <x:v>Civil Repair	
Water Filter	
Gas Stove&amp; Regulator	
Balapainting					
Pressure Cooker	
Slides	
Kids Chairs	
Fans &amp; Lights	
Storage Bins	
Egg &amp; Milk Storge Racks	
Digital GMD
</x:v>
      </x:c>
      <x:c r="V38" s="27" t="b">
        <x:v>1</x:v>
      </x:c>
      <x:c r="W38" s="26" t="n">
        <x:v>8</x:v>
      </x:c>
      <x:c r="X38" s="26" t="n">
        <x:v>0</x:v>
      </x:c>
      <x:c r="Y38" s="26" t="n">
        <x:v>62</x:v>
      </x:c>
      <x:c r="Z38" s="26" t="n">
        <x:v>0</x:v>
      </x:c>
      <x:c r="AA38" s="26" t="n">
        <x:v>62</x:v>
      </x:c>
      <x:c r="AB38" s="38" t="n">
        <x:v>0</x:v>
      </x:c>
      <x:c r="AC38" s="26" t="str">
        <x:v>Committed / Not Delivered</x:v>
      </x:c>
      <x:c r="AD38" s="26" t="str">
        <x:v>Approval not recorded in response</x:v>
      </x:c>
      <x:c r="AE38" s="27" t="b">
        <x:v>1</x:v>
      </x:c>
      <x:c r="AF38" s="34" t="n">
        <x:v>46220.01421296296</x:v>
      </x:c>
      <x:c r="AG38" s="34"/>
      <x:c r="AH38" s="26" t="str">
        <x:v>Fully enriched from attached Mulugu project JSON</x:v>
      </x:c>
      <x:c r="AI38" s="26" t="str"/>
      <x:c r="AJ38" s="26" t="str">
        <x:v>Not Started</x:v>
      </x:c>
      <x:c r="AK38" s="26" t="str"/>
      <x:c r="AL38" s="26" t="str"/>
    </x:row>
    <x:row r="39">
      <x:c r="A39" s="26" t="n">
        <x:v>36</x:v>
      </x:c>
      <x:c r="B39" s="26" t="n">
        <x:v>256</x:v>
      </x:c>
      <x:c r="C39" s="26" t="str">
        <x:v>Mulugu</x:v>
      </x:c>
      <x:c r="D39" s="26" t="str">
        <x:v>Telangana</x:v>
      </x:c>
      <x:c r="E39" s="26" t="n">
        <x:v>10856</x:v>
      </x:c>
      <x:c r="F39" s="26" t="str">
        <x:v>PRJ-2026-0010856</x:v>
      </x:c>
      <x:c r="G39" s="26" t="str">
        <x:v>AWC Infrastructure</x:v>
      </x:c>
      <x:c r="H39" s="26" t="str">
        <x:v>Mission Saksham Anganwadi &amp; POSHAN 2.0</x:v>
      </x:c>
      <x:c r="I39" s="32" t="n">
        <x:v>46164</x:v>
      </x:c>
      <x:c r="J39" s="32" t="n">
        <x:v>46348</x:v>
      </x:c>
      <x:c r="K39" s="32"/>
      <x:c r="L39" s="26" t="str">
        <x:v>Active: On/After 01-Aug-2026</x:v>
      </x:c>
      <x:c r="M39" s="26" t="str">
        <x:v>Complex</x:v>
      </x:c>
      <x:c r="N39" s="26" t="str">
        <x:v>Civil Infrastructure=Complex</x:v>
      </x:c>
      <x:c r="O39" s="26" t="n">
        <x:v>1</x:v>
      </x:c>
      <x:c r="P39" s="26" t="str">
        <x:v>Arunachalapuram (36701040324)</x:v>
      </x:c>
      <x:c r="Q39" s="26" t="str">
        <x:v>36701040324</x:v>
      </x:c>
      <x:c r="R39" s="26" t="n">
        <x:v>30</x:v>
      </x:c>
      <x:c r="S39" s="36" t="n">
        <x:v>50000</x:v>
      </x:c>
      <x:c r="T39" s="26" t="str">
        <x:v>BaLA paintings	Gas stove, regulator 	Water Filter	Play Area		Digital GMD	Rain Water Harvesting System	Poshan Vatika		Kitchen Construction
</x:v>
      </x:c>
      <x:c r="U39" s="26" t="str">
        <x:v>BaLA paintings	Gas stove, regulator 	Water Filter	Play Area		Digital GMD	Rain Water Harvesting System	Poshan Vatika		Kitchen Construction
</x:v>
      </x:c>
      <x:c r="V39" s="27" t="b">
        <x:v>0</x:v>
      </x:c>
      <x:c r="W39" s="26" t="n">
        <x:v>2</x:v>
      </x:c>
      <x:c r="X39" s="26" t="n">
        <x:v>0</x:v>
      </x:c>
      <x:c r="Y39" s="26" t="n">
        <x:v>2</x:v>
      </x:c>
      <x:c r="Z39" s="26" t="n">
        <x:v>0</x:v>
      </x:c>
      <x:c r="AA39" s="26" t="n">
        <x:v>2</x:v>
      </x:c>
      <x:c r="AB39" s="38" t="n">
        <x:v>0</x:v>
      </x:c>
      <x:c r="AC39" s="26" t="str">
        <x:v>Committed / Not Delivered</x:v>
      </x:c>
      <x:c r="AD39" s="26" t="str">
        <x:v>Approval not recorded in response</x:v>
      </x:c>
      <x:c r="AE39" s="27" t="b">
        <x:v>1</x:v>
      </x:c>
      <x:c r="AF39" s="34" t="n">
        <x:v>46220.01420138889</x:v>
      </x:c>
      <x:c r="AG39" s="34"/>
      <x:c r="AH39" s="26" t="str">
        <x:v>Fully enriched from attached Mulugu project JSON</x:v>
      </x:c>
      <x:c r="AI39" s="26" t="str"/>
      <x:c r="AJ39" s="26" t="str">
        <x:v>Not Started</x:v>
      </x:c>
      <x:c r="AK39" s="26" t="str"/>
      <x:c r="AL39" s="26" t="str"/>
    </x:row>
    <x:row r="40">
      <x:c r="A40" s="26" t="n">
        <x:v>37</x:v>
      </x:c>
      <x:c r="B40" s="26" t="n">
        <x:v>255</x:v>
      </x:c>
      <x:c r="C40" s="26" t="str">
        <x:v>Kumuram Bheem Asifabad</x:v>
      </x:c>
      <x:c r="D40" s="26" t="str">
        <x:v>Telangana</x:v>
      </x:c>
      <x:c r="E40" s="26" t="n">
        <x:v>9927</x:v>
      </x:c>
      <x:c r="F40" s="26" t="str">
        <x:v>PRJ-2026-0009927</x:v>
      </x:c>
      <x:c r="G40" s="26" t="str">
        <x:v>Rain Water Harvesting System : Water Filter Kitchen Construction : Poshan Vatika  kitchen Shelves : Gas stove, regulator : Solar Panel : Civil Repair : Toilet</x:v>
      </x:c>
      <x:c r="H40" s="26" t="str">
        <x:v>Mission Saksham Anganwadi &amp; POSHAN 2.0</x:v>
      </x:c>
      <x:c r="I40" s="32" t="n">
        <x:v>46164</x:v>
      </x:c>
      <x:c r="J40" s="32" t="n">
        <x:v>46255</x:v>
      </x:c>
      <x:c r="K40" s="32"/>
      <x:c r="L40" s="26" t="str">
        <x:v>Active: On/After 01-Aug-2026</x:v>
      </x:c>
      <x:c r="M40" s="26" t="str">
        <x:v>Pending Mapping</x:v>
      </x:c>
      <x:c r="N40" s="26" t="str">
        <x:v>Original project JSON not available</x:v>
      </x:c>
      <x:c r="O40" s="26"/>
      <x:c r="P40" s="26" t="str"/>
      <x:c r="Q40" s="26" t="str"/>
      <x:c r="R40" s="26"/>
      <x:c r="S40" s="36"/>
      <x:c r="T40" s="26"/>
      <x:c r="U40" s="26"/>
      <x:c r="V40" s="26"/>
      <x:c r="W40" s="26" t="n">
        <x:v>4</x:v>
      </x:c>
      <x:c r="X40" s="26" t="n">
        <x:v>0</x:v>
      </x:c>
      <x:c r="Y40" s="26" t="n">
        <x:v>4</x:v>
      </x:c>
      <x:c r="Z40" s="26" t="n">
        <x:v>0</x:v>
      </x:c>
      <x:c r="AA40" s="26" t="n">
        <x:v>4</x:v>
      </x:c>
      <x:c r="AB40" s="38" t="n">
        <x:v>0</x:v>
      </x:c>
      <x:c r="AC40" s="26" t="str">
        <x:v>Committed / Not Delivered</x:v>
      </x:c>
      <x:c r="AD40" s="26" t="str">
        <x:v>Approval not recorded in response</x:v>
      </x:c>
      <x:c r="AE40" s="27" t="b">
        <x:v>1</x:v>
      </x:c>
      <x:c r="AF40" s="34" t="n">
        <x:v>46220.000069444446</x:v>
      </x:c>
      <x:c r="AG40" s="34"/>
      <x:c r="AH40" s="26" t="str">
        <x:v>Contribution API fields only; original project JSON needed for line-item names/centres/category</x:v>
      </x:c>
      <x:c r="AI40" s="26" t="str"/>
      <x:c r="AJ40" s="26" t="str">
        <x:v>Not Started</x:v>
      </x:c>
      <x:c r="AK40" s="26" t="str"/>
      <x:c r="AL40" s="26" t="str"/>
    </x:row>
    <x:row r="41">
      <x:c r="A41" s="26" t="n">
        <x:v>40</x:v>
      </x:c>
      <x:c r="B41" s="26" t="n">
        <x:v>253</x:v>
      </x:c>
      <x:c r="C41" s="26" t="str">
        <x:v>Kumuram Bheem Asifabad</x:v>
      </x:c>
      <x:c r="D41" s="26" t="str">
        <x:v>Telangana</x:v>
      </x:c>
      <x:c r="E41" s="26" t="n">
        <x:v>9960</x:v>
      </x:c>
      <x:c r="F41" s="26" t="str">
        <x:v>PRJ-2026-0009960</x:v>
      </x:c>
      <x:c r="G41" s="26" t="str">
        <x:v>Rain Water Harvesting System : Water Filter Kitchen Construction : Poshan Vatika  kitchen Shelves : Gas stove, regulator : Solar Panel : Civil Repair : Toilet</x:v>
      </x:c>
      <x:c r="H41" s="26" t="str">
        <x:v>Mission Saksham Anganwadi &amp; POSHAN 2.0</x:v>
      </x:c>
      <x:c r="I41" s="32" t="n">
        <x:v>46164</x:v>
      </x:c>
      <x:c r="J41" s="32" t="n">
        <x:v>46255</x:v>
      </x:c>
      <x:c r="K41" s="32"/>
      <x:c r="L41" s="26" t="str">
        <x:v>Active: On/After 01-Aug-2026</x:v>
      </x:c>
      <x:c r="M41" s="26" t="str">
        <x:v>Pending Mapping</x:v>
      </x:c>
      <x:c r="N41" s="26" t="str">
        <x:v>Original project JSON not available</x:v>
      </x:c>
      <x:c r="O41" s="26"/>
      <x:c r="P41" s="26" t="str"/>
      <x:c r="Q41" s="26" t="str"/>
      <x:c r="R41" s="26"/>
      <x:c r="S41" s="36"/>
      <x:c r="T41" s="26"/>
      <x:c r="U41" s="26"/>
      <x:c r="V41" s="26"/>
      <x:c r="W41" s="26" t="n">
        <x:v>4</x:v>
      </x:c>
      <x:c r="X41" s="26" t="n">
        <x:v>0</x:v>
      </x:c>
      <x:c r="Y41" s="26" t="n">
        <x:v>4</x:v>
      </x:c>
      <x:c r="Z41" s="26" t="n">
        <x:v>0</x:v>
      </x:c>
      <x:c r="AA41" s="26" t="n">
        <x:v>4</x:v>
      </x:c>
      <x:c r="AB41" s="38" t="n">
        <x:v>0</x:v>
      </x:c>
      <x:c r="AC41" s="26" t="str">
        <x:v>Committed / Not Delivered</x:v>
      </x:c>
      <x:c r="AD41" s="26" t="str">
        <x:v>Approval not recorded in response</x:v>
      </x:c>
      <x:c r="AE41" s="27" t="b">
        <x:v>1</x:v>
      </x:c>
      <x:c r="AF41" s="34" t="n">
        <x:v>46220.0000462963</x:v>
      </x:c>
      <x:c r="AG41" s="34"/>
      <x:c r="AH41" s="26" t="str">
        <x:v>Contribution API fields only; original project JSON needed for line-item names/centres/category</x:v>
      </x:c>
      <x:c r="AI41" s="26" t="str"/>
      <x:c r="AJ41" s="26" t="str">
        <x:v>Not Started</x:v>
      </x:c>
      <x:c r="AK41" s="26" t="str"/>
      <x:c r="AL41" s="26" t="str"/>
    </x:row>
    <x:row r="42">
      <x:c r="A42" s="26" t="n">
        <x:v>42</x:v>
      </x:c>
      <x:c r="B42" s="26" t="n">
        <x:v>251</x:v>
      </x:c>
      <x:c r="C42" s="26" t="str">
        <x:v>Kumuram Bheem Asifabad</x:v>
      </x:c>
      <x:c r="D42" s="26" t="str">
        <x:v>Telangana</x:v>
      </x:c>
      <x:c r="E42" s="26" t="n">
        <x:v>9991</x:v>
      </x:c>
      <x:c r="F42" s="26" t="str">
        <x:v>PRJ-2026-0009991</x:v>
      </x:c>
      <x:c r="G42" s="26" t="str">
        <x:v>Rain Water Harvesting System : Water Filter Kitchen Construction : Poshan Vatika  kitchen Shelves : Gas stove, regulator : Solar Panel : Civil Repair : Toilet</x:v>
      </x:c>
      <x:c r="H42" s="26" t="str">
        <x:v>Mission Saksham Anganwadi &amp; POSHAN 2.0</x:v>
      </x:c>
      <x:c r="I42" s="32" t="n">
        <x:v>46164</x:v>
      </x:c>
      <x:c r="J42" s="32" t="n">
        <x:v>46255</x:v>
      </x:c>
      <x:c r="K42" s="32"/>
      <x:c r="L42" s="26" t="str">
        <x:v>Active: On/After 01-Aug-2026</x:v>
      </x:c>
      <x:c r="M42" s="26" t="str">
        <x:v>Pending Mapping</x:v>
      </x:c>
      <x:c r="N42" s="26" t="str">
        <x:v>Original project JSON not available</x:v>
      </x:c>
      <x:c r="O42" s="26"/>
      <x:c r="P42" s="26" t="str"/>
      <x:c r="Q42" s="26" t="str"/>
      <x:c r="R42" s="26"/>
      <x:c r="S42" s="36"/>
      <x:c r="T42" s="26"/>
      <x:c r="U42" s="26"/>
      <x:c r="V42" s="26"/>
      <x:c r="W42" s="26" t="n">
        <x:v>4</x:v>
      </x:c>
      <x:c r="X42" s="26" t="n">
        <x:v>0</x:v>
      </x:c>
      <x:c r="Y42" s="26" t="n">
        <x:v>4</x:v>
      </x:c>
      <x:c r="Z42" s="26" t="n">
        <x:v>0</x:v>
      </x:c>
      <x:c r="AA42" s="26" t="n">
        <x:v>4</x:v>
      </x:c>
      <x:c r="AB42" s="38" t="n">
        <x:v>0</x:v>
      </x:c>
      <x:c r="AC42" s="26" t="str">
        <x:v>Committed / Not Delivered</x:v>
      </x:c>
      <x:c r="AD42" s="26" t="str">
        <x:v>Approval not recorded in response</x:v>
      </x:c>
      <x:c r="AE42" s="27" t="b">
        <x:v>1</x:v>
      </x:c>
      <x:c r="AF42" s="34" t="n">
        <x:v>46220.00003472222</x:v>
      </x:c>
      <x:c r="AG42" s="34"/>
      <x:c r="AH42" s="26" t="str">
        <x:v>Contribution API fields only; original project JSON needed for line-item names/centres/category</x:v>
      </x:c>
      <x:c r="AI42" s="26" t="str"/>
      <x:c r="AJ42" s="26" t="str">
        <x:v>Not Started</x:v>
      </x:c>
      <x:c r="AK42" s="26" t="str"/>
      <x:c r="AL42" s="26" t="str"/>
    </x:row>
    <x:row r="43">
      <x:c r="A43" s="26" t="n">
        <x:v>43</x:v>
      </x:c>
      <x:c r="B43" s="26" t="n">
        <x:v>249</x:v>
      </x:c>
      <x:c r="C43" s="26" t="str">
        <x:v>Kumuram Bheem Asifabad</x:v>
      </x:c>
      <x:c r="D43" s="26" t="str">
        <x:v>Telangana</x:v>
      </x:c>
      <x:c r="E43" s="26" t="n">
        <x:v>10024</x:v>
      </x:c>
      <x:c r="F43" s="26" t="str">
        <x:v>PRJ-2026-0010024</x:v>
      </x:c>
      <x:c r="G43" s="26" t="str">
        <x:v>Rain Water Harvesting System : Water Filter Kitchen Construction : Poshan Vatika  kitchen Shelves : Gas stove, regulator : Solar Panel : Civil Repair : Toilet</x:v>
      </x:c>
      <x:c r="H43" s="26" t="str">
        <x:v>Mission Saksham Anganwadi &amp; POSHAN 2.0</x:v>
      </x:c>
      <x:c r="I43" s="32" t="n">
        <x:v>46164</x:v>
      </x:c>
      <x:c r="J43" s="32" t="n">
        <x:v>46255</x:v>
      </x:c>
      <x:c r="K43" s="32"/>
      <x:c r="L43" s="26" t="str">
        <x:v>Active: On/After 01-Aug-2026</x:v>
      </x:c>
      <x:c r="M43" s="26" t="str">
        <x:v>Pending Mapping</x:v>
      </x:c>
      <x:c r="N43" s="26" t="str">
        <x:v>Original project JSON not available</x:v>
      </x:c>
      <x:c r="O43" s="26"/>
      <x:c r="P43" s="26" t="str"/>
      <x:c r="Q43" s="26" t="str"/>
      <x:c r="R43" s="26"/>
      <x:c r="S43" s="36"/>
      <x:c r="T43" s="26"/>
      <x:c r="U43" s="26"/>
      <x:c r="V43" s="26"/>
      <x:c r="W43" s="26" t="n">
        <x:v>4</x:v>
      </x:c>
      <x:c r="X43" s="26" t="n">
        <x:v>0</x:v>
      </x:c>
      <x:c r="Y43" s="26" t="n">
        <x:v>4</x:v>
      </x:c>
      <x:c r="Z43" s="26" t="n">
        <x:v>0</x:v>
      </x:c>
      <x:c r="AA43" s="26" t="n">
        <x:v>4</x:v>
      </x:c>
      <x:c r="AB43" s="38" t="n">
        <x:v>0</x:v>
      </x:c>
      <x:c r="AC43" s="26" t="str">
        <x:v>Committed / Not Delivered</x:v>
      </x:c>
      <x:c r="AD43" s="26" t="str">
        <x:v>Approval not recorded in response</x:v>
      </x:c>
      <x:c r="AE43" s="27" t="b">
        <x:v>1</x:v>
      </x:c>
      <x:c r="AF43" s="34" t="n">
        <x:v>46220.000023148146</x:v>
      </x:c>
      <x:c r="AG43" s="34"/>
      <x:c r="AH43" s="26" t="str">
        <x:v>Contribution API fields only; original project JSON needed for line-item names/centres/category</x:v>
      </x:c>
      <x:c r="AI43" s="26" t="str"/>
      <x:c r="AJ43" s="26" t="str">
        <x:v>Not Started</x:v>
      </x:c>
      <x:c r="AK43" s="26" t="str"/>
      <x:c r="AL43" s="26" t="str"/>
    </x:row>
    <x:row r="44">
      <x:c r="A44" s="26" t="n">
        <x:v>45</x:v>
      </x:c>
      <x:c r="B44" s="26" t="n">
        <x:v>246</x:v>
      </x:c>
      <x:c r="C44" s="26" t="str">
        <x:v>Kumuram Bheem Asifabad</x:v>
      </x:c>
      <x:c r="D44" s="26" t="str">
        <x:v>Telangana</x:v>
      </x:c>
      <x:c r="E44" s="26" t="n">
        <x:v>10089</x:v>
      </x:c>
      <x:c r="F44" s="26" t="str">
        <x:v>PRJ-2026-0010089</x:v>
      </x:c>
      <x:c r="G44" s="26" t="str">
        <x:v>Rain Water Harvesting System : Water Filter Kitchen Construction : Poshan Vatika  kitchen Shelves : Gas stove, regulator : Solar Panel : Civil Repair : Toilet</x:v>
      </x:c>
      <x:c r="H44" s="26" t="str">
        <x:v>Mission Saksham Anganwadi &amp; POSHAN 2.0</x:v>
      </x:c>
      <x:c r="I44" s="32" t="n">
        <x:v>46164</x:v>
      </x:c>
      <x:c r="J44" s="32" t="n">
        <x:v>46255</x:v>
      </x:c>
      <x:c r="K44" s="32"/>
      <x:c r="L44" s="26" t="str">
        <x:v>Active: On/After 01-Aug-2026</x:v>
      </x:c>
      <x:c r="M44" s="26" t="str">
        <x:v>Pending Mapping</x:v>
      </x:c>
      <x:c r="N44" s="26" t="str">
        <x:v>Original project JSON not available</x:v>
      </x:c>
      <x:c r="O44" s="26"/>
      <x:c r="P44" s="26" t="str"/>
      <x:c r="Q44" s="26" t="str"/>
      <x:c r="R44" s="26"/>
      <x:c r="S44" s="36"/>
      <x:c r="T44" s="26"/>
      <x:c r="U44" s="26"/>
      <x:c r="V44" s="26"/>
      <x:c r="W44" s="26" t="n">
        <x:v>4</x:v>
      </x:c>
      <x:c r="X44" s="26" t="n">
        <x:v>0</x:v>
      </x:c>
      <x:c r="Y44" s="26" t="n">
        <x:v>4</x:v>
      </x:c>
      <x:c r="Z44" s="26" t="n">
        <x:v>0</x:v>
      </x:c>
      <x:c r="AA44" s="26" t="n">
        <x:v>4</x:v>
      </x:c>
      <x:c r="AB44" s="38" t="n">
        <x:v>0</x:v>
      </x:c>
      <x:c r="AC44" s="26" t="str">
        <x:v>Committed / Not Delivered</x:v>
      </x:c>
      <x:c r="AD44" s="26" t="str">
        <x:v>Approval not recorded in response</x:v>
      </x:c>
      <x:c r="AE44" s="27" t="b">
        <x:v>1</x:v>
      </x:c>
      <x:c r="AF44" s="34" t="n">
        <x:v>46220</x:v>
      </x:c>
      <x:c r="AG44" s="34"/>
      <x:c r="AH44" s="26" t="str">
        <x:v>Contribution API fields only; original project JSON needed for line-item names/centres/category</x:v>
      </x:c>
      <x:c r="AI44" s="26" t="str"/>
      <x:c r="AJ44" s="26" t="str">
        <x:v>Not Started</x:v>
      </x:c>
      <x:c r="AK44" s="26" t="str"/>
      <x:c r="AL44" s="26" t="str"/>
    </x:row>
    <x:row r="45">
      <x:c r="A45" s="26" t="n">
        <x:v>46</x:v>
      </x:c>
      <x:c r="B45" s="26" t="n">
        <x:v>247</x:v>
      </x:c>
      <x:c r="C45" s="26" t="str">
        <x:v>Kumuram Bheem Asifabad</x:v>
      </x:c>
      <x:c r="D45" s="26" t="str">
        <x:v>Telangana</x:v>
      </x:c>
      <x:c r="E45" s="26" t="n">
        <x:v>10055</x:v>
      </x:c>
      <x:c r="F45" s="26" t="str">
        <x:v>PRJ-2026-0010055</x:v>
      </x:c>
      <x:c r="G45" s="26" t="str">
        <x:v>Rain Water Harvesting System : Water Filter Kitchen Construction : Poshan Vatika  kitchen Shelves : Gas stove, regulator : Solar Panel : Civil Repair : Toilet</x:v>
      </x:c>
      <x:c r="H45" s="26" t="str">
        <x:v>Mission Saksham Anganwadi &amp; POSHAN 2.0</x:v>
      </x:c>
      <x:c r="I45" s="32" t="n">
        <x:v>46164</x:v>
      </x:c>
      <x:c r="J45" s="32" t="n">
        <x:v>46256</x:v>
      </x:c>
      <x:c r="K45" s="32"/>
      <x:c r="L45" s="26" t="str">
        <x:v>Active: On/After 01-Aug-2026</x:v>
      </x:c>
      <x:c r="M45" s="26" t="str">
        <x:v>Pending Mapping</x:v>
      </x:c>
      <x:c r="N45" s="26" t="str">
        <x:v>Original project JSON not available</x:v>
      </x:c>
      <x:c r="O45" s="26"/>
      <x:c r="P45" s="26" t="str"/>
      <x:c r="Q45" s="26" t="str"/>
      <x:c r="R45" s="26"/>
      <x:c r="S45" s="36"/>
      <x:c r="T45" s="26"/>
      <x:c r="U45" s="26"/>
      <x:c r="V45" s="26"/>
      <x:c r="W45" s="26" t="n">
        <x:v>4</x:v>
      </x:c>
      <x:c r="X45" s="26" t="n">
        <x:v>0</x:v>
      </x:c>
      <x:c r="Y45" s="26" t="n">
        <x:v>4</x:v>
      </x:c>
      <x:c r="Z45" s="26" t="n">
        <x:v>0</x:v>
      </x:c>
      <x:c r="AA45" s="26" t="n">
        <x:v>4</x:v>
      </x:c>
      <x:c r="AB45" s="38" t="n">
        <x:v>0</x:v>
      </x:c>
      <x:c r="AC45" s="26" t="str">
        <x:v>Committed / Not Delivered</x:v>
      </x:c>
      <x:c r="AD45" s="26" t="str">
        <x:v>Approval not recorded in response</x:v>
      </x:c>
      <x:c r="AE45" s="27" t="b">
        <x:v>1</x:v>
      </x:c>
      <x:c r="AF45" s="34" t="n">
        <x:v>46220</x:v>
      </x:c>
      <x:c r="AG45" s="34"/>
      <x:c r="AH45" s="26" t="str">
        <x:v>Contribution API fields only; original project JSON needed for line-item names/centres/category</x:v>
      </x:c>
      <x:c r="AI45" s="26" t="str"/>
      <x:c r="AJ45" s="26" t="str">
        <x:v>Not Started</x:v>
      </x:c>
      <x:c r="AK45" s="26" t="str"/>
      <x:c r="AL45" s="26" t="str"/>
    </x:row>
    <x:row r="46">
      <x:c r="A46" s="26" t="n">
        <x:v>48</x:v>
      </x:c>
      <x:c r="B46" s="26" t="n">
        <x:v>244</x:v>
      </x:c>
      <x:c r="C46" s="26" t="str">
        <x:v>Kumuram Bheem Asifabad</x:v>
      </x:c>
      <x:c r="D46" s="26" t="str">
        <x:v>Telangana</x:v>
      </x:c>
      <x:c r="E46" s="26" t="n">
        <x:v>10113</x:v>
      </x:c>
      <x:c r="F46" s="26" t="str">
        <x:v>PRJ-2026-0010113</x:v>
      </x:c>
      <x:c r="G46" s="26" t="str">
        <x:v>Rain Water Harvesting System : Water Filter Kitchen Construction : Poshan Vatika  kitchen Shelves : Gas stove, regulator : Solar Panel : Civil Repair : Toilet</x:v>
      </x:c>
      <x:c r="H46" s="26" t="str">
        <x:v>Mission Saksham Anganwadi &amp; POSHAN 2.0</x:v>
      </x:c>
      <x:c r="I46" s="32" t="n">
        <x:v>46164</x:v>
      </x:c>
      <x:c r="J46" s="32" t="n">
        <x:v>46255</x:v>
      </x:c>
      <x:c r="K46" s="32"/>
      <x:c r="L46" s="26" t="str">
        <x:v>Active: On/After 01-Aug-2026</x:v>
      </x:c>
      <x:c r="M46" s="26" t="str">
        <x:v>Pending Mapping</x:v>
      </x:c>
      <x:c r="N46" s="26" t="str">
        <x:v>Original project JSON not available</x:v>
      </x:c>
      <x:c r="O46" s="26"/>
      <x:c r="P46" s="26" t="str"/>
      <x:c r="Q46" s="26" t="str"/>
      <x:c r="R46" s="26"/>
      <x:c r="S46" s="36"/>
      <x:c r="T46" s="26"/>
      <x:c r="U46" s="26"/>
      <x:c r="V46" s="26"/>
      <x:c r="W46" s="26" t="n">
        <x:v>4</x:v>
      </x:c>
      <x:c r="X46" s="26" t="n">
        <x:v>0</x:v>
      </x:c>
      <x:c r="Y46" s="26" t="n">
        <x:v>4</x:v>
      </x:c>
      <x:c r="Z46" s="26" t="n">
        <x:v>0</x:v>
      </x:c>
      <x:c r="AA46" s="26" t="n">
        <x:v>4</x:v>
      </x:c>
      <x:c r="AB46" s="38" t="n">
        <x:v>0</x:v>
      </x:c>
      <x:c r="AC46" s="26" t="str">
        <x:v>Committed / Not Delivered</x:v>
      </x:c>
      <x:c r="AD46" s="26" t="str">
        <x:v>Approval not recorded in response</x:v>
      </x:c>
      <x:c r="AE46" s="27" t="b">
        <x:v>1</x:v>
      </x:c>
      <x:c r="AF46" s="34" t="n">
        <x:v>46219.999976851854</x:v>
      </x:c>
      <x:c r="AG46" s="34"/>
      <x:c r="AH46" s="26" t="str">
        <x:v>Contribution API fields only; original project JSON needed for line-item names/centres/category</x:v>
      </x:c>
      <x:c r="AI46" s="26" t="str"/>
      <x:c r="AJ46" s="26" t="str">
        <x:v>Not Started</x:v>
      </x:c>
      <x:c r="AK46" s="26" t="str"/>
      <x:c r="AL46" s="26" t="str"/>
    </x:row>
    <x:row r="47">
      <x:c r="A47" s="26" t="n">
        <x:v>49</x:v>
      </x:c>
      <x:c r="B47" s="26" t="n">
        <x:v>242</x:v>
      </x:c>
      <x:c r="C47" s="26" t="str">
        <x:v>Kumuram Bheem Asifabad</x:v>
      </x:c>
      <x:c r="D47" s="26" t="str">
        <x:v>Telangana</x:v>
      </x:c>
      <x:c r="E47" s="26" t="n">
        <x:v>10141</x:v>
      </x:c>
      <x:c r="F47" s="26" t="str">
        <x:v>PRJ-2026-0010141</x:v>
      </x:c>
      <x:c r="G47" s="26" t="str">
        <x:v>Rain Water Harvesting System : Water Filter Kitchen Construction : Poshan Vatika  kitchen Shelves : Gas stove, regulator : Solar Panel : Civil Repair : Toilet</x:v>
      </x:c>
      <x:c r="H47" s="26" t="str">
        <x:v>Mission Saksham Anganwadi &amp; POSHAN 2.0</x:v>
      </x:c>
      <x:c r="I47" s="32" t="n">
        <x:v>46164</x:v>
      </x:c>
      <x:c r="J47" s="32" t="n">
        <x:v>46255</x:v>
      </x:c>
      <x:c r="K47" s="32"/>
      <x:c r="L47" s="26" t="str">
        <x:v>Active: On/After 01-Aug-2026</x:v>
      </x:c>
      <x:c r="M47" s="26" t="str">
        <x:v>Pending Mapping</x:v>
      </x:c>
      <x:c r="N47" s="26" t="str">
        <x:v>Original project JSON not available</x:v>
      </x:c>
      <x:c r="O47" s="26"/>
      <x:c r="P47" s="26" t="str"/>
      <x:c r="Q47" s="26" t="str"/>
      <x:c r="R47" s="26"/>
      <x:c r="S47" s="36"/>
      <x:c r="T47" s="26"/>
      <x:c r="U47" s="26"/>
      <x:c r="V47" s="26"/>
      <x:c r="W47" s="26" t="n">
        <x:v>4</x:v>
      </x:c>
      <x:c r="X47" s="26" t="n">
        <x:v>0</x:v>
      </x:c>
      <x:c r="Y47" s="26" t="n">
        <x:v>4</x:v>
      </x:c>
      <x:c r="Z47" s="26" t="n">
        <x:v>0</x:v>
      </x:c>
      <x:c r="AA47" s="26" t="n">
        <x:v>4</x:v>
      </x:c>
      <x:c r="AB47" s="38" t="n">
        <x:v>0</x:v>
      </x:c>
      <x:c r="AC47" s="26" t="str">
        <x:v>Committed / Not Delivered</x:v>
      </x:c>
      <x:c r="AD47" s="26" t="str">
        <x:v>Approval not recorded in response</x:v>
      </x:c>
      <x:c r="AE47" s="27" t="b">
        <x:v>1</x:v>
      </x:c>
      <x:c r="AF47" s="34" t="n">
        <x:v>46219.99996527778</x:v>
      </x:c>
      <x:c r="AG47" s="34"/>
      <x:c r="AH47" s="26" t="str">
        <x:v>Contribution API fields only; original project JSON needed for line-item names/centres/category</x:v>
      </x:c>
      <x:c r="AI47" s="26" t="str"/>
      <x:c r="AJ47" s="26" t="str">
        <x:v>Not Started</x:v>
      </x:c>
      <x:c r="AK47" s="26" t="str"/>
      <x:c r="AL47" s="26" t="str"/>
    </x:row>
    <x:row r="48">
      <x:c r="A48" s="26" t="n">
        <x:v>51</x:v>
      </x:c>
      <x:c r="B48" s="26" t="n">
        <x:v>241</x:v>
      </x:c>
      <x:c r="C48" s="26" t="str">
        <x:v>Kumuram Bheem Asifabad</x:v>
      </x:c>
      <x:c r="D48" s="26" t="str">
        <x:v>Telangana</x:v>
      </x:c>
      <x:c r="E48" s="26" t="n">
        <x:v>11148</x:v>
      </x:c>
      <x:c r="F48" s="26" t="str">
        <x:v>PRJ-2026-0011148</x:v>
      </x:c>
      <x:c r="G48" s="26" t="str">
        <x:v>Water filter, ECCE metirial </x:v>
      </x:c>
      <x:c r="H48" s="26" t="str">
        <x:v>Mission Saksham Anganwadi &amp; POSHAN 2.0</x:v>
      </x:c>
      <x:c r="I48" s="32" t="n">
        <x:v>46164</x:v>
      </x:c>
      <x:c r="J48" s="32" t="n">
        <x:v>46265</x:v>
      </x:c>
      <x:c r="K48" s="32"/>
      <x:c r="L48" s="26" t="str">
        <x:v>Active: On/After 01-Aug-2026</x:v>
      </x:c>
      <x:c r="M48" s="26" t="str">
        <x:v>Pending Mapping</x:v>
      </x:c>
      <x:c r="N48" s="26" t="str">
        <x:v>Original project JSON not available</x:v>
      </x:c>
      <x:c r="O48" s="26"/>
      <x:c r="P48" s="26" t="str"/>
      <x:c r="Q48" s="26" t="str"/>
      <x:c r="R48" s="26"/>
      <x:c r="S48" s="36"/>
      <x:c r="T48" s="26"/>
      <x:c r="U48" s="26"/>
      <x:c r="V48" s="26"/>
      <x:c r="W48" s="26" t="n">
        <x:v>6</x:v>
      </x:c>
      <x:c r="X48" s="26" t="n">
        <x:v>0</x:v>
      </x:c>
      <x:c r="Y48" s="26" t="n">
        <x:v>12</x:v>
      </x:c>
      <x:c r="Z48" s="26" t="n">
        <x:v>0</x:v>
      </x:c>
      <x:c r="AA48" s="26" t="n">
        <x:v>12</x:v>
      </x:c>
      <x:c r="AB48" s="38" t="n">
        <x:v>0</x:v>
      </x:c>
      <x:c r="AC48" s="26" t="str">
        <x:v>Committed / Not Delivered</x:v>
      </x:c>
      <x:c r="AD48" s="26" t="str">
        <x:v>Approval not recorded in response</x:v>
      </x:c>
      <x:c r="AE48" s="27" t="b">
        <x:v>1</x:v>
      </x:c>
      <x:c r="AF48" s="34" t="n">
        <x:v>46219.9999537037</x:v>
      </x:c>
      <x:c r="AG48" s="34"/>
      <x:c r="AH48" s="26" t="str">
        <x:v>Contribution API fields only; original project JSON needed for line-item names/centres/category</x:v>
      </x:c>
      <x:c r="AI48" s="26" t="str"/>
      <x:c r="AJ48" s="26" t="str">
        <x:v>Not Started</x:v>
      </x:c>
      <x:c r="AK48" s="26" t="str"/>
      <x:c r="AL48" s="26" t="str"/>
    </x:row>
    <x:row r="49">
      <x:c r="A49" s="26" t="n">
        <x:v>54</x:v>
      </x:c>
      <x:c r="B49" s="26" t="n">
        <x:v>239</x:v>
      </x:c>
      <x:c r="C49" s="26" t="str">
        <x:v>Kumuram Bheem Asifabad</x:v>
      </x:c>
      <x:c r="D49" s="26" t="str">
        <x:v>Telangana</x:v>
      </x:c>
      <x:c r="E49" s="26" t="n">
        <x:v>8790</x:v>
      </x:c>
      <x:c r="F49" s="26" t="str">
        <x:v>PRJ-2026-0008790</x:v>
      </x:c>
      <x:c r="G49" s="26" t="str">
        <x:v>Rain Water Harvesting System : Water Filter Kitchen Construction : Poshan Vatika  kitchen Shelves : Gas stove, regulator : Solar Panel : Civil Repair : Toilet</x:v>
      </x:c>
      <x:c r="H49" s="26" t="str">
        <x:v>Mission Saksham Anganwadi &amp; POSHAN 2.0</x:v>
      </x:c>
      <x:c r="I49" s="32" t="n">
        <x:v>46165</x:v>
      </x:c>
      <x:c r="J49" s="32" t="n">
        <x:v>46255</x:v>
      </x:c>
      <x:c r="K49" s="32"/>
      <x:c r="L49" s="26" t="str">
        <x:v>Active: On/After 01-Aug-2026</x:v>
      </x:c>
      <x:c r="M49" s="26" t="str">
        <x:v>Pending Mapping</x:v>
      </x:c>
      <x:c r="N49" s="26" t="str">
        <x:v>Original project JSON not available</x:v>
      </x:c>
      <x:c r="O49" s="26"/>
      <x:c r="P49" s="26" t="str"/>
      <x:c r="Q49" s="26" t="str"/>
      <x:c r="R49" s="26"/>
      <x:c r="S49" s="36"/>
      <x:c r="T49" s="26"/>
      <x:c r="U49" s="26"/>
      <x:c r="V49" s="26"/>
      <x:c r="W49" s="26" t="n">
        <x:v>4</x:v>
      </x:c>
      <x:c r="X49" s="26" t="n">
        <x:v>0</x:v>
      </x:c>
      <x:c r="Y49" s="26" t="n">
        <x:v>4</x:v>
      </x:c>
      <x:c r="Z49" s="26" t="n">
        <x:v>0</x:v>
      </x:c>
      <x:c r="AA49" s="26" t="n">
        <x:v>4</x:v>
      </x:c>
      <x:c r="AB49" s="38" t="n">
        <x:v>0</x:v>
      </x:c>
      <x:c r="AC49" s="26" t="str">
        <x:v>Committed / Not Delivered</x:v>
      </x:c>
      <x:c r="AD49" s="26" t="str">
        <x:v>Approval not recorded in response</x:v>
      </x:c>
      <x:c r="AE49" s="27" t="b">
        <x:v>1</x:v>
      </x:c>
      <x:c r="AF49" s="34" t="n">
        <x:v>46219.85625</x:v>
      </x:c>
      <x:c r="AG49" s="34"/>
      <x:c r="AH49" s="26" t="str">
        <x:v>Contribution API fields only; original project JSON needed for line-item names/centres/category</x:v>
      </x:c>
      <x:c r="AI49" s="26" t="str"/>
      <x:c r="AJ49" s="26" t="str">
        <x:v>Not Started</x:v>
      </x:c>
      <x:c r="AK49" s="26" t="str"/>
      <x:c r="AL49" s="26" t="str"/>
    </x:row>
    <x:row r="50">
      <x:c r="A50" s="26" t="n">
        <x:v>55</x:v>
      </x:c>
      <x:c r="B50" s="26" t="n">
        <x:v>237</x:v>
      </x:c>
      <x:c r="C50" s="26" t="str">
        <x:v>Kumuram Bheem Asifabad</x:v>
      </x:c>
      <x:c r="D50" s="26" t="str">
        <x:v>Telangana</x:v>
      </x:c>
      <x:c r="E50" s="26" t="n">
        <x:v>10201</x:v>
      </x:c>
      <x:c r="F50" s="26" t="str">
        <x:v>PRJ-2026-0010201</x:v>
      </x:c>
      <x:c r="G50" s="26" t="str">
        <x:v>Rain Water Harvesting System : Water Filter Kitchen Construction : Poshan Vatika  kitchen Shelves : Gas stove, regulator : Solar Panel : Civil Repair : Toilet</x:v>
      </x:c>
      <x:c r="H50" s="26" t="str">
        <x:v>Mission Saksham Anganwadi &amp; POSHAN 2.0</x:v>
      </x:c>
      <x:c r="I50" s="32" t="n">
        <x:v>46164</x:v>
      </x:c>
      <x:c r="J50" s="32" t="n">
        <x:v>46255</x:v>
      </x:c>
      <x:c r="K50" s="32"/>
      <x:c r="L50" s="26" t="str">
        <x:v>Active: On/After 01-Aug-2026</x:v>
      </x:c>
      <x:c r="M50" s="26" t="str">
        <x:v>Pending Mapping</x:v>
      </x:c>
      <x:c r="N50" s="26" t="str">
        <x:v>Original project JSON not available</x:v>
      </x:c>
      <x:c r="O50" s="26"/>
      <x:c r="P50" s="26" t="str"/>
      <x:c r="Q50" s="26" t="str"/>
      <x:c r="R50" s="26"/>
      <x:c r="S50" s="36"/>
      <x:c r="T50" s="26"/>
      <x:c r="U50" s="26"/>
      <x:c r="V50" s="26"/>
      <x:c r="W50" s="26" t="n">
        <x:v>4</x:v>
      </x:c>
      <x:c r="X50" s="26" t="n">
        <x:v>0</x:v>
      </x:c>
      <x:c r="Y50" s="26" t="n">
        <x:v>4</x:v>
      </x:c>
      <x:c r="Z50" s="26" t="n">
        <x:v>0</x:v>
      </x:c>
      <x:c r="AA50" s="26" t="n">
        <x:v>4</x:v>
      </x:c>
      <x:c r="AB50" s="38" t="n">
        <x:v>0</x:v>
      </x:c>
      <x:c r="AC50" s="26" t="str">
        <x:v>Committed / Not Delivered</x:v>
      </x:c>
      <x:c r="AD50" s="26" t="str">
        <x:v>Approval not recorded in response</x:v>
      </x:c>
      <x:c r="AE50" s="27" t="b">
        <x:v>1</x:v>
      </x:c>
      <x:c r="AF50" s="34" t="n">
        <x:v>46219.85622685185</x:v>
      </x:c>
      <x:c r="AG50" s="34"/>
      <x:c r="AH50" s="26" t="str">
        <x:v>Contribution API fields only; original project JSON needed for line-item names/centres/category</x:v>
      </x:c>
      <x:c r="AI50" s="26" t="str"/>
      <x:c r="AJ50" s="26" t="str">
        <x:v>Not Started</x:v>
      </x:c>
      <x:c r="AK50" s="26" t="str"/>
      <x:c r="AL50" s="26" t="str"/>
    </x:row>
    <x:row r="51">
      <x:c r="A51" s="26" t="n">
        <x:v>56</x:v>
      </x:c>
      <x:c r="B51" s="26" t="n">
        <x:v>236</x:v>
      </x:c>
      <x:c r="C51" s="26" t="str">
        <x:v>Medak</x:v>
      </x:c>
      <x:c r="D51" s="26" t="str">
        <x:v>Telangana</x:v>
      </x:c>
      <x:c r="E51" s="26" t="n">
        <x:v>14755</x:v>
      </x:c>
      <x:c r="F51" s="26" t="str">
        <x:v>PRJ-2026-0014755</x:v>
      </x:c>
      <x:c r="G51" s="26" t="str">
        <x:v>AWC Upgradation Koppulapally Thanda</x:v>
      </x:c>
      <x:c r="H51" s="26" t="str">
        <x:v>Mission Saksham Anganwadi &amp; POSHAN 2.0</x:v>
      </x:c>
      <x:c r="I51" s="32" t="n">
        <x:v>46167</x:v>
      </x:c>
      <x:c r="J51" s="32" t="n">
        <x:v>46351</x:v>
      </x:c>
      <x:c r="K51" s="32"/>
      <x:c r="L51" s="26" t="str">
        <x:v>Active: On/After 01-Aug-2026</x:v>
      </x:c>
      <x:c r="M51" s="26" t="str">
        <x:v>Pending Mapping</x:v>
      </x:c>
      <x:c r="N51" s="26" t="str">
        <x:v>Original project JSON not available</x:v>
      </x:c>
      <x:c r="O51" s="26"/>
      <x:c r="P51" s="26" t="str"/>
      <x:c r="Q51" s="26" t="str"/>
      <x:c r="R51" s="26"/>
      <x:c r="S51" s="36"/>
      <x:c r="T51" s="26"/>
      <x:c r="U51" s="26"/>
      <x:c r="V51" s="26"/>
      <x:c r="W51" s="26" t="n">
        <x:v>5</x:v>
      </x:c>
      <x:c r="X51" s="26" t="n">
        <x:v>0</x:v>
      </x:c>
      <x:c r="Y51" s="26" t="n">
        <x:v>30</x:v>
      </x:c>
      <x:c r="Z51" s="26" t="n">
        <x:v>0</x:v>
      </x:c>
      <x:c r="AA51" s="26" t="n">
        <x:v>30</x:v>
      </x:c>
      <x:c r="AB51" s="38" t="n">
        <x:v>0</x:v>
      </x:c>
      <x:c r="AC51" s="26" t="str">
        <x:v>Committed / Not Delivered</x:v>
      </x:c>
      <x:c r="AD51" s="26" t="str">
        <x:v>Approval not recorded in response</x:v>
      </x:c>
      <x:c r="AE51" s="27" t="b">
        <x:v>1</x:v>
      </x:c>
      <x:c r="AF51" s="34" t="n">
        <x:v>46219.85320601852</x:v>
      </x:c>
      <x:c r="AG51" s="34"/>
      <x:c r="AH51" s="26" t="str">
        <x:v>Contribution API fields only; original project JSON needed for line-item names/centres/category</x:v>
      </x:c>
      <x:c r="AI51" s="26" t="str"/>
      <x:c r="AJ51" s="26" t="str">
        <x:v>Not Started</x:v>
      </x:c>
      <x:c r="AK51" s="26" t="str"/>
      <x:c r="AL51" s="26" t="str"/>
    </x:row>
    <x:row r="52">
      <x:c r="A52" s="26" t="n">
        <x:v>57</x:v>
      </x:c>
      <x:c r="B52" s="26" t="n">
        <x:v>234</x:v>
      </x:c>
      <x:c r="C52" s="26" t="str">
        <x:v>Medak</x:v>
      </x:c>
      <x:c r="D52" s="26" t="str">
        <x:v>Telangana</x:v>
      </x:c>
      <x:c r="E52" s="26" t="n">
        <x:v>14756</x:v>
      </x:c>
      <x:c r="F52" s="26" t="str">
        <x:v>PRJ-2026-0014756</x:v>
      </x:c>
      <x:c r="G52" s="26" t="str">
        <x:v>AWC Upgradation Station Masaipet </x:v>
      </x:c>
      <x:c r="H52" s="26" t="str">
        <x:v>Mission Saksham Anganwadi &amp; POSHAN 2.0</x:v>
      </x:c>
      <x:c r="I52" s="32" t="n">
        <x:v>46167</x:v>
      </x:c>
      <x:c r="J52" s="32" t="n">
        <x:v>46351</x:v>
      </x:c>
      <x:c r="K52" s="32"/>
      <x:c r="L52" s="26" t="str">
        <x:v>Active: On/After 01-Aug-2026</x:v>
      </x:c>
      <x:c r="M52" s="26" t="str">
        <x:v>Pending Mapping</x:v>
      </x:c>
      <x:c r="N52" s="26" t="str">
        <x:v>Original project JSON not available</x:v>
      </x:c>
      <x:c r="O52" s="26"/>
      <x:c r="P52" s="26" t="str"/>
      <x:c r="Q52" s="26" t="str"/>
      <x:c r="R52" s="26"/>
      <x:c r="S52" s="36"/>
      <x:c r="T52" s="26"/>
      <x:c r="U52" s="26"/>
      <x:c r="V52" s="26"/>
      <x:c r="W52" s="26" t="n">
        <x:v>5</x:v>
      </x:c>
      <x:c r="X52" s="26" t="n">
        <x:v>0</x:v>
      </x:c>
      <x:c r="Y52" s="26" t="n">
        <x:v>29</x:v>
      </x:c>
      <x:c r="Z52" s="26" t="n">
        <x:v>0</x:v>
      </x:c>
      <x:c r="AA52" s="26" t="n">
        <x:v>29</x:v>
      </x:c>
      <x:c r="AB52" s="38" t="n">
        <x:v>0</x:v>
      </x:c>
      <x:c r="AC52" s="26" t="str">
        <x:v>Committed / Not Delivered</x:v>
      </x:c>
      <x:c r="AD52" s="26" t="str">
        <x:v>Approval not recorded in response</x:v>
      </x:c>
      <x:c r="AE52" s="27" t="b">
        <x:v>1</x:v>
      </x:c>
      <x:c r="AF52" s="34" t="n">
        <x:v>46219.85319444445</x:v>
      </x:c>
      <x:c r="AG52" s="34"/>
      <x:c r="AH52" s="26" t="str">
        <x:v>Contribution API fields only; original project JSON needed for line-item names/centres/category</x:v>
      </x:c>
      <x:c r="AI52" s="26" t="str"/>
      <x:c r="AJ52" s="26" t="str">
        <x:v>Not Started</x:v>
      </x:c>
      <x:c r="AK52" s="26" t="str"/>
      <x:c r="AL52" s="26" t="str"/>
    </x:row>
    <x:row r="53">
      <x:c r="A53" s="26" t="n">
        <x:v>58</x:v>
      </x:c>
      <x:c r="B53" s="26" t="n">
        <x:v>235</x:v>
      </x:c>
      <x:c r="C53" s="26" t="str">
        <x:v>Medak</x:v>
      </x:c>
      <x:c r="D53" s="26" t="str">
        <x:v>Telangana</x:v>
      </x:c>
      <x:c r="E53" s="26" t="n">
        <x:v>14761</x:v>
      </x:c>
      <x:c r="F53" s="26" t="str">
        <x:v>PRJ-2026-0014761</x:v>
      </x:c>
      <x:c r="G53" s="26" t="str">
        <x:v>AWC Upgradation Hastalpur</x:v>
      </x:c>
      <x:c r="H53" s="26" t="str">
        <x:v>Mission Saksham Anganwadi &amp; POSHAN 2.0</x:v>
      </x:c>
      <x:c r="I53" s="32" t="n">
        <x:v>46167</x:v>
      </x:c>
      <x:c r="J53" s="32" t="n">
        <x:v>46351</x:v>
      </x:c>
      <x:c r="K53" s="32"/>
      <x:c r="L53" s="26" t="str">
        <x:v>Active: On/After 01-Aug-2026</x:v>
      </x:c>
      <x:c r="M53" s="26" t="str">
        <x:v>Pending Mapping</x:v>
      </x:c>
      <x:c r="N53" s="26" t="str">
        <x:v>Original project JSON not available</x:v>
      </x:c>
      <x:c r="O53" s="26"/>
      <x:c r="P53" s="26" t="str"/>
      <x:c r="Q53" s="26" t="str"/>
      <x:c r="R53" s="26"/>
      <x:c r="S53" s="36"/>
      <x:c r="T53" s="26"/>
      <x:c r="U53" s="26"/>
      <x:c r="V53" s="26"/>
      <x:c r="W53" s="26" t="n">
        <x:v>4</x:v>
      </x:c>
      <x:c r="X53" s="26" t="n">
        <x:v>0</x:v>
      </x:c>
      <x:c r="Y53" s="26" t="n">
        <x:v>29</x:v>
      </x:c>
      <x:c r="Z53" s="26" t="n">
        <x:v>0</x:v>
      </x:c>
      <x:c r="AA53" s="26" t="n">
        <x:v>29</x:v>
      </x:c>
      <x:c r="AB53" s="38" t="n">
        <x:v>0</x:v>
      </x:c>
      <x:c r="AC53" s="26" t="str">
        <x:v>Committed / Not Delivered</x:v>
      </x:c>
      <x:c r="AD53" s="26" t="str">
        <x:v>Approval not recorded in response</x:v>
      </x:c>
      <x:c r="AE53" s="27" t="b">
        <x:v>1</x:v>
      </x:c>
      <x:c r="AF53" s="34" t="n">
        <x:v>46219.85319444445</x:v>
      </x:c>
      <x:c r="AG53" s="34"/>
      <x:c r="AH53" s="26" t="str">
        <x:v>Contribution API fields only; original project JSON needed for line-item names/centres/category</x:v>
      </x:c>
      <x:c r="AI53" s="26" t="str"/>
      <x:c r="AJ53" s="26" t="str">
        <x:v>Not Started</x:v>
      </x:c>
      <x:c r="AK53" s="26" t="str"/>
      <x:c r="AL53" s="26" t="str"/>
    </x:row>
    <x:row r="54">
      <x:c r="A54" s="26" t="n">
        <x:v>59</x:v>
      </x:c>
      <x:c r="B54" s="26" t="n">
        <x:v>232</x:v>
      </x:c>
      <x:c r="C54" s="26" t="str">
        <x:v>Medak</x:v>
      </x:c>
      <x:c r="D54" s="26" t="str">
        <x:v>Telangana</x:v>
      </x:c>
      <x:c r="E54" s="26" t="n">
        <x:v>14765</x:v>
      </x:c>
      <x:c r="F54" s="26" t="str">
        <x:v>PRJ-2026-0014765</x:v>
      </x:c>
      <x:c r="G54" s="26" t="str">
        <x:v>AWC Upgradation Ramanthapur LT</x:v>
      </x:c>
      <x:c r="H54" s="26" t="str">
        <x:v>Mission Saksham Anganwadi &amp; POSHAN 2.0</x:v>
      </x:c>
      <x:c r="I54" s="32" t="n">
        <x:v>46167</x:v>
      </x:c>
      <x:c r="J54" s="32" t="n">
        <x:v>46351</x:v>
      </x:c>
      <x:c r="K54" s="32"/>
      <x:c r="L54" s="26" t="str">
        <x:v>Active: On/After 01-Aug-2026</x:v>
      </x:c>
      <x:c r="M54" s="26" t="str">
        <x:v>Pending Mapping</x:v>
      </x:c>
      <x:c r="N54" s="26" t="str">
        <x:v>Original project JSON not available</x:v>
      </x:c>
      <x:c r="O54" s="26"/>
      <x:c r="P54" s="26" t="str"/>
      <x:c r="Q54" s="26" t="str"/>
      <x:c r="R54" s="26"/>
      <x:c r="S54" s="36"/>
      <x:c r="T54" s="26"/>
      <x:c r="U54" s="26"/>
      <x:c r="V54" s="26"/>
      <x:c r="W54" s="26" t="n">
        <x:v>5</x:v>
      </x:c>
      <x:c r="X54" s="26" t="n">
        <x:v>0</x:v>
      </x:c>
      <x:c r="Y54" s="26" t="n">
        <x:v>29</x:v>
      </x:c>
      <x:c r="Z54" s="26" t="n">
        <x:v>0</x:v>
      </x:c>
      <x:c r="AA54" s="26" t="n">
        <x:v>29</x:v>
      </x:c>
      <x:c r="AB54" s="38" t="n">
        <x:v>0</x:v>
      </x:c>
      <x:c r="AC54" s="26" t="str">
        <x:v>Committed / Not Delivered</x:v>
      </x:c>
      <x:c r="AD54" s="26" t="str">
        <x:v>Approval not recorded in response</x:v>
      </x:c>
      <x:c r="AE54" s="27" t="b">
        <x:v>1</x:v>
      </x:c>
      <x:c r="AF54" s="34" t="n">
        <x:v>46219.85318287037</x:v>
      </x:c>
      <x:c r="AG54" s="34"/>
      <x:c r="AH54" s="26" t="str">
        <x:v>Contribution API fields only; original project JSON needed for line-item names/centres/category</x:v>
      </x:c>
      <x:c r="AI54" s="26" t="str"/>
      <x:c r="AJ54" s="26" t="str">
        <x:v>Not Started</x:v>
      </x:c>
      <x:c r="AK54" s="26" t="str"/>
      <x:c r="AL54" s="26" t="str"/>
    </x:row>
    <x:row r="55">
      <x:c r="A55" s="26" t="n">
        <x:v>60</x:v>
      </x:c>
      <x:c r="B55" s="26" t="n">
        <x:v>233</x:v>
      </x:c>
      <x:c r="C55" s="26" t="str">
        <x:v>Medak</x:v>
      </x:c>
      <x:c r="D55" s="26" t="str">
        <x:v>Telangana</x:v>
      </x:c>
      <x:c r="E55" s="26" t="n">
        <x:v>14759</x:v>
      </x:c>
      <x:c r="F55" s="26" t="str">
        <x:v>PRJ-2026-0014759</x:v>
      </x:c>
      <x:c r="G55" s="26" t="str">
        <x:v>AWC Upgradation Masaipet V</x:v>
      </x:c>
      <x:c r="H55" s="26" t="str">
        <x:v>Mission Saksham Anganwadi &amp; POSHAN 2.0</x:v>
      </x:c>
      <x:c r="I55" s="32" t="n">
        <x:v>46167</x:v>
      </x:c>
      <x:c r="J55" s="32" t="n">
        <x:v>46351</x:v>
      </x:c>
      <x:c r="K55" s="32"/>
      <x:c r="L55" s="26" t="str">
        <x:v>Active: On/After 01-Aug-2026</x:v>
      </x:c>
      <x:c r="M55" s="26" t="str">
        <x:v>Pending Mapping</x:v>
      </x:c>
      <x:c r="N55" s="26" t="str">
        <x:v>Original project JSON not available</x:v>
      </x:c>
      <x:c r="O55" s="26"/>
      <x:c r="P55" s="26" t="str"/>
      <x:c r="Q55" s="26" t="str"/>
      <x:c r="R55" s="26"/>
      <x:c r="S55" s="36"/>
      <x:c r="T55" s="26"/>
      <x:c r="U55" s="26"/>
      <x:c r="V55" s="26"/>
      <x:c r="W55" s="26" t="n">
        <x:v>5</x:v>
      </x:c>
      <x:c r="X55" s="26" t="n">
        <x:v>0</x:v>
      </x:c>
      <x:c r="Y55" s="26" t="n">
        <x:v>29</x:v>
      </x:c>
      <x:c r="Z55" s="26" t="n">
        <x:v>0</x:v>
      </x:c>
      <x:c r="AA55" s="26" t="n">
        <x:v>29</x:v>
      </x:c>
      <x:c r="AB55" s="38" t="n">
        <x:v>0</x:v>
      </x:c>
      <x:c r="AC55" s="26" t="str">
        <x:v>Committed / Not Delivered</x:v>
      </x:c>
      <x:c r="AD55" s="26" t="str">
        <x:v>Approval not recorded in response</x:v>
      </x:c>
      <x:c r="AE55" s="27" t="b">
        <x:v>1</x:v>
      </x:c>
      <x:c r="AF55" s="34" t="n">
        <x:v>46219.85318287037</x:v>
      </x:c>
      <x:c r="AG55" s="34"/>
      <x:c r="AH55" s="26" t="str">
        <x:v>Contribution API fields only; original project JSON needed for line-item names/centres/category</x:v>
      </x:c>
      <x:c r="AI55" s="26" t="str"/>
      <x:c r="AJ55" s="26" t="str">
        <x:v>Not Started</x:v>
      </x:c>
      <x:c r="AK55" s="26" t="str"/>
      <x:c r="AL55" s="26" t="str"/>
    </x:row>
    <x:row r="56">
      <x:c r="A56" s="26" t="n">
        <x:v>61</x:v>
      </x:c>
      <x:c r="B56" s="26" t="n">
        <x:v>231</x:v>
      </x:c>
      <x:c r="C56" s="26" t="str">
        <x:v>Medak</x:v>
      </x:c>
      <x:c r="D56" s="26" t="str">
        <x:v>Telangana</x:v>
      </x:c>
      <x:c r="E56" s="26" t="n">
        <x:v>14771</x:v>
      </x:c>
      <x:c r="F56" s="26" t="str">
        <x:v>PRJ-2026-0014771</x:v>
      </x:c>
      <x:c r="G56" s="26" t="str">
        <x:v>AWC Upgradation Bandamedipally</x:v>
      </x:c>
      <x:c r="H56" s="26" t="str">
        <x:v>Mission Saksham Anganwadi &amp; POSHAN 2.0</x:v>
      </x:c>
      <x:c r="I56" s="32" t="n">
        <x:v>46167</x:v>
      </x:c>
      <x:c r="J56" s="32" t="n">
        <x:v>46351</x:v>
      </x:c>
      <x:c r="K56" s="32"/>
      <x:c r="L56" s="26" t="str">
        <x:v>Active: On/After 01-Aug-2026</x:v>
      </x:c>
      <x:c r="M56" s="26" t="str">
        <x:v>Pending Mapping</x:v>
      </x:c>
      <x:c r="N56" s="26" t="str">
        <x:v>Original project JSON not available</x:v>
      </x:c>
      <x:c r="O56" s="26"/>
      <x:c r="P56" s="26" t="str"/>
      <x:c r="Q56" s="26" t="str"/>
      <x:c r="R56" s="26"/>
      <x:c r="S56" s="36"/>
      <x:c r="T56" s="26"/>
      <x:c r="U56" s="26"/>
      <x:c r="V56" s="26"/>
      <x:c r="W56" s="26" t="n">
        <x:v>5</x:v>
      </x:c>
      <x:c r="X56" s="26" t="n">
        <x:v>0</x:v>
      </x:c>
      <x:c r="Y56" s="26" t="n">
        <x:v>29</x:v>
      </x:c>
      <x:c r="Z56" s="26" t="n">
        <x:v>0</x:v>
      </x:c>
      <x:c r="AA56" s="26" t="n">
        <x:v>29</x:v>
      </x:c>
      <x:c r="AB56" s="38" t="n">
        <x:v>0</x:v>
      </x:c>
      <x:c r="AC56" s="26" t="str">
        <x:v>Committed / Not Delivered</x:v>
      </x:c>
      <x:c r="AD56" s="26" t="str">
        <x:v>Approval not recorded in response</x:v>
      </x:c>
      <x:c r="AE56" s="27" t="b">
        <x:v>1</x:v>
      </x:c>
      <x:c r="AF56" s="34" t="n">
        <x:v>46219.853171296294</x:v>
      </x:c>
      <x:c r="AG56" s="34"/>
      <x:c r="AH56" s="26" t="str">
        <x:v>Contribution API fields only; original project JSON needed for line-item names/centres/category</x:v>
      </x:c>
      <x:c r="AI56" s="26" t="str"/>
      <x:c r="AJ56" s="26" t="str">
        <x:v>Not Started</x:v>
      </x:c>
      <x:c r="AK56" s="26" t="str"/>
      <x:c r="AL56" s="26" t="str"/>
    </x:row>
    <x:row r="57">
      <x:c r="A57" s="26" t="n">
        <x:v>62</x:v>
      </x:c>
      <x:c r="B57" s="26" t="n">
        <x:v>229</x:v>
      </x:c>
      <x:c r="C57" s="26" t="str">
        <x:v>Medak</x:v>
      </x:c>
      <x:c r="D57" s="26" t="str">
        <x:v>Telangana</x:v>
      </x:c>
      <x:c r="E57" s="26" t="n">
        <x:v>114082</x:v>
      </x:c>
      <x:c r="F57" s="26" t="str">
        <x:v>PRJ-2026-0114082</x:v>
      </x:c>
      <x:c r="G57" s="26" t="str">
        <x:v>AWC Upgradation of Komatipally-2</x:v>
      </x:c>
      <x:c r="H57" s="26" t="str">
        <x:v>Mission Saksham Anganwadi &amp; POSHAN 2.0</x:v>
      </x:c>
      <x:c r="I57" s="32" t="n">
        <x:v>46198</x:v>
      </x:c>
      <x:c r="J57" s="32" t="n">
        <x:v>46381</x:v>
      </x:c>
      <x:c r="K57" s="32"/>
      <x:c r="L57" s="26" t="str">
        <x:v>Active: On/After 01-Aug-2026</x:v>
      </x:c>
      <x:c r="M57" s="26" t="str">
        <x:v>Pending Mapping</x:v>
      </x:c>
      <x:c r="N57" s="26" t="str">
        <x:v>Original project JSON not available</x:v>
      </x:c>
      <x:c r="O57" s="26"/>
      <x:c r="P57" s="26" t="str"/>
      <x:c r="Q57" s="26" t="str"/>
      <x:c r="R57" s="26"/>
      <x:c r="S57" s="36"/>
      <x:c r="T57" s="26"/>
      <x:c r="U57" s="26"/>
      <x:c r="V57" s="26"/>
      <x:c r="W57" s="26" t="n">
        <x:v>6</x:v>
      </x:c>
      <x:c r="X57" s="26" t="n">
        <x:v>0</x:v>
      </x:c>
      <x:c r="Y57" s="26" t="n">
        <x:v>29</x:v>
      </x:c>
      <x:c r="Z57" s="26" t="n">
        <x:v>0</x:v>
      </x:c>
      <x:c r="AA57" s="26" t="n">
        <x:v>29</x:v>
      </x:c>
      <x:c r="AB57" s="38" t="n">
        <x:v>0</x:v>
      </x:c>
      <x:c r="AC57" s="26" t="str">
        <x:v>Committed / Not Delivered</x:v>
      </x:c>
      <x:c r="AD57" s="26" t="str">
        <x:v>Approval not recorded in response</x:v>
      </x:c>
      <x:c r="AE57" s="27" t="b">
        <x:v>1</x:v>
      </x:c>
      <x:c r="AF57" s="34" t="n">
        <x:v>46219.853159722225</x:v>
      </x:c>
      <x:c r="AG57" s="34"/>
      <x:c r="AH57" s="26" t="str">
        <x:v>Contribution API fields only; original project JSON needed for line-item names/centres/category</x:v>
      </x:c>
      <x:c r="AI57" s="26" t="str"/>
      <x:c r="AJ57" s="26" t="str">
        <x:v>Not Started</x:v>
      </x:c>
      <x:c r="AK57" s="26" t="str"/>
      <x:c r="AL57" s="26" t="str"/>
    </x:row>
    <x:row r="58">
      <x:c r="A58" s="26" t="n">
        <x:v>63</x:v>
      </x:c>
      <x:c r="B58" s="26" t="n">
        <x:v>230</x:v>
      </x:c>
      <x:c r="C58" s="26" t="str">
        <x:v>Medak</x:v>
      </x:c>
      <x:c r="D58" s="26" t="str">
        <x:v>Telangana</x:v>
      </x:c>
      <x:c r="E58" s="26" t="n">
        <x:v>114017</x:v>
      </x:c>
      <x:c r="F58" s="26" t="str">
        <x:v>PRJ-2026-0114017</x:v>
      </x:c>
      <x:c r="G58" s="26" t="str">
        <x:v>AWC Upgradation of Cheriapally</x:v>
      </x:c>
      <x:c r="H58" s="26" t="str">
        <x:v>Mission Saksham Anganwadi &amp; POSHAN 2.0</x:v>
      </x:c>
      <x:c r="I58" s="32" t="n">
        <x:v>46198</x:v>
      </x:c>
      <x:c r="J58" s="32" t="n">
        <x:v>46381</x:v>
      </x:c>
      <x:c r="K58" s="32"/>
      <x:c r="L58" s="26" t="str">
        <x:v>Active: On/After 01-Aug-2026</x:v>
      </x:c>
      <x:c r="M58" s="26" t="str">
        <x:v>Pending Mapping</x:v>
      </x:c>
      <x:c r="N58" s="26" t="str">
        <x:v>Original project JSON not available</x:v>
      </x:c>
      <x:c r="O58" s="26"/>
      <x:c r="P58" s="26" t="str"/>
      <x:c r="Q58" s="26" t="str"/>
      <x:c r="R58" s="26"/>
      <x:c r="S58" s="36"/>
      <x:c r="T58" s="26"/>
      <x:c r="U58" s="26"/>
      <x:c r="V58" s="26"/>
      <x:c r="W58" s="26" t="n">
        <x:v>6</x:v>
      </x:c>
      <x:c r="X58" s="26" t="n">
        <x:v>0</x:v>
      </x:c>
      <x:c r="Y58" s="26" t="n">
        <x:v>27</x:v>
      </x:c>
      <x:c r="Z58" s="26" t="n">
        <x:v>0</x:v>
      </x:c>
      <x:c r="AA58" s="26" t="n">
        <x:v>27</x:v>
      </x:c>
      <x:c r="AB58" s="38" t="n">
        <x:v>0</x:v>
      </x:c>
      <x:c r="AC58" s="26" t="str">
        <x:v>Committed / Not Delivered</x:v>
      </x:c>
      <x:c r="AD58" s="26" t="str">
        <x:v>Approval not recorded in response</x:v>
      </x:c>
      <x:c r="AE58" s="27" t="b">
        <x:v>1</x:v>
      </x:c>
      <x:c r="AF58" s="34" t="n">
        <x:v>46219.853159722225</x:v>
      </x:c>
      <x:c r="AG58" s="34"/>
      <x:c r="AH58" s="26" t="str">
        <x:v>Contribution API fields only; original project JSON needed for line-item names/centres/category</x:v>
      </x:c>
      <x:c r="AI58" s="26" t="str"/>
      <x:c r="AJ58" s="26" t="str">
        <x:v>Not Started</x:v>
      </x:c>
      <x:c r="AK58" s="26" t="str"/>
      <x:c r="AL58" s="26" t="str"/>
    </x:row>
    <x:row r="59">
      <x:c r="A59" s="26" t="n">
        <x:v>64</x:v>
      </x:c>
      <x:c r="B59" s="26" t="n">
        <x:v>227</x:v>
      </x:c>
      <x:c r="C59" s="26" t="str">
        <x:v>Medak</x:v>
      </x:c>
      <x:c r="D59" s="26" t="str">
        <x:v>Telangana</x:v>
      </x:c>
      <x:c r="E59" s="26" t="n">
        <x:v>114202</x:v>
      </x:c>
      <x:c r="F59" s="26" t="str">
        <x:v>PRJ-2026-0114202</x:v>
      </x:c>
      <x:c r="G59" s="26" t="str">
        <x:v>AWC Upgradation of Manepally</x:v>
      </x:c>
      <x:c r="H59" s="26" t="str">
        <x:v>Mission Saksham Anganwadi &amp; POSHAN 2.0</x:v>
      </x:c>
      <x:c r="I59" s="32" t="n">
        <x:v>46198</x:v>
      </x:c>
      <x:c r="J59" s="32" t="n">
        <x:v>46381</x:v>
      </x:c>
      <x:c r="K59" s="32"/>
      <x:c r="L59" s="26" t="str">
        <x:v>Active: On/After 01-Aug-2026</x:v>
      </x:c>
      <x:c r="M59" s="26" t="str">
        <x:v>Pending Mapping</x:v>
      </x:c>
      <x:c r="N59" s="26" t="str">
        <x:v>Original project JSON not available</x:v>
      </x:c>
      <x:c r="O59" s="26"/>
      <x:c r="P59" s="26" t="str"/>
      <x:c r="Q59" s="26" t="str"/>
      <x:c r="R59" s="26"/>
      <x:c r="S59" s="36"/>
      <x:c r="T59" s="26"/>
      <x:c r="U59" s="26"/>
      <x:c r="V59" s="26"/>
      <x:c r="W59" s="26" t="n">
        <x:v>4</x:v>
      </x:c>
      <x:c r="X59" s="26" t="n">
        <x:v>0</x:v>
      </x:c>
      <x:c r="Y59" s="26" t="n">
        <x:v>28</x:v>
      </x:c>
      <x:c r="Z59" s="26" t="n">
        <x:v>0</x:v>
      </x:c>
      <x:c r="AA59" s="26" t="n">
        <x:v>28</x:v>
      </x:c>
      <x:c r="AB59" s="38" t="n">
        <x:v>0</x:v>
      </x:c>
      <x:c r="AC59" s="26" t="str">
        <x:v>Committed / Not Delivered</x:v>
      </x:c>
      <x:c r="AD59" s="26" t="str">
        <x:v>Approval not recorded in response</x:v>
      </x:c>
      <x:c r="AE59" s="27" t="b">
        <x:v>1</x:v>
      </x:c>
      <x:c r="AF59" s="34" t="n">
        <x:v>46219.85314814815</x:v>
      </x:c>
      <x:c r="AG59" s="34"/>
      <x:c r="AH59" s="26" t="str">
        <x:v>Contribution API fields only; original project JSON needed for line-item names/centres/category</x:v>
      </x:c>
      <x:c r="AI59" s="26" t="str"/>
      <x:c r="AJ59" s="26" t="str">
        <x:v>Not Started</x:v>
      </x:c>
      <x:c r="AK59" s="26" t="str"/>
      <x:c r="AL59" s="26" t="str"/>
    </x:row>
    <x:row r="60">
      <x:c r="A60" s="26" t="n">
        <x:v>65</x:v>
      </x:c>
      <x:c r="B60" s="26" t="n">
        <x:v>228</x:v>
      </x:c>
      <x:c r="C60" s="26" t="str">
        <x:v>Medak</x:v>
      </x:c>
      <x:c r="D60" s="26" t="str">
        <x:v>Telangana</x:v>
      </x:c>
      <x:c r="E60" s="26" t="n">
        <x:v>114248</x:v>
      </x:c>
      <x:c r="F60" s="26" t="str">
        <x:v>PRJ-2026-0114248</x:v>
      </x:c>
      <x:c r="G60" s="26" t="str">
        <x:v>AWC Upgradation of Mangalparthy</x:v>
      </x:c>
      <x:c r="H60" s="26" t="str">
        <x:v>Mission Saksham Anganwadi &amp; POSHAN 2.0</x:v>
      </x:c>
      <x:c r="I60" s="32" t="n">
        <x:v>46198</x:v>
      </x:c>
      <x:c r="J60" s="32" t="n">
        <x:v>46381</x:v>
      </x:c>
      <x:c r="K60" s="32"/>
      <x:c r="L60" s="26" t="str">
        <x:v>Active: On/After 01-Aug-2026</x:v>
      </x:c>
      <x:c r="M60" s="26" t="str">
        <x:v>Pending Mapping</x:v>
      </x:c>
      <x:c r="N60" s="26" t="str">
        <x:v>Original project JSON not available</x:v>
      </x:c>
      <x:c r="O60" s="26"/>
      <x:c r="P60" s="26" t="str"/>
      <x:c r="Q60" s="26" t="str"/>
      <x:c r="R60" s="26"/>
      <x:c r="S60" s="36"/>
      <x:c r="T60" s="26"/>
      <x:c r="U60" s="26"/>
      <x:c r="V60" s="26"/>
      <x:c r="W60" s="26" t="n">
        <x:v>4</x:v>
      </x:c>
      <x:c r="X60" s="26" t="n">
        <x:v>0</x:v>
      </x:c>
      <x:c r="Y60" s="26" t="n">
        <x:v>28</x:v>
      </x:c>
      <x:c r="Z60" s="26" t="n">
        <x:v>0</x:v>
      </x:c>
      <x:c r="AA60" s="26" t="n">
        <x:v>28</x:v>
      </x:c>
      <x:c r="AB60" s="38" t="n">
        <x:v>0</x:v>
      </x:c>
      <x:c r="AC60" s="26" t="str">
        <x:v>Committed / Not Delivered</x:v>
      </x:c>
      <x:c r="AD60" s="26" t="str">
        <x:v>Approval not recorded in response</x:v>
      </x:c>
      <x:c r="AE60" s="27" t="b">
        <x:v>1</x:v>
      </x:c>
      <x:c r="AF60" s="34" t="n">
        <x:v>46219.85314814815</x:v>
      </x:c>
      <x:c r="AG60" s="34"/>
      <x:c r="AH60" s="26" t="str">
        <x:v>Contribution API fields only; original project JSON needed for line-item names/centres/category</x:v>
      </x:c>
      <x:c r="AI60" s="26" t="str"/>
      <x:c r="AJ60" s="26" t="str">
        <x:v>Not Started</x:v>
      </x:c>
      <x:c r="AK60" s="26" t="str"/>
      <x:c r="AL60" s="26" t="str"/>
    </x:row>
    <x:row r="61">
      <x:c r="A61" s="26" t="n">
        <x:v>66</x:v>
      </x:c>
      <x:c r="B61" s="26" t="n">
        <x:v>225</x:v>
      </x:c>
      <x:c r="C61" s="26" t="str">
        <x:v>Medak</x:v>
      </x:c>
      <x:c r="D61" s="26" t="str">
        <x:v>Telangana</x:v>
      </x:c>
      <x:c r="E61" s="26" t="n">
        <x:v>114320</x:v>
      </x:c>
      <x:c r="F61" s="26" t="str">
        <x:v>PRJ-2026-0114320</x:v>
      </x:c>
      <x:c r="G61" s="26" t="str">
        <x:v>AWC Upgradation of Mangalparthy III</x:v>
      </x:c>
      <x:c r="H61" s="26" t="str">
        <x:v>Mission Saksham Anganwadi &amp; POSHAN 2.0</x:v>
      </x:c>
      <x:c r="I61" s="32" t="n">
        <x:v>46198</x:v>
      </x:c>
      <x:c r="J61" s="32" t="n">
        <x:v>46381</x:v>
      </x:c>
      <x:c r="K61" s="32"/>
      <x:c r="L61" s="26" t="str">
        <x:v>Active: On/After 01-Aug-2026</x:v>
      </x:c>
      <x:c r="M61" s="26" t="str">
        <x:v>Pending Mapping</x:v>
      </x:c>
      <x:c r="N61" s="26" t="str">
        <x:v>Original project JSON not available</x:v>
      </x:c>
      <x:c r="O61" s="26"/>
      <x:c r="P61" s="26" t="str"/>
      <x:c r="Q61" s="26" t="str"/>
      <x:c r="R61" s="26"/>
      <x:c r="S61" s="36"/>
      <x:c r="T61" s="26"/>
      <x:c r="U61" s="26"/>
      <x:c r="V61" s="26"/>
      <x:c r="W61" s="26" t="n">
        <x:v>6</x:v>
      </x:c>
      <x:c r="X61" s="26" t="n">
        <x:v>0</x:v>
      </x:c>
      <x:c r="Y61" s="26" t="n">
        <x:v>30</x:v>
      </x:c>
      <x:c r="Z61" s="26" t="n">
        <x:v>0</x:v>
      </x:c>
      <x:c r="AA61" s="26" t="n">
        <x:v>30</x:v>
      </x:c>
      <x:c r="AB61" s="38" t="n">
        <x:v>0</x:v>
      </x:c>
      <x:c r="AC61" s="26" t="str">
        <x:v>Committed / Not Delivered</x:v>
      </x:c>
      <x:c r="AD61" s="26" t="str">
        <x:v>Approval not recorded in response</x:v>
      </x:c>
      <x:c r="AE61" s="27" t="b">
        <x:v>1</x:v>
      </x:c>
      <x:c r="AF61" s="34" t="n">
        <x:v>46219.85313657407</x:v>
      </x:c>
      <x:c r="AG61" s="34"/>
      <x:c r="AH61" s="26" t="str">
        <x:v>Contribution API fields only; original project JSON needed for line-item names/centres/category</x:v>
      </x:c>
      <x:c r="AI61" s="26" t="str"/>
      <x:c r="AJ61" s="26" t="str">
        <x:v>Not Started</x:v>
      </x:c>
      <x:c r="AK61" s="26" t="str"/>
      <x:c r="AL61" s="26" t="str"/>
    </x:row>
    <x:row r="62">
      <x:c r="A62" s="26" t="n">
        <x:v>67</x:v>
      </x:c>
      <x:c r="B62" s="26" t="n">
        <x:v>226</x:v>
      </x:c>
      <x:c r="C62" s="26" t="str">
        <x:v>Medak</x:v>
      </x:c>
      <x:c r="D62" s="26" t="str">
        <x:v>Telangana</x:v>
      </x:c>
      <x:c r="E62" s="26" t="n">
        <x:v>114350</x:v>
      </x:c>
      <x:c r="F62" s="26" t="str">
        <x:v>PRJ-2026-0114350</x:v>
      </x:c>
      <x:c r="G62" s="26" t="str">
        <x:v>AWC Upgradation of Mangalparthy Thanda</x:v>
      </x:c>
      <x:c r="H62" s="26" t="str">
        <x:v>Mission Saksham Anganwadi &amp; POSHAN 2.0</x:v>
      </x:c>
      <x:c r="I62" s="32" t="n">
        <x:v>46198</x:v>
      </x:c>
      <x:c r="J62" s="32" t="n">
        <x:v>46381</x:v>
      </x:c>
      <x:c r="K62" s="32"/>
      <x:c r="L62" s="26" t="str">
        <x:v>Active: On/After 01-Aug-2026</x:v>
      </x:c>
      <x:c r="M62" s="26" t="str">
        <x:v>Pending Mapping</x:v>
      </x:c>
      <x:c r="N62" s="26" t="str">
        <x:v>Original project JSON not available</x:v>
      </x:c>
      <x:c r="O62" s="26"/>
      <x:c r="P62" s="26" t="str"/>
      <x:c r="Q62" s="26" t="str"/>
      <x:c r="R62" s="26"/>
      <x:c r="S62" s="36"/>
      <x:c r="T62" s="26"/>
      <x:c r="U62" s="26"/>
      <x:c r="V62" s="26"/>
      <x:c r="W62" s="26" t="n">
        <x:v>5</x:v>
      </x:c>
      <x:c r="X62" s="26" t="n">
        <x:v>0</x:v>
      </x:c>
      <x:c r="Y62" s="26" t="n">
        <x:v>29</x:v>
      </x:c>
      <x:c r="Z62" s="26" t="n">
        <x:v>0</x:v>
      </x:c>
      <x:c r="AA62" s="26" t="n">
        <x:v>29</x:v>
      </x:c>
      <x:c r="AB62" s="38" t="n">
        <x:v>0</x:v>
      </x:c>
      <x:c r="AC62" s="26" t="str">
        <x:v>Committed / Not Delivered</x:v>
      </x:c>
      <x:c r="AD62" s="26" t="str">
        <x:v>Approval not recorded in response</x:v>
      </x:c>
      <x:c r="AE62" s="27" t="b">
        <x:v>1</x:v>
      </x:c>
      <x:c r="AF62" s="34" t="n">
        <x:v>46219.85313657407</x:v>
      </x:c>
      <x:c r="AG62" s="34"/>
      <x:c r="AH62" s="26" t="str">
        <x:v>Contribution API fields only; original project JSON needed for line-item names/centres/category</x:v>
      </x:c>
      <x:c r="AI62" s="26" t="str"/>
      <x:c r="AJ62" s="26" t="str">
        <x:v>Not Started</x:v>
      </x:c>
      <x:c r="AK62" s="26" t="str"/>
      <x:c r="AL62" s="26" t="str"/>
    </x:row>
    <x:row r="63">
      <x:c r="A63" s="26" t="n">
        <x:v>68</x:v>
      </x:c>
      <x:c r="B63" s="26" t="n">
        <x:v>223</x:v>
      </x:c>
      <x:c r="C63" s="26" t="str">
        <x:v>Medak</x:v>
      </x:c>
      <x:c r="D63" s="26" t="str">
        <x:v>Telangana</x:v>
      </x:c>
      <x:c r="E63" s="26" t="n">
        <x:v>114444</x:v>
      </x:c>
      <x:c r="F63" s="26" t="str">
        <x:v>PRJ-2026-0114444</x:v>
      </x:c>
      <x:c r="G63" s="26" t="str">
        <x:v>AWC Upgradation Of Veldurthy-III</x:v>
      </x:c>
      <x:c r="H63" s="26" t="str">
        <x:v>Mission Saksham Anganwadi &amp; POSHAN 2.0</x:v>
      </x:c>
      <x:c r="I63" s="32" t="n">
        <x:v>46198</x:v>
      </x:c>
      <x:c r="J63" s="32" t="n">
        <x:v>46381</x:v>
      </x:c>
      <x:c r="K63" s="32"/>
      <x:c r="L63" s="26" t="str">
        <x:v>Active: On/After 01-Aug-2026</x:v>
      </x:c>
      <x:c r="M63" s="26" t="str">
        <x:v>Pending Mapping</x:v>
      </x:c>
      <x:c r="N63" s="26" t="str">
        <x:v>Original project JSON not available</x:v>
      </x:c>
      <x:c r="O63" s="26"/>
      <x:c r="P63" s="26" t="str"/>
      <x:c r="Q63" s="26" t="str"/>
      <x:c r="R63" s="26"/>
      <x:c r="S63" s="36"/>
      <x:c r="T63" s="26"/>
      <x:c r="U63" s="26"/>
      <x:c r="V63" s="26"/>
      <x:c r="W63" s="26" t="n">
        <x:v>4</x:v>
      </x:c>
      <x:c r="X63" s="26" t="n">
        <x:v>0</x:v>
      </x:c>
      <x:c r="Y63" s="26" t="n">
        <x:v>28</x:v>
      </x:c>
      <x:c r="Z63" s="26" t="n">
        <x:v>0</x:v>
      </x:c>
      <x:c r="AA63" s="26" t="n">
        <x:v>28</x:v>
      </x:c>
      <x:c r="AB63" s="38" t="n">
        <x:v>0</x:v>
      </x:c>
      <x:c r="AC63" s="26" t="str">
        <x:v>Committed / Not Delivered</x:v>
      </x:c>
      <x:c r="AD63" s="26" t="str">
        <x:v>Approval not recorded in response</x:v>
      </x:c>
      <x:c r="AE63" s="27" t="b">
        <x:v>1</x:v>
      </x:c>
      <x:c r="AF63" s="34" t="n">
        <x:v>46219.853125</x:v>
      </x:c>
      <x:c r="AG63" s="34"/>
      <x:c r="AH63" s="26" t="str">
        <x:v>Contribution API fields only; original project JSON needed for line-item names/centres/category</x:v>
      </x:c>
      <x:c r="AI63" s="26" t="str"/>
      <x:c r="AJ63" s="26" t="str">
        <x:v>Not Started</x:v>
      </x:c>
      <x:c r="AK63" s="26" t="str"/>
      <x:c r="AL63" s="26" t="str"/>
    </x:row>
    <x:row r="64">
      <x:c r="A64" s="26" t="n">
        <x:v>69</x:v>
      </x:c>
      <x:c r="B64" s="26" t="n">
        <x:v>224</x:v>
      </x:c>
      <x:c r="C64" s="26" t="str">
        <x:v>Medak</x:v>
      </x:c>
      <x:c r="D64" s="26" t="str">
        <x:v>Telangana</x:v>
      </x:c>
      <x:c r="E64" s="26" t="n">
        <x:v>114473</x:v>
      </x:c>
      <x:c r="F64" s="26" t="str">
        <x:v>PRJ-2026-0114473</x:v>
      </x:c>
      <x:c r="G64" s="26" t="str">
        <x:v>AWC Upgradation of Veldurthy-V</x:v>
      </x:c>
      <x:c r="H64" s="26" t="str">
        <x:v>Mission Saksham Anganwadi &amp; POSHAN 2.0</x:v>
      </x:c>
      <x:c r="I64" s="32" t="n">
        <x:v>46198</x:v>
      </x:c>
      <x:c r="J64" s="32" t="n">
        <x:v>46381</x:v>
      </x:c>
      <x:c r="K64" s="32"/>
      <x:c r="L64" s="26" t="str">
        <x:v>Active: On/After 01-Aug-2026</x:v>
      </x:c>
      <x:c r="M64" s="26" t="str">
        <x:v>Pending Mapping</x:v>
      </x:c>
      <x:c r="N64" s="26" t="str">
        <x:v>Original project JSON not available</x:v>
      </x:c>
      <x:c r="O64" s="26"/>
      <x:c r="P64" s="26" t="str"/>
      <x:c r="Q64" s="26" t="str"/>
      <x:c r="R64" s="26"/>
      <x:c r="S64" s="36"/>
      <x:c r="T64" s="26"/>
      <x:c r="U64" s="26"/>
      <x:c r="V64" s="26"/>
      <x:c r="W64" s="26" t="n">
        <x:v>4</x:v>
      </x:c>
      <x:c r="X64" s="26" t="n">
        <x:v>0</x:v>
      </x:c>
      <x:c r="Y64" s="26" t="n">
        <x:v>28</x:v>
      </x:c>
      <x:c r="Z64" s="26" t="n">
        <x:v>0</x:v>
      </x:c>
      <x:c r="AA64" s="26" t="n">
        <x:v>28</x:v>
      </x:c>
      <x:c r="AB64" s="38" t="n">
        <x:v>0</x:v>
      </x:c>
      <x:c r="AC64" s="26" t="str">
        <x:v>Committed / Not Delivered</x:v>
      </x:c>
      <x:c r="AD64" s="26" t="str">
        <x:v>Approval not recorded in response</x:v>
      </x:c>
      <x:c r="AE64" s="27" t="b">
        <x:v>1</x:v>
      </x:c>
      <x:c r="AF64" s="34" t="n">
        <x:v>46219.853125</x:v>
      </x:c>
      <x:c r="AG64" s="34"/>
      <x:c r="AH64" s="26" t="str">
        <x:v>Contribution API fields only; original project JSON needed for line-item names/centres/category</x:v>
      </x:c>
      <x:c r="AI64" s="26" t="str"/>
      <x:c r="AJ64" s="26" t="str">
        <x:v>Not Started</x:v>
      </x:c>
      <x:c r="AK64" s="26" t="str"/>
      <x:c r="AL64" s="26" t="str"/>
    </x:row>
    <x:row r="65">
      <x:c r="A65" s="26" t="n">
        <x:v>70</x:v>
      </x:c>
      <x:c r="B65" s="26" t="n">
        <x:v>221</x:v>
      </x:c>
      <x:c r="C65" s="26" t="str">
        <x:v>Medak</x:v>
      </x:c>
      <x:c r="D65" s="26" t="str">
        <x:v>Telangana</x:v>
      </x:c>
      <x:c r="E65" s="26" t="n">
        <x:v>114696</x:v>
      </x:c>
      <x:c r="F65" s="26" t="str">
        <x:v>PRJ-2026-0114696</x:v>
      </x:c>
      <x:c r="G65" s="26" t="str">
        <x:v>Upgradation of awc</x:v>
      </x:c>
      <x:c r="H65" s="26" t="str">
        <x:v>Mission Saksham Anganwadi &amp; POSHAN 2.0</x:v>
      </x:c>
      <x:c r="I65" s="32" t="n">
        <x:v>46198</x:v>
      </x:c>
      <x:c r="J65" s="32" t="n">
        <x:v>46381</x:v>
      </x:c>
      <x:c r="K65" s="32"/>
      <x:c r="L65" s="26" t="str">
        <x:v>Active: On/After 01-Aug-2026</x:v>
      </x:c>
      <x:c r="M65" s="26" t="str">
        <x:v>Pending Mapping</x:v>
      </x:c>
      <x:c r="N65" s="26" t="str">
        <x:v>Original project JSON not available</x:v>
      </x:c>
      <x:c r="O65" s="26"/>
      <x:c r="P65" s="26" t="str"/>
      <x:c r="Q65" s="26" t="str"/>
      <x:c r="R65" s="26"/>
      <x:c r="S65" s="36"/>
      <x:c r="T65" s="26"/>
      <x:c r="U65" s="26"/>
      <x:c r="V65" s="26"/>
      <x:c r="W65" s="26" t="n">
        <x:v>1</x:v>
      </x:c>
      <x:c r="X65" s="26" t="n">
        <x:v>0</x:v>
      </x:c>
      <x:c r="Y65" s="26" t="n">
        <x:v>4</x:v>
      </x:c>
      <x:c r="Z65" s="26" t="n">
        <x:v>0</x:v>
      </x:c>
      <x:c r="AA65" s="26" t="n">
        <x:v>4</x:v>
      </x:c>
      <x:c r="AB65" s="38" t="n">
        <x:v>0</x:v>
      </x:c>
      <x:c r="AC65" s="26" t="str">
        <x:v>Committed / Not Delivered</x:v>
      </x:c>
      <x:c r="AD65" s="26" t="str">
        <x:v>Approval not recorded in response</x:v>
      </x:c>
      <x:c r="AE65" s="27" t="b">
        <x:v>1</x:v>
      </x:c>
      <x:c r="AF65" s="34" t="n">
        <x:v>46219.853113425925</x:v>
      </x:c>
      <x:c r="AG65" s="34"/>
      <x:c r="AH65" s="26" t="str">
        <x:v>Contribution API fields only; original project JSON needed for line-item names/centres/category</x:v>
      </x:c>
      <x:c r="AI65" s="26" t="str"/>
      <x:c r="AJ65" s="26" t="str">
        <x:v>Not Started</x:v>
      </x:c>
      <x:c r="AK65" s="26" t="str"/>
      <x:c r="AL65" s="26" t="str"/>
    </x:row>
    <x:row r="66">
      <x:c r="A66" s="26" t="n">
        <x:v>71</x:v>
      </x:c>
      <x:c r="B66" s="26" t="n">
        <x:v>222</x:v>
      </x:c>
      <x:c r="C66" s="26" t="str">
        <x:v>Medak</x:v>
      </x:c>
      <x:c r="D66" s="26" t="str">
        <x:v>Telangana</x:v>
      </x:c>
      <x:c r="E66" s="26" t="n">
        <x:v>114584</x:v>
      </x:c>
      <x:c r="F66" s="26" t="str">
        <x:v>PRJ-2026-0114584</x:v>
      </x:c>
      <x:c r="G66" s="26" t="str">
        <x:v>AWC Upgradradation of Yashwanthraopet II</x:v>
      </x:c>
      <x:c r="H66" s="26" t="str">
        <x:v>Mission Saksham Anganwadi &amp; POSHAN 2.0</x:v>
      </x:c>
      <x:c r="I66" s="32" t="n">
        <x:v>46198</x:v>
      </x:c>
      <x:c r="J66" s="32" t="n">
        <x:v>46381</x:v>
      </x:c>
      <x:c r="K66" s="32"/>
      <x:c r="L66" s="26" t="str">
        <x:v>Active: On/After 01-Aug-2026</x:v>
      </x:c>
      <x:c r="M66" s="26" t="str">
        <x:v>Pending Mapping</x:v>
      </x:c>
      <x:c r="N66" s="26" t="str">
        <x:v>Original project JSON not available</x:v>
      </x:c>
      <x:c r="O66" s="26"/>
      <x:c r="P66" s="26" t="str"/>
      <x:c r="Q66" s="26" t="str"/>
      <x:c r="R66" s="26"/>
      <x:c r="S66" s="36"/>
      <x:c r="T66" s="26"/>
      <x:c r="U66" s="26"/>
      <x:c r="V66" s="26"/>
      <x:c r="W66" s="26" t="n">
        <x:v>5</x:v>
      </x:c>
      <x:c r="X66" s="26" t="n">
        <x:v>0</x:v>
      </x:c>
      <x:c r="Y66" s="26" t="n">
        <x:v>36</x:v>
      </x:c>
      <x:c r="Z66" s="26" t="n">
        <x:v>0</x:v>
      </x:c>
      <x:c r="AA66" s="26" t="n">
        <x:v>36</x:v>
      </x:c>
      <x:c r="AB66" s="38" t="n">
        <x:v>0</x:v>
      </x:c>
      <x:c r="AC66" s="26" t="str">
        <x:v>Committed / Not Delivered</x:v>
      </x:c>
      <x:c r="AD66" s="26" t="str">
        <x:v>Approval not recorded in response</x:v>
      </x:c>
      <x:c r="AE66" s="27" t="b">
        <x:v>1</x:v>
      </x:c>
      <x:c r="AF66" s="34" t="n">
        <x:v>46219.853113425925</x:v>
      </x:c>
      <x:c r="AG66" s="34"/>
      <x:c r="AH66" s="26" t="str">
        <x:v>Contribution API fields only; original project JSON needed for line-item names/centres/category</x:v>
      </x:c>
      <x:c r="AI66" s="26" t="str"/>
      <x:c r="AJ66" s="26" t="str">
        <x:v>Not Started</x:v>
      </x:c>
      <x:c r="AK66" s="26" t="str"/>
      <x:c r="AL66" s="26" t="str"/>
    </x:row>
    <x:row r="67">
      <x:c r="A67" s="26" t="n">
        <x:v>72</x:v>
      </x:c>
      <x:c r="B67" s="26" t="n">
        <x:v>220</x:v>
      </x:c>
      <x:c r="C67" s="26" t="str">
        <x:v>Medak</x:v>
      </x:c>
      <x:c r="D67" s="26" t="str">
        <x:v>Telangana</x:v>
      </x:c>
      <x:c r="E67" s="26" t="n">
        <x:v>114728</x:v>
      </x:c>
      <x:c r="F67" s="26" t="str">
        <x:v>PRJ-2026-0114728</x:v>
      </x:c>
      <x:c r="G67" s="26" t="str">
        <x:v>Upgradation of awc</x:v>
      </x:c>
      <x:c r="H67" s="26" t="str">
        <x:v>Mission Saksham Anganwadi &amp; POSHAN 2.0</x:v>
      </x:c>
      <x:c r="I67" s="32" t="n">
        <x:v>46198</x:v>
      </x:c>
      <x:c r="J67" s="32" t="n">
        <x:v>46385</x:v>
      </x:c>
      <x:c r="K67" s="32"/>
      <x:c r="L67" s="26" t="str">
        <x:v>Active: On/After 01-Aug-2026</x:v>
      </x:c>
      <x:c r="M67" s="26" t="str">
        <x:v>Pending Mapping</x:v>
      </x:c>
      <x:c r="N67" s="26" t="str">
        <x:v>Original project JSON not available</x:v>
      </x:c>
      <x:c r="O67" s="26"/>
      <x:c r="P67" s="26" t="str"/>
      <x:c r="Q67" s="26" t="str"/>
      <x:c r="R67" s="26"/>
      <x:c r="S67" s="36"/>
      <x:c r="T67" s="26"/>
      <x:c r="U67" s="26"/>
      <x:c r="V67" s="26"/>
      <x:c r="W67" s="26" t="n">
        <x:v>1</x:v>
      </x:c>
      <x:c r="X67" s="26" t="n">
        <x:v>0</x:v>
      </x:c>
      <x:c r="Y67" s="26" t="n">
        <x:v>2</x:v>
      </x:c>
      <x:c r="Z67" s="26" t="n">
        <x:v>0</x:v>
      </x:c>
      <x:c r="AA67" s="26" t="n">
        <x:v>2</x:v>
      </x:c>
      <x:c r="AB67" s="38" t="n">
        <x:v>0</x:v>
      </x:c>
      <x:c r="AC67" s="26" t="str">
        <x:v>Committed / Not Delivered</x:v>
      </x:c>
      <x:c r="AD67" s="26" t="str">
        <x:v>Approval not recorded in response</x:v>
      </x:c>
      <x:c r="AE67" s="27" t="b">
        <x:v>1</x:v>
      </x:c>
      <x:c r="AF67" s="34" t="n">
        <x:v>46219.853101851855</x:v>
      </x:c>
      <x:c r="AG67" s="34"/>
      <x:c r="AH67" s="26" t="str">
        <x:v>Contribution API fields only; original project JSON needed for line-item names/centres/category</x:v>
      </x:c>
      <x:c r="AI67" s="26" t="str"/>
      <x:c r="AJ67" s="26" t="str">
        <x:v>Not Started</x:v>
      </x:c>
      <x:c r="AK67" s="26" t="str"/>
      <x:c r="AL67" s="26" t="str"/>
    </x:row>
    <x:row r="68">
      <x:c r="A68" s="26" t="n">
        <x:v>73</x:v>
      </x:c>
      <x:c r="B68" s="26" t="n">
        <x:v>218</x:v>
      </x:c>
      <x:c r="C68" s="26" t="str">
        <x:v>Medak</x:v>
      </x:c>
      <x:c r="D68" s="26" t="str">
        <x:v>Telangana</x:v>
      </x:c>
      <x:c r="E68" s="26" t="n">
        <x:v>123083</x:v>
      </x:c>
      <x:c r="F68" s="26" t="str">
        <x:v>PRJ-2026-0123083</x:v>
      </x:c>
      <x:c r="G68" s="26" t="str">
        <x:v>Upgradation of awc</x:v>
      </x:c>
      <x:c r="H68" s="26" t="str">
        <x:v>Mission Saksham Anganwadi &amp; POSHAN 2.0</x:v>
      </x:c>
      <x:c r="I68" s="32" t="n">
        <x:v>46202</x:v>
      </x:c>
      <x:c r="J68" s="32" t="n">
        <x:v>46385</x:v>
      </x:c>
      <x:c r="K68" s="32"/>
      <x:c r="L68" s="26" t="str">
        <x:v>Active: On/After 01-Aug-2026</x:v>
      </x:c>
      <x:c r="M68" s="26" t="str">
        <x:v>Pending Mapping</x:v>
      </x:c>
      <x:c r="N68" s="26" t="str">
        <x:v>Original project JSON not available</x:v>
      </x:c>
      <x:c r="O68" s="26"/>
      <x:c r="P68" s="26" t="str"/>
      <x:c r="Q68" s="26" t="str"/>
      <x:c r="R68" s="26"/>
      <x:c r="S68" s="36"/>
      <x:c r="T68" s="26"/>
      <x:c r="U68" s="26"/>
      <x:c r="V68" s="26"/>
      <x:c r="W68" s="26" t="n">
        <x:v>1</x:v>
      </x:c>
      <x:c r="X68" s="26" t="n">
        <x:v>0</x:v>
      </x:c>
      <x:c r="Y68" s="26" t="n">
        <x:v>4</x:v>
      </x:c>
      <x:c r="Z68" s="26" t="n">
        <x:v>0</x:v>
      </x:c>
      <x:c r="AA68" s="26" t="n">
        <x:v>4</x:v>
      </x:c>
      <x:c r="AB68" s="38" t="n">
        <x:v>0</x:v>
      </x:c>
      <x:c r="AC68" s="26" t="str">
        <x:v>Committed / Not Delivered</x:v>
      </x:c>
      <x:c r="AD68" s="26" t="str">
        <x:v>Approval not recorded in response</x:v>
      </x:c>
      <x:c r="AE68" s="27" t="b">
        <x:v>1</x:v>
      </x:c>
      <x:c r="AF68" s="34" t="n">
        <x:v>46219.85309027778</x:v>
      </x:c>
      <x:c r="AG68" s="34"/>
      <x:c r="AH68" s="26" t="str">
        <x:v>Contribution API fields only; original project JSON needed for line-item names/centres/category</x:v>
      </x:c>
      <x:c r="AI68" s="26" t="str"/>
      <x:c r="AJ68" s="26" t="str">
        <x:v>Not Started</x:v>
      </x:c>
      <x:c r="AK68" s="26" t="str"/>
      <x:c r="AL68" s="26" t="str"/>
    </x:row>
    <x:row r="69">
      <x:c r="A69" s="26" t="n">
        <x:v>74</x:v>
      </x:c>
      <x:c r="B69" s="26" t="n">
        <x:v>219</x:v>
      </x:c>
      <x:c r="C69" s="26" t="str">
        <x:v>Medak</x:v>
      </x:c>
      <x:c r="D69" s="26" t="str">
        <x:v>Telangana</x:v>
      </x:c>
      <x:c r="E69" s="26" t="n">
        <x:v>123075</x:v>
      </x:c>
      <x:c r="F69" s="26" t="str">
        <x:v>PRJ-2026-0123075</x:v>
      </x:c>
      <x:c r="G69" s="26" t="str">
        <x:v>Upgradation of awc</x:v>
      </x:c>
      <x:c r="H69" s="26" t="str">
        <x:v>Mission Saksham Anganwadi &amp; POSHAN 2.0</x:v>
      </x:c>
      <x:c r="I69" s="32" t="n">
        <x:v>46202</x:v>
      </x:c>
      <x:c r="J69" s="32" t="n">
        <x:v>46382</x:v>
      </x:c>
      <x:c r="K69" s="32"/>
      <x:c r="L69" s="26" t="str">
        <x:v>Active: On/After 01-Aug-2026</x:v>
      </x:c>
      <x:c r="M69" s="26" t="str">
        <x:v>Pending Mapping</x:v>
      </x:c>
      <x:c r="N69" s="26" t="str">
        <x:v>Original project JSON not available</x:v>
      </x:c>
      <x:c r="O69" s="26"/>
      <x:c r="P69" s="26" t="str"/>
      <x:c r="Q69" s="26" t="str"/>
      <x:c r="R69" s="26"/>
      <x:c r="S69" s="36"/>
      <x:c r="T69" s="26"/>
      <x:c r="U69" s="26"/>
      <x:c r="V69" s="26"/>
      <x:c r="W69" s="26" t="n">
        <x:v>1</x:v>
      </x:c>
      <x:c r="X69" s="26" t="n">
        <x:v>0</x:v>
      </x:c>
      <x:c r="Y69" s="26" t="n">
        <x:v>4</x:v>
      </x:c>
      <x:c r="Z69" s="26" t="n">
        <x:v>0</x:v>
      </x:c>
      <x:c r="AA69" s="26" t="n">
        <x:v>4</x:v>
      </x:c>
      <x:c r="AB69" s="38" t="n">
        <x:v>0</x:v>
      </x:c>
      <x:c r="AC69" s="26" t="str">
        <x:v>Committed / Not Delivered</x:v>
      </x:c>
      <x:c r="AD69" s="26" t="str">
        <x:v>Approval not recorded in response</x:v>
      </x:c>
      <x:c r="AE69" s="27" t="b">
        <x:v>1</x:v>
      </x:c>
      <x:c r="AF69" s="34" t="n">
        <x:v>46219.85309027778</x:v>
      </x:c>
      <x:c r="AG69" s="34"/>
      <x:c r="AH69" s="26" t="str">
        <x:v>Contribution API fields only; original project JSON needed for line-item names/centres/category</x:v>
      </x:c>
      <x:c r="AI69" s="26" t="str"/>
      <x:c r="AJ69" s="26" t="str">
        <x:v>Not Started</x:v>
      </x:c>
      <x:c r="AK69" s="26" t="str"/>
      <x:c r="AL69" s="26" t="str"/>
    </x:row>
    <x:row r="70">
      <x:c r="A70" s="26" t="n">
        <x:v>75</x:v>
      </x:c>
      <x:c r="B70" s="26" t="n">
        <x:v>217</x:v>
      </x:c>
      <x:c r="C70" s="26" t="str">
        <x:v>Medak</x:v>
      </x:c>
      <x:c r="D70" s="26" t="str">
        <x:v>Telangana</x:v>
      </x:c>
      <x:c r="E70" s="26" t="n">
        <x:v>123089</x:v>
      </x:c>
      <x:c r="F70" s="26" t="str">
        <x:v>PRJ-2026-0123089</x:v>
      </x:c>
      <x:c r="G70" s="26" t="str">
        <x:v>Upgradation of awc</x:v>
      </x:c>
      <x:c r="H70" s="26" t="str">
        <x:v>Mission Saksham Anganwadi &amp; POSHAN 2.0</x:v>
      </x:c>
      <x:c r="I70" s="32" t="n">
        <x:v>46202</x:v>
      </x:c>
      <x:c r="J70" s="32" t="n">
        <x:v>46386</x:v>
      </x:c>
      <x:c r="K70" s="32"/>
      <x:c r="L70" s="26" t="str">
        <x:v>Active: On/After 01-Aug-2026</x:v>
      </x:c>
      <x:c r="M70" s="26" t="str">
        <x:v>Pending Mapping</x:v>
      </x:c>
      <x:c r="N70" s="26" t="str">
        <x:v>Original project JSON not available</x:v>
      </x:c>
      <x:c r="O70" s="26"/>
      <x:c r="P70" s="26" t="str"/>
      <x:c r="Q70" s="26" t="str"/>
      <x:c r="R70" s="26"/>
      <x:c r="S70" s="36"/>
      <x:c r="T70" s="26"/>
      <x:c r="U70" s="26"/>
      <x:c r="V70" s="26"/>
      <x:c r="W70" s="26" t="n">
        <x:v>1</x:v>
      </x:c>
      <x:c r="X70" s="26" t="n">
        <x:v>0</x:v>
      </x:c>
      <x:c r="Y70" s="26" t="n">
        <x:v>7</x:v>
      </x:c>
      <x:c r="Z70" s="26" t="n">
        <x:v>0</x:v>
      </x:c>
      <x:c r="AA70" s="26" t="n">
        <x:v>7</x:v>
      </x:c>
      <x:c r="AB70" s="38" t="n">
        <x:v>0</x:v>
      </x:c>
      <x:c r="AC70" s="26" t="str">
        <x:v>Committed / Not Delivered</x:v>
      </x:c>
      <x:c r="AD70" s="26" t="str">
        <x:v>Approval not recorded in response</x:v>
      </x:c>
      <x:c r="AE70" s="27" t="b">
        <x:v>1</x:v>
      </x:c>
      <x:c r="AF70" s="34" t="n">
        <x:v>46219.8530787037</x:v>
      </x:c>
      <x:c r="AG70" s="34"/>
      <x:c r="AH70" s="26" t="str">
        <x:v>Contribution API fields only; original project JSON needed for line-item names/centres/category</x:v>
      </x:c>
      <x:c r="AI70" s="26" t="str"/>
      <x:c r="AJ70" s="26" t="str">
        <x:v>Not Started</x:v>
      </x:c>
      <x:c r="AK70" s="26" t="str"/>
      <x:c r="AL70" s="26" t="str"/>
    </x:row>
    <x:row r="71">
      <x:c r="A71" s="26" t="n">
        <x:v>76</x:v>
      </x:c>
      <x:c r="B71" s="26" t="n">
        <x:v>215</x:v>
      </x:c>
      <x:c r="C71" s="26" t="str">
        <x:v>Medak</x:v>
      </x:c>
      <x:c r="D71" s="26" t="str">
        <x:v>Telangana</x:v>
      </x:c>
      <x:c r="E71" s="26" t="n">
        <x:v>123887</x:v>
      </x:c>
      <x:c r="F71" s="26" t="str">
        <x:v>PRJ-2026-0123887</x:v>
      </x:c>
      <x:c r="G71" s="26" t="str">
        <x:v>Upgradation of awc</x:v>
      </x:c>
      <x:c r="H71" s="26" t="str">
        <x:v>Mission Saksham Anganwadi &amp; POSHAN 2.0</x:v>
      </x:c>
      <x:c r="I71" s="32" t="n">
        <x:v>46202</x:v>
      </x:c>
      <x:c r="J71" s="32" t="n">
        <x:v>46386</x:v>
      </x:c>
      <x:c r="K71" s="32"/>
      <x:c r="L71" s="26" t="str">
        <x:v>Active: On/After 01-Aug-2026</x:v>
      </x:c>
      <x:c r="M71" s="26" t="str">
        <x:v>Pending Mapping</x:v>
      </x:c>
      <x:c r="N71" s="26" t="str">
        <x:v>Original project JSON not available</x:v>
      </x:c>
      <x:c r="O71" s="26"/>
      <x:c r="P71" s="26" t="str"/>
      <x:c r="Q71" s="26" t="str"/>
      <x:c r="R71" s="26"/>
      <x:c r="S71" s="36"/>
      <x:c r="T71" s="26"/>
      <x:c r="U71" s="26"/>
      <x:c r="V71" s="26"/>
      <x:c r="W71" s="26" t="n">
        <x:v>1</x:v>
      </x:c>
      <x:c r="X71" s="26" t="n">
        <x:v>0</x:v>
      </x:c>
      <x:c r="Y71" s="26" t="n">
        <x:v>5</x:v>
      </x:c>
      <x:c r="Z71" s="26" t="n">
        <x:v>0</x:v>
      </x:c>
      <x:c r="AA71" s="26" t="n">
        <x:v>5</x:v>
      </x:c>
      <x:c r="AB71" s="38" t="n">
        <x:v>0</x:v>
      </x:c>
      <x:c r="AC71" s="26" t="str">
        <x:v>Committed / Not Delivered</x:v>
      </x:c>
      <x:c r="AD71" s="26" t="str">
        <x:v>Approval not recorded in response</x:v>
      </x:c>
      <x:c r="AE71" s="27" t="b">
        <x:v>1</x:v>
      </x:c>
      <x:c r="AF71" s="34" t="n">
        <x:v>46219.85306712963</x:v>
      </x:c>
      <x:c r="AG71" s="34"/>
      <x:c r="AH71" s="26" t="str">
        <x:v>Contribution API fields only; original project JSON needed for line-item names/centres/category</x:v>
      </x:c>
      <x:c r="AI71" s="26" t="str"/>
      <x:c r="AJ71" s="26" t="str">
        <x:v>Not Started</x:v>
      </x:c>
      <x:c r="AK71" s="26" t="str"/>
      <x:c r="AL71" s="26" t="str"/>
    </x:row>
    <x:row r="72">
      <x:c r="A72" s="26" t="n">
        <x:v>77</x:v>
      </x:c>
      <x:c r="B72" s="26" t="n">
        <x:v>216</x:v>
      </x:c>
      <x:c r="C72" s="26" t="str">
        <x:v>Medak</x:v>
      </x:c>
      <x:c r="D72" s="26" t="str">
        <x:v>Telangana</x:v>
      </x:c>
      <x:c r="E72" s="26" t="n">
        <x:v>123865</x:v>
      </x:c>
      <x:c r="F72" s="26" t="str">
        <x:v>PRJ-2026-0123865</x:v>
      </x:c>
      <x:c r="G72" s="26" t="str">
        <x:v>Upgradation of awc</x:v>
      </x:c>
      <x:c r="H72" s="26" t="str">
        <x:v>Mission Saksham Anganwadi &amp; POSHAN 2.0</x:v>
      </x:c>
      <x:c r="I72" s="32" t="n">
        <x:v>46202</x:v>
      </x:c>
      <x:c r="J72" s="32" t="n">
        <x:v>46386</x:v>
      </x:c>
      <x:c r="K72" s="32"/>
      <x:c r="L72" s="26" t="str">
        <x:v>Active: On/After 01-Aug-2026</x:v>
      </x:c>
      <x:c r="M72" s="26" t="str">
        <x:v>Pending Mapping</x:v>
      </x:c>
      <x:c r="N72" s="26" t="str">
        <x:v>Original project JSON not available</x:v>
      </x:c>
      <x:c r="O72" s="26"/>
      <x:c r="P72" s="26" t="str"/>
      <x:c r="Q72" s="26" t="str"/>
      <x:c r="R72" s="26"/>
      <x:c r="S72" s="36"/>
      <x:c r="T72" s="26"/>
      <x:c r="U72" s="26"/>
      <x:c r="V72" s="26"/>
      <x:c r="W72" s="26" t="n">
        <x:v>1</x:v>
      </x:c>
      <x:c r="X72" s="26" t="n">
        <x:v>0</x:v>
      </x:c>
      <x:c r="Y72" s="26" t="n">
        <x:v>4</x:v>
      </x:c>
      <x:c r="Z72" s="26" t="n">
        <x:v>0</x:v>
      </x:c>
      <x:c r="AA72" s="26" t="n">
        <x:v>4</x:v>
      </x:c>
      <x:c r="AB72" s="38" t="n">
        <x:v>0</x:v>
      </x:c>
      <x:c r="AC72" s="26" t="str">
        <x:v>Committed / Not Delivered</x:v>
      </x:c>
      <x:c r="AD72" s="26" t="str">
        <x:v>Approval not recorded in response</x:v>
      </x:c>
      <x:c r="AE72" s="27" t="b">
        <x:v>1</x:v>
      </x:c>
      <x:c r="AF72" s="34" t="n">
        <x:v>46219.85306712963</x:v>
      </x:c>
      <x:c r="AG72" s="34"/>
      <x:c r="AH72" s="26" t="str">
        <x:v>Contribution API fields only; original project JSON needed for line-item names/centres/category</x:v>
      </x:c>
      <x:c r="AI72" s="26" t="str"/>
      <x:c r="AJ72" s="26" t="str">
        <x:v>Not Started</x:v>
      </x:c>
      <x:c r="AK72" s="26" t="str"/>
      <x:c r="AL72" s="26" t="str"/>
    </x:row>
    <x:row r="73">
      <x:c r="A73" s="26" t="n">
        <x:v>78</x:v>
      </x:c>
      <x:c r="B73" s="26" t="n">
        <x:v>214</x:v>
      </x:c>
      <x:c r="C73" s="26" t="str">
        <x:v>Medak</x:v>
      </x:c>
      <x:c r="D73" s="26" t="str">
        <x:v>Telangana</x:v>
      </x:c>
      <x:c r="E73" s="26" t="n">
        <x:v>123912</x:v>
      </x:c>
      <x:c r="F73" s="26" t="str">
        <x:v>PRJ-2026-0123912</x:v>
      </x:c>
      <x:c r="G73" s="26" t="str">
        <x:v>Upgradation of awc</x:v>
      </x:c>
      <x:c r="H73" s="26" t="str">
        <x:v>Mission Saksham Anganwadi &amp; POSHAN 2.0</x:v>
      </x:c>
      <x:c r="I73" s="32" t="n">
        <x:v>46202</x:v>
      </x:c>
      <x:c r="J73" s="32" t="n">
        <x:v>46384</x:v>
      </x:c>
      <x:c r="K73" s="32"/>
      <x:c r="L73" s="26" t="str">
        <x:v>Active: On/After 01-Aug-2026</x:v>
      </x:c>
      <x:c r="M73" s="26" t="str">
        <x:v>Pending Mapping</x:v>
      </x:c>
      <x:c r="N73" s="26" t="str">
        <x:v>Original project JSON not available</x:v>
      </x:c>
      <x:c r="O73" s="26"/>
      <x:c r="P73" s="26" t="str"/>
      <x:c r="Q73" s="26" t="str"/>
      <x:c r="R73" s="26"/>
      <x:c r="S73" s="36"/>
      <x:c r="T73" s="26"/>
      <x:c r="U73" s="26"/>
      <x:c r="V73" s="26"/>
      <x:c r="W73" s="26" t="n">
        <x:v>1</x:v>
      </x:c>
      <x:c r="X73" s="26" t="n">
        <x:v>0</x:v>
      </x:c>
      <x:c r="Y73" s="26" t="n">
        <x:v>5</x:v>
      </x:c>
      <x:c r="Z73" s="26" t="n">
        <x:v>0</x:v>
      </x:c>
      <x:c r="AA73" s="26" t="n">
        <x:v>5</x:v>
      </x:c>
      <x:c r="AB73" s="38" t="n">
        <x:v>0</x:v>
      </x:c>
      <x:c r="AC73" s="26" t="str">
        <x:v>Committed / Not Delivered</x:v>
      </x:c>
      <x:c r="AD73" s="26" t="str">
        <x:v>Approval not recorded in response</x:v>
      </x:c>
      <x:c r="AE73" s="27" t="b">
        <x:v>1</x:v>
      </x:c>
      <x:c r="AF73" s="34" t="n">
        <x:v>46219.853055555555</x:v>
      </x:c>
      <x:c r="AG73" s="34"/>
      <x:c r="AH73" s="26" t="str">
        <x:v>Contribution API fields only; original project JSON needed for line-item names/centres/category</x:v>
      </x:c>
      <x:c r="AI73" s="26" t="str"/>
      <x:c r="AJ73" s="26" t="str">
        <x:v>Not Started</x:v>
      </x:c>
      <x:c r="AK73" s="26" t="str"/>
      <x:c r="AL73" s="26" t="str"/>
    </x:row>
    <x:row r="74">
      <x:c r="A74" s="26" t="n">
        <x:v>79</x:v>
      </x:c>
      <x:c r="B74" s="26" t="n">
        <x:v>213</x:v>
      </x:c>
      <x:c r="C74" s="26" t="str">
        <x:v>Medak</x:v>
      </x:c>
      <x:c r="D74" s="26" t="str">
        <x:v>Telangana</x:v>
      </x:c>
      <x:c r="E74" s="26" t="n">
        <x:v>114693</x:v>
      </x:c>
      <x:c r="F74" s="26" t="str">
        <x:v>PRJ-2026-0114693</x:v>
      </x:c>
      <x:c r="G74" s="26" t="str">
        <x:v>AWC Upgradation of Veldurthy-IV</x:v>
      </x:c>
      <x:c r="H74" s="26" t="str">
        <x:v>Mission Saksham Anganwadi &amp; POSHAN 2.0</x:v>
      </x:c>
      <x:c r="I74" s="32" t="n">
        <x:v>46198</x:v>
      </x:c>
      <x:c r="J74" s="32" t="n">
        <x:v>46381</x:v>
      </x:c>
      <x:c r="K74" s="32"/>
      <x:c r="L74" s="26" t="str">
        <x:v>Active: On/After 01-Aug-2026</x:v>
      </x:c>
      <x:c r="M74" s="26" t="str">
        <x:v>Pending Mapping</x:v>
      </x:c>
      <x:c r="N74" s="26" t="str">
        <x:v>Original project JSON not available</x:v>
      </x:c>
      <x:c r="O74" s="26"/>
      <x:c r="P74" s="26" t="str"/>
      <x:c r="Q74" s="26" t="str"/>
      <x:c r="R74" s="26"/>
      <x:c r="S74" s="36"/>
      <x:c r="T74" s="26"/>
      <x:c r="U74" s="26"/>
      <x:c r="V74" s="26"/>
      <x:c r="W74" s="26" t="n">
        <x:v>5</x:v>
      </x:c>
      <x:c r="X74" s="26" t="n">
        <x:v>0</x:v>
      </x:c>
      <x:c r="Y74" s="26" t="n">
        <x:v>37</x:v>
      </x:c>
      <x:c r="Z74" s="26" t="n">
        <x:v>0</x:v>
      </x:c>
      <x:c r="AA74" s="26" t="n">
        <x:v>37</x:v>
      </x:c>
      <x:c r="AB74" s="38" t="n">
        <x:v>0</x:v>
      </x:c>
      <x:c r="AC74" s="26" t="str">
        <x:v>Committed / Not Delivered</x:v>
      </x:c>
      <x:c r="AD74" s="26" t="str">
        <x:v>Approval not recorded in response</x:v>
      </x:c>
      <x:c r="AE74" s="27" t="b">
        <x:v>1</x:v>
      </x:c>
      <x:c r="AF74" s="34" t="n">
        <x:v>46219.850752314815</x:v>
      </x:c>
      <x:c r="AG74" s="34"/>
      <x:c r="AH74" s="26" t="str">
        <x:v>Contribution API fields only; original project JSON needed for line-item names/centres/category</x:v>
      </x:c>
      <x:c r="AI74" s="26" t="str"/>
      <x:c r="AJ74" s="26" t="str">
        <x:v>Not Started</x:v>
      </x:c>
      <x:c r="AK74" s="26" t="str"/>
      <x:c r="AL74" s="26" t="str"/>
    </x:row>
    <x:row r="75">
      <x:c r="A75" s="26" t="n">
        <x:v>80</x:v>
      </x:c>
      <x:c r="B75" s="26" t="n">
        <x:v>212</x:v>
      </x:c>
      <x:c r="C75" s="26" t="str">
        <x:v>Medak</x:v>
      </x:c>
      <x:c r="D75" s="26" t="str">
        <x:v>Telangana</x:v>
      </x:c>
      <x:c r="E75" s="26" t="n">
        <x:v>114660</x:v>
      </x:c>
      <x:c r="F75" s="26" t="str">
        <x:v>PRJ-2026-0114660</x:v>
      </x:c>
      <x:c r="G75" s="26" t="str">
        <x:v>AWC Upgradation of Aragudem</x:v>
      </x:c>
      <x:c r="H75" s="26" t="str">
        <x:v>Mission Saksham Anganwadi &amp; POSHAN 2.0</x:v>
      </x:c>
      <x:c r="I75" s="32" t="n">
        <x:v>46198</x:v>
      </x:c>
      <x:c r="J75" s="32" t="n">
        <x:v>46381</x:v>
      </x:c>
      <x:c r="K75" s="32"/>
      <x:c r="L75" s="26" t="str">
        <x:v>Active: On/After 01-Aug-2026</x:v>
      </x:c>
      <x:c r="M75" s="26" t="str">
        <x:v>Pending Mapping</x:v>
      </x:c>
      <x:c r="N75" s="26" t="str">
        <x:v>Original project JSON not available</x:v>
      </x:c>
      <x:c r="O75" s="26"/>
      <x:c r="P75" s="26" t="str"/>
      <x:c r="Q75" s="26" t="str"/>
      <x:c r="R75" s="26"/>
      <x:c r="S75" s="36"/>
      <x:c r="T75" s="26"/>
      <x:c r="U75" s="26"/>
      <x:c r="V75" s="26"/>
      <x:c r="W75" s="26" t="n">
        <x:v>4</x:v>
      </x:c>
      <x:c r="X75" s="26" t="n">
        <x:v>0</x:v>
      </x:c>
      <x:c r="Y75" s="26" t="n">
        <x:v>33</x:v>
      </x:c>
      <x:c r="Z75" s="26" t="n">
        <x:v>0</x:v>
      </x:c>
      <x:c r="AA75" s="26" t="n">
        <x:v>33</x:v>
      </x:c>
      <x:c r="AB75" s="38" t="n">
        <x:v>0</x:v>
      </x:c>
      <x:c r="AC75" s="26" t="str">
        <x:v>Committed / Not Delivered</x:v>
      </x:c>
      <x:c r="AD75" s="26" t="str">
        <x:v>Approval not recorded in response</x:v>
      </x:c>
      <x:c r="AE75" s="27" t="b">
        <x:v>1</x:v>
      </x:c>
      <x:c r="AF75" s="34" t="n">
        <x:v>46219.85074074074</x:v>
      </x:c>
      <x:c r="AG75" s="34"/>
      <x:c r="AH75" s="26" t="str">
        <x:v>Contribution API fields only; original project JSON needed for line-item names/centres/category</x:v>
      </x:c>
      <x:c r="AI75" s="26" t="str"/>
      <x:c r="AJ75" s="26" t="str">
        <x:v>Not Started</x:v>
      </x:c>
      <x:c r="AK75" s="26" t="str"/>
      <x:c r="AL75" s="26" t="str"/>
    </x:row>
    <x:row r="76">
      <x:c r="A76" s="26" t="n">
        <x:v>81</x:v>
      </x:c>
      <x:c r="B76" s="26" t="n">
        <x:v>210</x:v>
      </x:c>
      <x:c r="C76" s="26" t="str">
        <x:v>Medak</x:v>
      </x:c>
      <x:c r="D76" s="26" t="str">
        <x:v>Telangana</x:v>
      </x:c>
      <x:c r="E76" s="26" t="n">
        <x:v>114707</x:v>
      </x:c>
      <x:c r="F76" s="26" t="str">
        <x:v>PRJ-2026-0114707</x:v>
      </x:c>
      <x:c r="G76" s="26" t="str">
        <x:v>AWC Upgradation of Veldurthy-I</x:v>
      </x:c>
      <x:c r="H76" s="26" t="str">
        <x:v>Mission Saksham Anganwadi &amp; POSHAN 2.0</x:v>
      </x:c>
      <x:c r="I76" s="32" t="n">
        <x:v>46198</x:v>
      </x:c>
      <x:c r="J76" s="32" t="n">
        <x:v>46381</x:v>
      </x:c>
      <x:c r="K76" s="32"/>
      <x:c r="L76" s="26" t="str">
        <x:v>Active: On/After 01-Aug-2026</x:v>
      </x:c>
      <x:c r="M76" s="26" t="str">
        <x:v>Pending Mapping</x:v>
      </x:c>
      <x:c r="N76" s="26" t="str">
        <x:v>Original project JSON not available</x:v>
      </x:c>
      <x:c r="O76" s="26"/>
      <x:c r="P76" s="26" t="str"/>
      <x:c r="Q76" s="26" t="str"/>
      <x:c r="R76" s="26"/>
      <x:c r="S76" s="36"/>
      <x:c r="T76" s="26"/>
      <x:c r="U76" s="26"/>
      <x:c r="V76" s="26"/>
      <x:c r="W76" s="26" t="n">
        <x:v>4</x:v>
      </x:c>
      <x:c r="X76" s="26" t="n">
        <x:v>0</x:v>
      </x:c>
      <x:c r="Y76" s="26" t="n">
        <x:v>39</x:v>
      </x:c>
      <x:c r="Z76" s="26" t="n">
        <x:v>0</x:v>
      </x:c>
      <x:c r="AA76" s="26" t="n">
        <x:v>39</x:v>
      </x:c>
      <x:c r="AB76" s="38" t="n">
        <x:v>0</x:v>
      </x:c>
      <x:c r="AC76" s="26" t="str">
        <x:v>Committed / Not Delivered</x:v>
      </x:c>
      <x:c r="AD76" s="26" t="str">
        <x:v>Approval not recorded in response</x:v>
      </x:c>
      <x:c r="AE76" s="27" t="b">
        <x:v>1</x:v>
      </x:c>
      <x:c r="AF76" s="34" t="n">
        <x:v>46219.85072916667</x:v>
      </x:c>
      <x:c r="AG76" s="34"/>
      <x:c r="AH76" s="26" t="str">
        <x:v>Contribution API fields only; original project JSON needed for line-item names/centres/category</x:v>
      </x:c>
      <x:c r="AI76" s="26" t="str"/>
      <x:c r="AJ76" s="26" t="str">
        <x:v>Not Started</x:v>
      </x:c>
      <x:c r="AK76" s="26" t="str"/>
      <x:c r="AL76" s="26" t="str"/>
    </x:row>
    <x:row r="77">
      <x:c r="A77" s="26" t="n">
        <x:v>82</x:v>
      </x:c>
      <x:c r="B77" s="26" t="n">
        <x:v>211</x:v>
      </x:c>
      <x:c r="C77" s="26" t="str">
        <x:v>Medak</x:v>
      </x:c>
      <x:c r="D77" s="26" t="str">
        <x:v>Telangana</x:v>
      </x:c>
      <x:c r="E77" s="26" t="n">
        <x:v>114757</x:v>
      </x:c>
      <x:c r="F77" s="26" t="str">
        <x:v>PRJ-2026-0114757</x:v>
      </x:c>
      <x:c r="G77" s="26" t="str">
        <x:v>Upgradation of awc</x:v>
      </x:c>
      <x:c r="H77" s="26" t="str">
        <x:v>Mission Saksham Anganwadi &amp; POSHAN 2.0</x:v>
      </x:c>
      <x:c r="I77" s="32" t="n">
        <x:v>46198</x:v>
      </x:c>
      <x:c r="J77" s="32" t="n">
        <x:v>46380</x:v>
      </x:c>
      <x:c r="K77" s="32"/>
      <x:c r="L77" s="26" t="str">
        <x:v>Active: On/After 01-Aug-2026</x:v>
      </x:c>
      <x:c r="M77" s="26" t="str">
        <x:v>Pending Mapping</x:v>
      </x:c>
      <x:c r="N77" s="26" t="str">
        <x:v>Original project JSON not available</x:v>
      </x:c>
      <x:c r="O77" s="26"/>
      <x:c r="P77" s="26" t="str"/>
      <x:c r="Q77" s="26" t="str"/>
      <x:c r="R77" s="26"/>
      <x:c r="S77" s="36"/>
      <x:c r="T77" s="26"/>
      <x:c r="U77" s="26"/>
      <x:c r="V77" s="26"/>
      <x:c r="W77" s="26" t="n">
        <x:v>1</x:v>
      </x:c>
      <x:c r="X77" s="26" t="n">
        <x:v>0</x:v>
      </x:c>
      <x:c r="Y77" s="26" t="n">
        <x:v>5</x:v>
      </x:c>
      <x:c r="Z77" s="26" t="n">
        <x:v>0</x:v>
      </x:c>
      <x:c r="AA77" s="26" t="n">
        <x:v>5</x:v>
      </x:c>
      <x:c r="AB77" s="38" t="n">
        <x:v>0</x:v>
      </x:c>
      <x:c r="AC77" s="26" t="str">
        <x:v>Committed / Not Delivered</x:v>
      </x:c>
      <x:c r="AD77" s="26" t="str">
        <x:v>Approval not recorded in response</x:v>
      </x:c>
      <x:c r="AE77" s="27" t="b">
        <x:v>1</x:v>
      </x:c>
      <x:c r="AF77" s="34" t="n">
        <x:v>46219.85072916667</x:v>
      </x:c>
      <x:c r="AG77" s="34"/>
      <x:c r="AH77" s="26" t="str">
        <x:v>Contribution API fields only; original project JSON needed for line-item names/centres/category</x:v>
      </x:c>
      <x:c r="AI77" s="26" t="str"/>
      <x:c r="AJ77" s="26" t="str">
        <x:v>Not Started</x:v>
      </x:c>
      <x:c r="AK77" s="26" t="str"/>
      <x:c r="AL77" s="26" t="str"/>
    </x:row>
    <x:row r="78">
      <x:c r="A78" s="26" t="n">
        <x:v>83</x:v>
      </x:c>
      <x:c r="B78" s="26" t="n">
        <x:v>208</x:v>
      </x:c>
      <x:c r="C78" s="26" t="str">
        <x:v>Medak</x:v>
      </x:c>
      <x:c r="D78" s="26" t="str">
        <x:v>Telangana</x:v>
      </x:c>
      <x:c r="E78" s="26" t="n">
        <x:v>114799</x:v>
      </x:c>
      <x:c r="F78" s="26" t="str">
        <x:v>PRJ-2026-0114799</x:v>
      </x:c>
      <x:c r="G78" s="26" t="str">
        <x:v>Upgradation of awc</x:v>
      </x:c>
      <x:c r="H78" s="26" t="str">
        <x:v>Mission Saksham Anganwadi &amp; POSHAN 2.0</x:v>
      </x:c>
      <x:c r="I78" s="32" t="n">
        <x:v>46198</x:v>
      </x:c>
      <x:c r="J78" s="32" t="n">
        <x:v>46385</x:v>
      </x:c>
      <x:c r="K78" s="32"/>
      <x:c r="L78" s="26" t="str">
        <x:v>Active: On/After 01-Aug-2026</x:v>
      </x:c>
      <x:c r="M78" s="26" t="str">
        <x:v>Pending Mapping</x:v>
      </x:c>
      <x:c r="N78" s="26" t="str">
        <x:v>Original project JSON not available</x:v>
      </x:c>
      <x:c r="O78" s="26"/>
      <x:c r="P78" s="26" t="str"/>
      <x:c r="Q78" s="26" t="str"/>
      <x:c r="R78" s="26"/>
      <x:c r="S78" s="36"/>
      <x:c r="T78" s="26"/>
      <x:c r="U78" s="26"/>
      <x:c r="V78" s="26"/>
      <x:c r="W78" s="26" t="n">
        <x:v>1</x:v>
      </x:c>
      <x:c r="X78" s="26" t="n">
        <x:v>0</x:v>
      </x:c>
      <x:c r="Y78" s="26" t="n">
        <x:v>7</x:v>
      </x:c>
      <x:c r="Z78" s="26" t="n">
        <x:v>0</x:v>
      </x:c>
      <x:c r="AA78" s="26" t="n">
        <x:v>7</x:v>
      </x:c>
      <x:c r="AB78" s="38" t="n">
        <x:v>0</x:v>
      </x:c>
      <x:c r="AC78" s="26" t="str">
        <x:v>Committed / Not Delivered</x:v>
      </x:c>
      <x:c r="AD78" s="26" t="str">
        <x:v>Approval not recorded in response</x:v>
      </x:c>
      <x:c r="AE78" s="27" t="b">
        <x:v>1</x:v>
      </x:c>
      <x:c r="AF78" s="34" t="n">
        <x:v>46219.85071759259</x:v>
      </x:c>
      <x:c r="AG78" s="34"/>
      <x:c r="AH78" s="26" t="str">
        <x:v>Contribution API fields only; original project JSON needed for line-item names/centres/category</x:v>
      </x:c>
      <x:c r="AI78" s="26" t="str"/>
      <x:c r="AJ78" s="26" t="str">
        <x:v>Not Started</x:v>
      </x:c>
      <x:c r="AK78" s="26" t="str"/>
      <x:c r="AL78" s="26" t="str"/>
    </x:row>
    <x:row r="79">
      <x:c r="A79" s="26" t="n">
        <x:v>84</x:v>
      </x:c>
      <x:c r="B79" s="26" t="n">
        <x:v>209</x:v>
      </x:c>
      <x:c r="C79" s="26" t="str">
        <x:v>Medak</x:v>
      </x:c>
      <x:c r="D79" s="26" t="str">
        <x:v>Telangana</x:v>
      </x:c>
      <x:c r="E79" s="26" t="n">
        <x:v>114776</x:v>
      </x:c>
      <x:c r="F79" s="26" t="str">
        <x:v>PRJ-2026-0114776</x:v>
      </x:c>
      <x:c r="G79" s="26" t="str">
        <x:v>Upgradation of awc</x:v>
      </x:c>
      <x:c r="H79" s="26" t="str">
        <x:v>Mission Saksham Anganwadi &amp; POSHAN 2.0</x:v>
      </x:c>
      <x:c r="I79" s="32" t="n">
        <x:v>46198</x:v>
      </x:c>
      <x:c r="J79" s="32" t="n">
        <x:v>46381</x:v>
      </x:c>
      <x:c r="K79" s="32"/>
      <x:c r="L79" s="26" t="str">
        <x:v>Active: On/After 01-Aug-2026</x:v>
      </x:c>
      <x:c r="M79" s="26" t="str">
        <x:v>Pending Mapping</x:v>
      </x:c>
      <x:c r="N79" s="26" t="str">
        <x:v>Original project JSON not available</x:v>
      </x:c>
      <x:c r="O79" s="26"/>
      <x:c r="P79" s="26" t="str"/>
      <x:c r="Q79" s="26" t="str"/>
      <x:c r="R79" s="26"/>
      <x:c r="S79" s="36"/>
      <x:c r="T79" s="26"/>
      <x:c r="U79" s="26"/>
      <x:c r="V79" s="26"/>
      <x:c r="W79" s="26" t="n">
        <x:v>1</x:v>
      </x:c>
      <x:c r="X79" s="26" t="n">
        <x:v>0</x:v>
      </x:c>
      <x:c r="Y79" s="26" t="n">
        <x:v>5</x:v>
      </x:c>
      <x:c r="Z79" s="26" t="n">
        <x:v>0</x:v>
      </x:c>
      <x:c r="AA79" s="26" t="n">
        <x:v>5</x:v>
      </x:c>
      <x:c r="AB79" s="38" t="n">
        <x:v>0</x:v>
      </x:c>
      <x:c r="AC79" s="26" t="str">
        <x:v>Committed / Not Delivered</x:v>
      </x:c>
      <x:c r="AD79" s="26" t="str">
        <x:v>Approval not recorded in response</x:v>
      </x:c>
      <x:c r="AE79" s="27" t="b">
        <x:v>1</x:v>
      </x:c>
      <x:c r="AF79" s="34" t="n">
        <x:v>46219.85071759259</x:v>
      </x:c>
      <x:c r="AG79" s="34"/>
      <x:c r="AH79" s="26" t="str">
        <x:v>Contribution API fields only; original project JSON needed for line-item names/centres/category</x:v>
      </x:c>
      <x:c r="AI79" s="26" t="str"/>
      <x:c r="AJ79" s="26" t="str">
        <x:v>Not Started</x:v>
      </x:c>
      <x:c r="AK79" s="26" t="str"/>
      <x:c r="AL79" s="26" t="str"/>
    </x:row>
    <x:row r="80">
      <x:c r="A80" s="26" t="n">
        <x:v>85</x:v>
      </x:c>
      <x:c r="B80" s="26" t="n">
        <x:v>207</x:v>
      </x:c>
      <x:c r="C80" s="26" t="str">
        <x:v>Medak</x:v>
      </x:c>
      <x:c r="D80" s="26" t="str">
        <x:v>Telangana</x:v>
      </x:c>
      <x:c r="E80" s="26" t="n">
        <x:v>114815</x:v>
      </x:c>
      <x:c r="F80" s="26" t="str">
        <x:v>PRJ-2026-0114815</x:v>
      </x:c>
      <x:c r="G80" s="26" t="str">
        <x:v>Upgradation of awc</x:v>
      </x:c>
      <x:c r="H80" s="26" t="str">
        <x:v>Mission Saksham Anganwadi &amp; POSHAN 2.0</x:v>
      </x:c>
      <x:c r="I80" s="32" t="n">
        <x:v>46198</x:v>
      </x:c>
      <x:c r="J80" s="32" t="n">
        <x:v>46381</x:v>
      </x:c>
      <x:c r="K80" s="32"/>
      <x:c r="L80" s="26" t="str">
        <x:v>Active: On/After 01-Aug-2026</x:v>
      </x:c>
      <x:c r="M80" s="26" t="str">
        <x:v>Pending Mapping</x:v>
      </x:c>
      <x:c r="N80" s="26" t="str">
        <x:v>Original project JSON not available</x:v>
      </x:c>
      <x:c r="O80" s="26"/>
      <x:c r="P80" s="26" t="str"/>
      <x:c r="Q80" s="26" t="str"/>
      <x:c r="R80" s="26"/>
      <x:c r="S80" s="36"/>
      <x:c r="T80" s="26"/>
      <x:c r="U80" s="26"/>
      <x:c r="V80" s="26"/>
      <x:c r="W80" s="26" t="n">
        <x:v>1</x:v>
      </x:c>
      <x:c r="X80" s="26" t="n">
        <x:v>0</x:v>
      </x:c>
      <x:c r="Y80" s="26" t="n">
        <x:v>4</x:v>
      </x:c>
      <x:c r="Z80" s="26" t="n">
        <x:v>0</x:v>
      </x:c>
      <x:c r="AA80" s="26" t="n">
        <x:v>4</x:v>
      </x:c>
      <x:c r="AB80" s="38" t="n">
        <x:v>0</x:v>
      </x:c>
      <x:c r="AC80" s="26" t="str">
        <x:v>Committed / Not Delivered</x:v>
      </x:c>
      <x:c r="AD80" s="26" t="str">
        <x:v>Approval not recorded in response</x:v>
      </x:c>
      <x:c r="AE80" s="27" t="b">
        <x:v>1</x:v>
      </x:c>
      <x:c r="AF80" s="34" t="n">
        <x:v>46219.85070601852</x:v>
      </x:c>
      <x:c r="AG80" s="34"/>
      <x:c r="AH80" s="26" t="str">
        <x:v>Contribution API fields only; original project JSON needed for line-item names/centres/category</x:v>
      </x:c>
      <x:c r="AI80" s="26" t="str"/>
      <x:c r="AJ80" s="26" t="str">
        <x:v>Not Started</x:v>
      </x:c>
      <x:c r="AK80" s="26" t="str"/>
      <x:c r="AL80" s="26" t="str"/>
    </x:row>
    <x:row r="81">
      <x:c r="A81" s="26" t="n">
        <x:v>86</x:v>
      </x:c>
      <x:c r="B81" s="26" t="n">
        <x:v>205</x:v>
      </x:c>
      <x:c r="C81" s="26" t="str">
        <x:v>Medak</x:v>
      </x:c>
      <x:c r="D81" s="26" t="str">
        <x:v>Telangana</x:v>
      </x:c>
      <x:c r="E81" s="26" t="n">
        <x:v>123931</x:v>
      </x:c>
      <x:c r="F81" s="26" t="str">
        <x:v>PRJ-2026-0123931</x:v>
      </x:c>
      <x:c r="G81" s="26" t="str">
        <x:v>Upgradation of awc</x:v>
      </x:c>
      <x:c r="H81" s="26" t="str">
        <x:v>Mission Saksham Anganwadi &amp; POSHAN 2.0</x:v>
      </x:c>
      <x:c r="I81" s="32" t="n">
        <x:v>46202</x:v>
      </x:c>
      <x:c r="J81" s="32" t="n">
        <x:v>46386</x:v>
      </x:c>
      <x:c r="K81" s="32"/>
      <x:c r="L81" s="26" t="str">
        <x:v>Active: On/After 01-Aug-2026</x:v>
      </x:c>
      <x:c r="M81" s="26" t="str">
        <x:v>Pending Mapping</x:v>
      </x:c>
      <x:c r="N81" s="26" t="str">
        <x:v>Original project JSON not available</x:v>
      </x:c>
      <x:c r="O81" s="26"/>
      <x:c r="P81" s="26" t="str"/>
      <x:c r="Q81" s="26" t="str"/>
      <x:c r="R81" s="26"/>
      <x:c r="S81" s="36"/>
      <x:c r="T81" s="26"/>
      <x:c r="U81" s="26"/>
      <x:c r="V81" s="26"/>
      <x:c r="W81" s="26" t="n">
        <x:v>1</x:v>
      </x:c>
      <x:c r="X81" s="26" t="n">
        <x:v>0</x:v>
      </x:c>
      <x:c r="Y81" s="26" t="n">
        <x:v>5</x:v>
      </x:c>
      <x:c r="Z81" s="26" t="n">
        <x:v>0</x:v>
      </x:c>
      <x:c r="AA81" s="26" t="n">
        <x:v>5</x:v>
      </x:c>
      <x:c r="AB81" s="38" t="n">
        <x:v>0</x:v>
      </x:c>
      <x:c r="AC81" s="26" t="str">
        <x:v>Committed / Not Delivered</x:v>
      </x:c>
      <x:c r="AD81" s="26" t="str">
        <x:v>Approval not recorded in response</x:v>
      </x:c>
      <x:c r="AE81" s="27" t="b">
        <x:v>1</x:v>
      </x:c>
      <x:c r="AF81" s="34" t="n">
        <x:v>46219.850694444445</x:v>
      </x:c>
      <x:c r="AG81" s="34"/>
      <x:c r="AH81" s="26" t="str">
        <x:v>Contribution API fields only; original project JSON needed for line-item names/centres/category</x:v>
      </x:c>
      <x:c r="AI81" s="26" t="str"/>
      <x:c r="AJ81" s="26" t="str">
        <x:v>Not Started</x:v>
      </x:c>
      <x:c r="AK81" s="26" t="str"/>
      <x:c r="AL81" s="26" t="str"/>
    </x:row>
    <x:row r="82">
      <x:c r="A82" s="26" t="n">
        <x:v>87</x:v>
      </x:c>
      <x:c r="B82" s="26" t="n">
        <x:v>206</x:v>
      </x:c>
      <x:c r="C82" s="26" t="str">
        <x:v>Medak</x:v>
      </x:c>
      <x:c r="D82" s="26" t="str">
        <x:v>Telangana</x:v>
      </x:c>
      <x:c r="E82" s="26" t="n">
        <x:v>114833</x:v>
      </x:c>
      <x:c r="F82" s="26" t="str">
        <x:v>PRJ-2026-0114833</x:v>
      </x:c>
      <x:c r="G82" s="26" t="str">
        <x:v>Upgradation of awc</x:v>
      </x:c>
      <x:c r="H82" s="26" t="str">
        <x:v>Mission Saksham Anganwadi &amp; POSHAN 2.0</x:v>
      </x:c>
      <x:c r="I82" s="32" t="n">
        <x:v>46198</x:v>
      </x:c>
      <x:c r="J82" s="32" t="n">
        <x:v>46380</x:v>
      </x:c>
      <x:c r="K82" s="32"/>
      <x:c r="L82" s="26" t="str">
        <x:v>Active: On/After 01-Aug-2026</x:v>
      </x:c>
      <x:c r="M82" s="26" t="str">
        <x:v>Pending Mapping</x:v>
      </x:c>
      <x:c r="N82" s="26" t="str">
        <x:v>Original project JSON not available</x:v>
      </x:c>
      <x:c r="O82" s="26"/>
      <x:c r="P82" s="26" t="str"/>
      <x:c r="Q82" s="26" t="str"/>
      <x:c r="R82" s="26"/>
      <x:c r="S82" s="36"/>
      <x:c r="T82" s="26"/>
      <x:c r="U82" s="26"/>
      <x:c r="V82" s="26"/>
      <x:c r="W82" s="26" t="n">
        <x:v>1</x:v>
      </x:c>
      <x:c r="X82" s="26" t="n">
        <x:v>0</x:v>
      </x:c>
      <x:c r="Y82" s="26" t="n">
        <x:v>5</x:v>
      </x:c>
      <x:c r="Z82" s="26" t="n">
        <x:v>0</x:v>
      </x:c>
      <x:c r="AA82" s="26" t="n">
        <x:v>5</x:v>
      </x:c>
      <x:c r="AB82" s="38" t="n">
        <x:v>0</x:v>
      </x:c>
      <x:c r="AC82" s="26" t="str">
        <x:v>Committed / Not Delivered</x:v>
      </x:c>
      <x:c r="AD82" s="26" t="str">
        <x:v>Approval not recorded in response</x:v>
      </x:c>
      <x:c r="AE82" s="27" t="b">
        <x:v>1</x:v>
      </x:c>
      <x:c r="AF82" s="34" t="n">
        <x:v>46219.850694444445</x:v>
      </x:c>
      <x:c r="AG82" s="34"/>
      <x:c r="AH82" s="26" t="str">
        <x:v>Contribution API fields only; original project JSON needed for line-item names/centres/category</x:v>
      </x:c>
      <x:c r="AI82" s="26" t="str"/>
      <x:c r="AJ82" s="26" t="str">
        <x:v>Not Started</x:v>
      </x:c>
      <x:c r="AK82" s="26" t="str"/>
      <x:c r="AL82" s="26" t="str"/>
    </x:row>
    <x:row r="83">
      <x:c r="A83" s="26" t="n">
        <x:v>88</x:v>
      </x:c>
      <x:c r="B83" s="26" t="n">
        <x:v>204</x:v>
      </x:c>
      <x:c r="C83" s="26" t="str">
        <x:v>Medak</x:v>
      </x:c>
      <x:c r="D83" s="26" t="str">
        <x:v>Telangana</x:v>
      </x:c>
      <x:c r="E83" s="26" t="n">
        <x:v>123955</x:v>
      </x:c>
      <x:c r="F83" s="26" t="str">
        <x:v>PRJ-2026-0123955</x:v>
      </x:c>
      <x:c r="G83" s="26" t="str">
        <x:v>Upgradation of awc</x:v>
      </x:c>
      <x:c r="H83" s="26" t="str">
        <x:v>Mission Saksham Anganwadi &amp; POSHAN 2.0</x:v>
      </x:c>
      <x:c r="I83" s="32" t="n">
        <x:v>46202</x:v>
      </x:c>
      <x:c r="J83" s="32" t="n">
        <x:v>46385</x:v>
      </x:c>
      <x:c r="K83" s="32"/>
      <x:c r="L83" s="26" t="str">
        <x:v>Active: On/After 01-Aug-2026</x:v>
      </x:c>
      <x:c r="M83" s="26" t="str">
        <x:v>Pending Mapping</x:v>
      </x:c>
      <x:c r="N83" s="26" t="str">
        <x:v>Original project JSON not available</x:v>
      </x:c>
      <x:c r="O83" s="26"/>
      <x:c r="P83" s="26" t="str"/>
      <x:c r="Q83" s="26" t="str"/>
      <x:c r="R83" s="26"/>
      <x:c r="S83" s="36"/>
      <x:c r="T83" s="26"/>
      <x:c r="U83" s="26"/>
      <x:c r="V83" s="26"/>
      <x:c r="W83" s="26" t="n">
        <x:v>1</x:v>
      </x:c>
      <x:c r="X83" s="26" t="n">
        <x:v>0</x:v>
      </x:c>
      <x:c r="Y83" s="26" t="n">
        <x:v>6</x:v>
      </x:c>
      <x:c r="Z83" s="26" t="n">
        <x:v>0</x:v>
      </x:c>
      <x:c r="AA83" s="26" t="n">
        <x:v>6</x:v>
      </x:c>
      <x:c r="AB83" s="38" t="n">
        <x:v>0</x:v>
      </x:c>
      <x:c r="AC83" s="26" t="str">
        <x:v>Committed / Not Delivered</x:v>
      </x:c>
      <x:c r="AD83" s="26" t="str">
        <x:v>Approval not recorded in response</x:v>
      </x:c>
      <x:c r="AE83" s="27" t="b">
        <x:v>1</x:v>
      </x:c>
      <x:c r="AF83" s="34" t="n">
        <x:v>46219.85068287037</x:v>
      </x:c>
      <x:c r="AG83" s="34"/>
      <x:c r="AH83" s="26" t="str">
        <x:v>Contribution API fields only; original project JSON needed for line-item names/centres/category</x:v>
      </x:c>
      <x:c r="AI83" s="26" t="str"/>
      <x:c r="AJ83" s="26" t="str">
        <x:v>Not Started</x:v>
      </x:c>
      <x:c r="AK83" s="26" t="str"/>
      <x:c r="AL83" s="26" t="str"/>
    </x:row>
    <x:row r="84">
      <x:c r="A84" s="26" t="n">
        <x:v>89</x:v>
      </x:c>
      <x:c r="B84" s="26" t="n">
        <x:v>202</x:v>
      </x:c>
      <x:c r="C84" s="26" t="str">
        <x:v>Mulugu</x:v>
      </x:c>
      <x:c r="D84" s="26" t="str">
        <x:v>Telangana</x:v>
      </x:c>
      <x:c r="E84" s="26" t="n">
        <x:v>11186</x:v>
      </x:c>
      <x:c r="F84" s="26" t="str">
        <x:v>PRJ-2026-0011186</x:v>
      </x:c>
      <x:c r="G84" s="26" t="str">
        <x:v>AWC Venkatapur II</x:v>
      </x:c>
      <x:c r="H84" s="26" t="str">
        <x:v>Mission Saksham Anganwadi &amp; POSHAN 2.0</x:v>
      </x:c>
      <x:c r="I84" s="32" t="n">
        <x:v>46164</x:v>
      </x:c>
      <x:c r="J84" s="32" t="n">
        <x:v>46348</x:v>
      </x:c>
      <x:c r="K84" s="32"/>
      <x:c r="L84" s="26" t="str">
        <x:v>Active: On/After 01-Aug-2026</x:v>
      </x:c>
      <x:c r="M84" s="26" t="str">
        <x:v>Medium</x:v>
      </x:c>
      <x:c r="N84" s="26" t="str">
        <x:v>ECCE Equipment=Minor; Educational Needs=Minor; Electrical Infrastructure=Medium; Health and Safety aids=Minor; Office Needs=Minor</x:v>
      </x:c>
      <x:c r="O84" s="26" t="n">
        <x:v>1</x:v>
      </x:c>
      <x:c r="P84" s="26" t="str">
        <x:v>Venkatapur - II (36701020605)</x:v>
      </x:c>
      <x:c r="Q84" s="26" t="str">
        <x:v>36701020605</x:v>
      </x:c>
      <x:c r="R84" s="26" t="n">
        <x:v>102</x:v>
      </x:c>
      <x:c r="S84" s="36" t="n">
        <x:v>50000</x:v>
      </x:c>
      <x:c r="T84" s="26" t="str">
        <x:v>Water Filter	
Gas Stove&amp; Regulator
Pressure Cooker	
Slides	
Kids Chairs	
Fans &amp; Lights	
Storage Bins	
Egg &amp; Milk Storge Racks	
Digital GMD
</x:v>
      </x:c>
      <x:c r="U84" s="26" t="str">
        <x:v>Water Filter	
Gas Stove&amp; Regulator
Pressure Cooker	
Slides	
Kids Chairs	
Fans &amp; Lights	
Storage Bins	
Egg &amp; Milk Storge Racks	
Digital GMD
</x:v>
      </x:c>
      <x:c r="V84" s="27" t="b">
        <x:v>1</x:v>
      </x:c>
      <x:c r="W84" s="26" t="n">
        <x:v>7</x:v>
      </x:c>
      <x:c r="X84" s="26" t="n">
        <x:v>0</x:v>
      </x:c>
      <x:c r="Y84" s="26" t="n">
        <x:v>39</x:v>
      </x:c>
      <x:c r="Z84" s="26" t="n">
        <x:v>0</x:v>
      </x:c>
      <x:c r="AA84" s="26" t="n">
        <x:v>39</x:v>
      </x:c>
      <x:c r="AB84" s="38" t="n">
        <x:v>0</x:v>
      </x:c>
      <x:c r="AC84" s="26" t="str">
        <x:v>Committed / Not Delivered</x:v>
      </x:c>
      <x:c r="AD84" s="26" t="str">
        <x:v>Approval not recorded in response</x:v>
      </x:c>
      <x:c r="AE84" s="27" t="b">
        <x:v>1</x:v>
      </x:c>
      <x:c r="AF84" s="34" t="n">
        <x:v>46219.729675925926</x:v>
      </x:c>
      <x:c r="AG84" s="34"/>
      <x:c r="AH84" s="26" t="str">
        <x:v>Fully enriched from attached Mulugu project JSON</x:v>
      </x:c>
      <x:c r="AI84" s="26" t="str"/>
      <x:c r="AJ84" s="26" t="str">
        <x:v>Not Started</x:v>
      </x:c>
      <x:c r="AK84" s="26" t="str"/>
      <x:c r="AL84" s="26" t="str"/>
    </x:row>
    <x:row r="85">
      <x:c r="A85" s="26" t="n">
        <x:v>90</x:v>
      </x:c>
      <x:c r="B85" s="26" t="n">
        <x:v>203</x:v>
      </x:c>
      <x:c r="C85" s="26" t="str">
        <x:v>Mulugu</x:v>
      </x:c>
      <x:c r="D85" s="26" t="str">
        <x:v>Telangana</x:v>
      </x:c>
      <x:c r="E85" s="26" t="n">
        <x:v>11139</x:v>
      </x:c>
      <x:c r="F85" s="26" t="str">
        <x:v>PRJ-2026-0011139</x:v>
      </x:c>
      <x:c r="G85" s="26" t="str">
        <x:v>AWC Venkatapur II BC Colony</x:v>
      </x:c>
      <x:c r="H85" s="26" t="str">
        <x:v>Mission Saksham Anganwadi &amp; POSHAN 2.0</x:v>
      </x:c>
      <x:c r="I85" s="32" t="n">
        <x:v>46164</x:v>
      </x:c>
      <x:c r="J85" s="32" t="n">
        <x:v>46348</x:v>
      </x:c>
      <x:c r="K85" s="32"/>
      <x:c r="L85" s="26" t="str">
        <x:v>Active: On/After 01-Aug-2026</x:v>
      </x:c>
      <x:c r="M85" s="26" t="str">
        <x:v>Medium</x:v>
      </x:c>
      <x:c r="N85" s="26" t="str">
        <x:v>ECCE Equipment=Minor; Educational Needs=Minor; Electrical Infrastructure=Medium; Health and Safety aids=Minor; Office Needs=Minor</x:v>
      </x:c>
      <x:c r="O85" s="26" t="n">
        <x:v>1</x:v>
      </x:c>
      <x:c r="P85" s="26" t="str">
        <x:v>Venkatapur II (Bc col (36701020602)</x:v>
      </x:c>
      <x:c r="Q85" s="26" t="str">
        <x:v>36701020602</x:v>
      </x:c>
      <x:c r="R85" s="26" t="n">
        <x:v>48</x:v>
      </x:c>
      <x:c r="S85" s="36" t="n">
        <x:v>50000</x:v>
      </x:c>
      <x:c r="T85" s="26" t="str">
        <x:v>Water Filter	
Gas Stove&amp; Regulator
Pressure Cooker	
Slides	
Kids Chairs	
Fans &amp; Lights	
Storage Bins	
Egg &amp; Milk Storge Racks	
Digital GMD
</x:v>
      </x:c>
      <x:c r="U85" s="26" t="str">
        <x:v>Water Filter	
Gas Stove&amp; Regulator
Pressure Cooker	
Slides	
Kids Chairs	
Fans &amp; Lights	
Storage Bins	
Egg &amp; Milk Storge Racks	
Digital GMD
</x:v>
      </x:c>
      <x:c r="V85" s="27" t="b">
        <x:v>1</x:v>
      </x:c>
      <x:c r="W85" s="26" t="n">
        <x:v>8</x:v>
      </x:c>
      <x:c r="X85" s="26" t="n">
        <x:v>0</x:v>
      </x:c>
      <x:c r="Y85" s="26" t="n">
        <x:v>39</x:v>
      </x:c>
      <x:c r="Z85" s="26" t="n">
        <x:v>0</x:v>
      </x:c>
      <x:c r="AA85" s="26" t="n">
        <x:v>39</x:v>
      </x:c>
      <x:c r="AB85" s="38" t="n">
        <x:v>0</x:v>
      </x:c>
      <x:c r="AC85" s="26" t="str">
        <x:v>Committed / Not Delivered</x:v>
      </x:c>
      <x:c r="AD85" s="26" t="str">
        <x:v>Approval not recorded in response</x:v>
      </x:c>
      <x:c r="AE85" s="27" t="b">
        <x:v>1</x:v>
      </x:c>
      <x:c r="AF85" s="34" t="n">
        <x:v>46219.729675925926</x:v>
      </x:c>
      <x:c r="AG85" s="34"/>
      <x:c r="AH85" s="26" t="str">
        <x:v>Fully enriched from attached Mulugu project JSON</x:v>
      </x:c>
      <x:c r="AI85" s="26" t="str"/>
      <x:c r="AJ85" s="26" t="str">
        <x:v>Not Started</x:v>
      </x:c>
      <x:c r="AK85" s="26" t="str"/>
      <x:c r="AL85" s="26" t="str"/>
    </x:row>
    <x:row r="86">
      <x:c r="A86" s="26" t="n">
        <x:v>91</x:v>
      </x:c>
      <x:c r="B86" s="26" t="n">
        <x:v>199</x:v>
      </x:c>
      <x:c r="C86" s="26" t="str">
        <x:v>Mulugu</x:v>
      </x:c>
      <x:c r="D86" s="26" t="str">
        <x:v>Telangana</x:v>
      </x:c>
      <x:c r="E86" s="26" t="n">
        <x:v>13081</x:v>
      </x:c>
      <x:c r="F86" s="26" t="str">
        <x:v>PRJ-2026-0013081</x:v>
      </x:c>
      <x:c r="G86" s="26" t="str">
        <x:v>AWC Venkatapur III</x:v>
      </x:c>
      <x:c r="H86" s="26" t="str">
        <x:v>Mission Saksham Anganwadi &amp; POSHAN 2.0</x:v>
      </x:c>
      <x:c r="I86" s="32" t="n">
        <x:v>46165</x:v>
      </x:c>
      <x:c r="J86" s="32" t="n">
        <x:v>46349</x:v>
      </x:c>
      <x:c r="K86" s="32"/>
      <x:c r="L86" s="26" t="str">
        <x:v>Active: On/After 01-Aug-2026</x:v>
      </x:c>
      <x:c r="M86" s="26" t="str">
        <x:v>Medium</x:v>
      </x:c>
      <x:c r="N86" s="26" t="str">
        <x:v>ECCE Equipment=Minor; Educational Needs=Minor; Electrical Infrastructure=Medium; Health and Safety aids=Minor; Office Needs=Minor</x:v>
      </x:c>
      <x:c r="O86" s="26" t="n">
        <x:v>1</x:v>
      </x:c>
      <x:c r="P86" s="26" t="str">
        <x:v>Venkatapur - III (36701020604)</x:v>
      </x:c>
      <x:c r="Q86" s="26" t="str">
        <x:v>36701020604</x:v>
      </x:c>
      <x:c r="R86" s="26" t="n">
        <x:v>60</x:v>
      </x:c>
      <x:c r="S86" s="36" t="n">
        <x:v>50000</x:v>
      </x:c>
      <x:c r="T86" s="26" t="str">
        <x:v>Water Filter Gas Stove&amp; Regulator Pressure Cooker Slides Kids Chairs Fans &amp; Lights Storage Bins Egg &amp; Milk Storge Racks Digital GMD</x:v>
      </x:c>
      <x:c r="U86" s="26" t="str">
        <x:v>Water Filter Gas Stove&amp; Regulator Pressure Cooker Slides Kids Chairs Fans &amp; Lights Storage Bins Egg &amp; Milk Storge Racks Digital GMD</x:v>
      </x:c>
      <x:c r="V86" s="27" t="b">
        <x:v>1</x:v>
      </x:c>
      <x:c r="W86" s="26" t="n">
        <x:v>7</x:v>
      </x:c>
      <x:c r="X86" s="26" t="n">
        <x:v>0</x:v>
      </x:c>
      <x:c r="Y86" s="26" t="n">
        <x:v>32</x:v>
      </x:c>
      <x:c r="Z86" s="26" t="n">
        <x:v>0</x:v>
      </x:c>
      <x:c r="AA86" s="26" t="n">
        <x:v>32</x:v>
      </x:c>
      <x:c r="AB86" s="38" t="n">
        <x:v>0</x:v>
      </x:c>
      <x:c r="AC86" s="26" t="str">
        <x:v>Committed / Not Delivered</x:v>
      </x:c>
      <x:c r="AD86" s="26" t="str">
        <x:v>Approval not recorded in response</x:v>
      </x:c>
      <x:c r="AE86" s="27" t="b">
        <x:v>1</x:v>
      </x:c>
      <x:c r="AF86" s="34" t="n">
        <x:v>46219.72966435185</x:v>
      </x:c>
      <x:c r="AG86" s="34"/>
      <x:c r="AH86" s="26" t="str">
        <x:v>Fully enriched from attached Mulugu project JSON</x:v>
      </x:c>
      <x:c r="AI86" s="26" t="str"/>
      <x:c r="AJ86" s="26" t="str">
        <x:v>Not Started</x:v>
      </x:c>
      <x:c r="AK86" s="26" t="str"/>
      <x:c r="AL86" s="26" t="str"/>
    </x:row>
    <x:row r="87">
      <x:c r="A87" s="26" t="n">
        <x:v>92</x:v>
      </x:c>
      <x:c r="B87" s="26" t="n">
        <x:v>200</x:v>
      </x:c>
      <x:c r="C87" s="26" t="str">
        <x:v>Mulugu</x:v>
      </x:c>
      <x:c r="D87" s="26" t="str">
        <x:v>Telangana</x:v>
      </x:c>
      <x:c r="E87" s="26" t="n">
        <x:v>11460</x:v>
      </x:c>
      <x:c r="F87" s="26" t="str">
        <x:v>PRJ-2026-0011460</x:v>
      </x:c>
      <x:c r="G87" s="26" t="str">
        <x:v>AWC Venkatapur I</x:v>
      </x:c>
      <x:c r="H87" s="26" t="str">
        <x:v>Mission Saksham Anganwadi &amp; POSHAN 2.0</x:v>
      </x:c>
      <x:c r="I87" s="32" t="n">
        <x:v>46164</x:v>
      </x:c>
      <x:c r="J87" s="32" t="n">
        <x:v>46348</x:v>
      </x:c>
      <x:c r="K87" s="32"/>
      <x:c r="L87" s="26" t="str">
        <x:v>Active: On/After 01-Aug-2026</x:v>
      </x:c>
      <x:c r="M87" s="26" t="str">
        <x:v>Medium</x:v>
      </x:c>
      <x:c r="N87" s="26" t="str">
        <x:v>ECCE Equipment=Minor; Educational Needs=Minor; Electrical Infrastructure=Medium; Health and Safety aids=Minor; Office Needs=Minor</x:v>
      </x:c>
      <x:c r="O87" s="26" t="n">
        <x:v>1</x:v>
      </x:c>
      <x:c r="P87" s="26" t="str">
        <x:v>Venkatapur - I (36701020606)</x:v>
      </x:c>
      <x:c r="Q87" s="26" t="str">
        <x:v>36701020606</x:v>
      </x:c>
      <x:c r="R87" s="26" t="n">
        <x:v>110</x:v>
      </x:c>
      <x:c r="S87" s="36" t="n">
        <x:v>50000</x:v>
      </x:c>
      <x:c r="T87" s="26" t="str">
        <x:v>Water Filter	
Gas Stove&amp; Regulator
Pressure Cooker	
Slides	
Kids Chairs	
Fans &amp; Lights	
Storage Bins	
Egg &amp; Milk Storge Racks	
Digital GMD
</x:v>
      </x:c>
      <x:c r="U87" s="26" t="str">
        <x:v>Water Filter	
Gas Stove&amp; Regulator
Pressure Cooker	
Slides	
Kids Chairs	
Fans &amp; Lights	
Storage Bins	
Egg &amp; Milk Storge Racks	
Digital GMD
</x:v>
      </x:c>
      <x:c r="V87" s="27" t="b">
        <x:v>1</x:v>
      </x:c>
      <x:c r="W87" s="26" t="n">
        <x:v>7</x:v>
      </x:c>
      <x:c r="X87" s="26" t="n">
        <x:v>0</x:v>
      </x:c>
      <x:c r="Y87" s="26" t="n">
        <x:v>37</x:v>
      </x:c>
      <x:c r="Z87" s="26" t="n">
        <x:v>0</x:v>
      </x:c>
      <x:c r="AA87" s="26" t="n">
        <x:v>37</x:v>
      </x:c>
      <x:c r="AB87" s="38" t="n">
        <x:v>0</x:v>
      </x:c>
      <x:c r="AC87" s="26" t="str">
        <x:v>Committed / Not Delivered</x:v>
      </x:c>
      <x:c r="AD87" s="26" t="str">
        <x:v>Approval not recorded in response</x:v>
      </x:c>
      <x:c r="AE87" s="27" t="b">
        <x:v>1</x:v>
      </x:c>
      <x:c r="AF87" s="34" t="n">
        <x:v>46219.72966435185</x:v>
      </x:c>
      <x:c r="AG87" s="34"/>
      <x:c r="AH87" s="26" t="str">
        <x:v>Fully enriched from attached Mulugu project JSON</x:v>
      </x:c>
      <x:c r="AI87" s="26" t="str"/>
      <x:c r="AJ87" s="26" t="str">
        <x:v>Not Started</x:v>
      </x:c>
      <x:c r="AK87" s="26" t="str"/>
      <x:c r="AL87" s="26" t="str"/>
    </x:row>
    <x:row r="88">
      <x:c r="A88" s="26" t="n">
        <x:v>93</x:v>
      </x:c>
      <x:c r="B88" s="26" t="n">
        <x:v>201</x:v>
      </x:c>
      <x:c r="C88" s="26" t="str">
        <x:v>Mulugu</x:v>
      </x:c>
      <x:c r="D88" s="26" t="str">
        <x:v>Telangana</x:v>
      </x:c>
      <x:c r="E88" s="26" t="n">
        <x:v>11386</x:v>
      </x:c>
      <x:c r="F88" s="26" t="str">
        <x:v>PRJ-2026-0011386</x:v>
      </x:c>
      <x:c r="G88" s="26" t="str">
        <x:v>AWC Venkatapur IV</x:v>
      </x:c>
      <x:c r="H88" s="26" t="str">
        <x:v>Mission Saksham Anganwadi &amp; POSHAN 2.0</x:v>
      </x:c>
      <x:c r="I88" s="32" t="n">
        <x:v>46164</x:v>
      </x:c>
      <x:c r="J88" s="32" t="n">
        <x:v>46348</x:v>
      </x:c>
      <x:c r="K88" s="32"/>
      <x:c r="L88" s="26" t="str">
        <x:v>Active: On/After 01-Aug-2026</x:v>
      </x:c>
      <x:c r="M88" s="26" t="str">
        <x:v>Medium</x:v>
      </x:c>
      <x:c r="N88" s="26" t="str">
        <x:v>ECCE Equipment=Minor; Educational Needs=Minor; Electrical Infrastructure=Medium; Health and Safety aids=Minor; Office Needs=Minor</x:v>
      </x:c>
      <x:c r="O88" s="26" t="n">
        <x:v>1</x:v>
      </x:c>
      <x:c r="P88" s="26" t="str">
        <x:v>Venkatapur - IV (36701020603)</x:v>
      </x:c>
      <x:c r="Q88" s="26" t="str">
        <x:v>36701020603</x:v>
      </x:c>
      <x:c r="R88" s="26" t="n">
        <x:v>107</x:v>
      </x:c>
      <x:c r="S88" s="36" t="n">
        <x:v>50000</x:v>
      </x:c>
      <x:c r="T88" s="26" t="str">
        <x:v>Water Filter	
Gas Stove&amp; Regulator
Pressure Cooker	
Slides	
Kids Chairs	
Fans &amp; Lights	
Storage Bins	
Egg &amp; Milk Storge Racks	
Digital GMD
</x:v>
      </x:c>
      <x:c r="U88" s="26" t="str">
        <x:v>Water Filter	
Gas Stove&amp; Regulator
Pressure Cooker	
Slides	
Kids Chairs	
Fans &amp; Lights	
Storage Bins	
Egg &amp; Milk Storge Racks	
Digital GMD
</x:v>
      </x:c>
      <x:c r="V88" s="27" t="b">
        <x:v>1</x:v>
      </x:c>
      <x:c r="W88" s="26" t="n">
        <x:v>8</x:v>
      </x:c>
      <x:c r="X88" s="26" t="n">
        <x:v>0</x:v>
      </x:c>
      <x:c r="Y88" s="26" t="n">
        <x:v>32</x:v>
      </x:c>
      <x:c r="Z88" s="26" t="n">
        <x:v>0</x:v>
      </x:c>
      <x:c r="AA88" s="26" t="n">
        <x:v>32</x:v>
      </x:c>
      <x:c r="AB88" s="38" t="n">
        <x:v>0</x:v>
      </x:c>
      <x:c r="AC88" s="26" t="str">
        <x:v>Committed / Not Delivered</x:v>
      </x:c>
      <x:c r="AD88" s="26" t="str">
        <x:v>Approval not recorded in response</x:v>
      </x:c>
      <x:c r="AE88" s="27" t="b">
        <x:v>1</x:v>
      </x:c>
      <x:c r="AF88" s="34" t="n">
        <x:v>46219.72966435185</x:v>
      </x:c>
      <x:c r="AG88" s="34"/>
      <x:c r="AH88" s="26" t="str">
        <x:v>Fully enriched from attached Mulugu project JSON</x:v>
      </x:c>
      <x:c r="AI88" s="26" t="str"/>
      <x:c r="AJ88" s="26" t="str">
        <x:v>Not Started</x:v>
      </x:c>
      <x:c r="AK88" s="26" t="str"/>
      <x:c r="AL88" s="26" t="str"/>
    </x:row>
    <x:row r="89">
      <x:c r="A89" s="26" t="n">
        <x:v>94</x:v>
      </x:c>
      <x:c r="B89" s="26" t="n">
        <x:v>196</x:v>
      </x:c>
      <x:c r="C89" s="26" t="str">
        <x:v>Mulugu</x:v>
      </x:c>
      <x:c r="D89" s="26" t="str">
        <x:v>Telangana</x:v>
      </x:c>
      <x:c r="E89" s="26" t="n">
        <x:v>13112</x:v>
      </x:c>
      <x:c r="F89" s="26" t="str">
        <x:v>PRJ-2026-0013112</x:v>
      </x:c>
      <x:c r="G89" s="26" t="str">
        <x:v>AWC Laxmidevipeta</x:v>
      </x:c>
      <x:c r="H89" s="26" t="str">
        <x:v>Mission Saksham Anganwadi &amp; POSHAN 2.0</x:v>
      </x:c>
      <x:c r="I89" s="32" t="n">
        <x:v>46165</x:v>
      </x:c>
      <x:c r="J89" s="32" t="n">
        <x:v>46349</x:v>
      </x:c>
      <x:c r="K89" s="32"/>
      <x:c r="L89" s="26" t="str">
        <x:v>Active: On/After 01-Aug-2026</x:v>
      </x:c>
      <x:c r="M89" s="26" t="str">
        <x:v>Medium</x:v>
      </x:c>
      <x:c r="N89" s="26" t="str">
        <x:v>ECCE Equipment=Minor; Educational Needs=Minor; Electrical Infrastructure=Medium; Health and Safety aids=Minor; Office Needs=Minor</x:v>
      </x:c>
      <x:c r="O89" s="26" t="n">
        <x:v>1</x:v>
      </x:c>
      <x:c r="P89" s="26" t="str">
        <x:v>Laxmidevpet (36701020619)</x:v>
      </x:c>
      <x:c r="Q89" s="26" t="str">
        <x:v>36701020619</x:v>
      </x:c>
      <x:c r="R89" s="26" t="n">
        <x:v>75</x:v>
      </x:c>
      <x:c r="S89" s="36" t="n">
        <x:v>50000</x:v>
      </x:c>
      <x:c r="T89" s="26" t="str">
        <x:v>Water Filter Gas Stove&amp; Regulator Pressure Cooker Slides Kids Chairs Fans &amp; Lights Storage Bins Egg &amp; Milk Storge Racks Digital GMD</x:v>
      </x:c>
      <x:c r="U89" s="26" t="str">
        <x:v>Water Filter Gas Stove&amp; Regulator Pressure Cooker Slides Kids Chairs Fans &amp; Lights Storage Bins Egg &amp; Milk Storge Racks Digital GMD</x:v>
      </x:c>
      <x:c r="V89" s="27" t="b">
        <x:v>1</x:v>
      </x:c>
      <x:c r="W89" s="26" t="n">
        <x:v>7</x:v>
      </x:c>
      <x:c r="X89" s="26" t="n">
        <x:v>0</x:v>
      </x:c>
      <x:c r="Y89" s="26" t="n">
        <x:v>37</x:v>
      </x:c>
      <x:c r="Z89" s="26" t="n">
        <x:v>0</x:v>
      </x:c>
      <x:c r="AA89" s="26" t="n">
        <x:v>37</x:v>
      </x:c>
      <x:c r="AB89" s="38" t="n">
        <x:v>0</x:v>
      </x:c>
      <x:c r="AC89" s="26" t="str">
        <x:v>Committed / Not Delivered</x:v>
      </x:c>
      <x:c r="AD89" s="26" t="str">
        <x:v>Approval not recorded in response</x:v>
      </x:c>
      <x:c r="AE89" s="27" t="b">
        <x:v>1</x:v>
      </x:c>
      <x:c r="AF89" s="34" t="n">
        <x:v>46219.72965277778</x:v>
      </x:c>
      <x:c r="AG89" s="34"/>
      <x:c r="AH89" s="26" t="str">
        <x:v>Fully enriched from attached Mulugu project JSON</x:v>
      </x:c>
      <x:c r="AI89" s="26" t="str"/>
      <x:c r="AJ89" s="26" t="str">
        <x:v>Not Started</x:v>
      </x:c>
      <x:c r="AK89" s="26" t="str"/>
      <x:c r="AL89" s="26" t="str"/>
    </x:row>
    <x:row r="90">
      <x:c r="A90" s="26" t="n">
        <x:v>95</x:v>
      </x:c>
      <x:c r="B90" s="26" t="n">
        <x:v>197</x:v>
      </x:c>
      <x:c r="C90" s="26" t="str">
        <x:v>Mulugu</x:v>
      </x:c>
      <x:c r="D90" s="26" t="str">
        <x:v>Telangana</x:v>
      </x:c>
      <x:c r="E90" s="26" t="n">
        <x:v>13091</x:v>
      </x:c>
      <x:c r="F90" s="26" t="str">
        <x:v>PRJ-2026-0013091</x:v>
      </x:c>
      <x:c r="G90" s="26" t="str">
        <x:v>AWC Gamponipally</x:v>
      </x:c>
      <x:c r="H90" s="26" t="str">
        <x:v>Mission Saksham Anganwadi &amp; POSHAN 2.0</x:v>
      </x:c>
      <x:c r="I90" s="32" t="n">
        <x:v>46165</x:v>
      </x:c>
      <x:c r="J90" s="32" t="n">
        <x:v>46349</x:v>
      </x:c>
      <x:c r="K90" s="32"/>
      <x:c r="L90" s="26" t="str">
        <x:v>Active: On/After 01-Aug-2026</x:v>
      </x:c>
      <x:c r="M90" s="26" t="str">
        <x:v>Medium</x:v>
      </x:c>
      <x:c r="N90" s="26" t="str">
        <x:v>ECCE Equipment=Minor; Educational Needs=Minor; Electrical Infrastructure=Medium; Health and Safety aids=Minor; Office Needs=Minor</x:v>
      </x:c>
      <x:c r="O90" s="26" t="n">
        <x:v>1</x:v>
      </x:c>
      <x:c r="P90" s="26" t="str">
        <x:v>Gamponipally(Mini) (36701020623)</x:v>
      </x:c>
      <x:c r="Q90" s="26" t="str">
        <x:v>36701020623</x:v>
      </x:c>
      <x:c r="R90" s="26" t="n">
        <x:v>14</x:v>
      </x:c>
      <x:c r="S90" s="36" t="n">
        <x:v>50000</x:v>
      </x:c>
      <x:c r="T90" s="26" t="str">
        <x:v>Water Filter Gas Stove&amp; Regulator Pressure Cooker Slides Kids Chairs Fans &amp; Lights Storage Bins Egg &amp; Milk Storge Racks Digital GMD</x:v>
      </x:c>
      <x:c r="U90" s="26" t="str">
        <x:v>Water Filter Gas Stove&amp; Regulator Pressure Cooker Slides Kids Chairs Fans &amp; Lights Storage Bins Egg &amp; Milk Storge Racks Digital GMD</x:v>
      </x:c>
      <x:c r="V90" s="27" t="b">
        <x:v>1</x:v>
      </x:c>
      <x:c r="W90" s="26" t="n">
        <x:v>7</x:v>
      </x:c>
      <x:c r="X90" s="26" t="n">
        <x:v>0</x:v>
      </x:c>
      <x:c r="Y90" s="26" t="n">
        <x:v>37</x:v>
      </x:c>
      <x:c r="Z90" s="26" t="n">
        <x:v>0</x:v>
      </x:c>
      <x:c r="AA90" s="26" t="n">
        <x:v>37</x:v>
      </x:c>
      <x:c r="AB90" s="38" t="n">
        <x:v>0</x:v>
      </x:c>
      <x:c r="AC90" s="26" t="str">
        <x:v>Committed / Not Delivered</x:v>
      </x:c>
      <x:c r="AD90" s="26" t="str">
        <x:v>Approval not recorded in response</x:v>
      </x:c>
      <x:c r="AE90" s="27" t="b">
        <x:v>1</x:v>
      </x:c>
      <x:c r="AF90" s="34" t="n">
        <x:v>46219.72965277778</x:v>
      </x:c>
      <x:c r="AG90" s="34"/>
      <x:c r="AH90" s="26" t="str">
        <x:v>Fully enriched from attached Mulugu project JSON</x:v>
      </x:c>
      <x:c r="AI90" s="26" t="str"/>
      <x:c r="AJ90" s="26" t="str">
        <x:v>Not Started</x:v>
      </x:c>
      <x:c r="AK90" s="26" t="str"/>
      <x:c r="AL90" s="26" t="str"/>
    </x:row>
    <x:row r="91">
      <x:c r="A91" s="26" t="n">
        <x:v>96</x:v>
      </x:c>
      <x:c r="B91" s="26" t="n">
        <x:v>198</x:v>
      </x:c>
      <x:c r="C91" s="26" t="str">
        <x:v>Mulugu</x:v>
      </x:c>
      <x:c r="D91" s="26" t="str">
        <x:v>Telangana</x:v>
      </x:c>
      <x:c r="E91" s="26" t="n">
        <x:v>13087</x:v>
      </x:c>
      <x:c r="F91" s="26" t="str">
        <x:v>PRJ-2026-0013087</x:v>
      </x:c>
      <x:c r="G91" s="26" t="str">
        <x:v>AWC Burugupeta</x:v>
      </x:c>
      <x:c r="H91" s="26" t="str">
        <x:v>Mission Saksham Anganwadi &amp; POSHAN 2.0</x:v>
      </x:c>
      <x:c r="I91" s="32" t="n">
        <x:v>46165</x:v>
      </x:c>
      <x:c r="J91" s="32" t="n">
        <x:v>46349</x:v>
      </x:c>
      <x:c r="K91" s="32"/>
      <x:c r="L91" s="26" t="str">
        <x:v>Active: On/After 01-Aug-2026</x:v>
      </x:c>
      <x:c r="M91" s="26" t="str">
        <x:v>Medium</x:v>
      </x:c>
      <x:c r="N91" s="26" t="str">
        <x:v>ECCE Equipment=Minor; Educational Needs=Minor; Electrical Infrastructure=Medium; Health and Safety aids=Minor; Office Needs=Minor</x:v>
      </x:c>
      <x:c r="O91" s="26" t="n">
        <x:v>1</x:v>
      </x:c>
      <x:c r="P91" s="26" t="str">
        <x:v>Burugupeta (36701020624)</x:v>
      </x:c>
      <x:c r="Q91" s="26" t="str">
        <x:v>36701020624</x:v>
      </x:c>
      <x:c r="R91" s="26" t="n">
        <x:v>70</x:v>
      </x:c>
      <x:c r="S91" s="36" t="n">
        <x:v>50000</x:v>
      </x:c>
      <x:c r="T91" s="26" t="str">
        <x:v>Water Filter Gas Stove&amp; Regulator Pressure Cooker Slides Kids Chairs Fans &amp; Lights Storage Bins Egg &amp; Milk Storge Racks Digital GMD</x:v>
      </x:c>
      <x:c r="U91" s="26" t="str">
        <x:v>Water Filter Gas Stove&amp; Regulator Pressure Cooker Slides Kids Chairs Fans &amp; Lights Storage Bins Egg &amp; Milk Storge Racks Digital GMD</x:v>
      </x:c>
      <x:c r="V91" s="27" t="b">
        <x:v>1</x:v>
      </x:c>
      <x:c r="W91" s="26" t="n">
        <x:v>7</x:v>
      </x:c>
      <x:c r="X91" s="26" t="n">
        <x:v>0</x:v>
      </x:c>
      <x:c r="Y91" s="26" t="n">
        <x:v>37</x:v>
      </x:c>
      <x:c r="Z91" s="26" t="n">
        <x:v>0</x:v>
      </x:c>
      <x:c r="AA91" s="26" t="n">
        <x:v>37</x:v>
      </x:c>
      <x:c r="AB91" s="38" t="n">
        <x:v>0</x:v>
      </x:c>
      <x:c r="AC91" s="26" t="str">
        <x:v>Committed / Not Delivered</x:v>
      </x:c>
      <x:c r="AD91" s="26" t="str">
        <x:v>Approval not recorded in response</x:v>
      </x:c>
      <x:c r="AE91" s="27" t="b">
        <x:v>1</x:v>
      </x:c>
      <x:c r="AF91" s="34" t="n">
        <x:v>46219.72965277778</x:v>
      </x:c>
      <x:c r="AG91" s="34"/>
      <x:c r="AH91" s="26" t="str">
        <x:v>Fully enriched from attached Mulugu project JSON</x:v>
      </x:c>
      <x:c r="AI91" s="26" t="str"/>
      <x:c r="AJ91" s="26" t="str">
        <x:v>Not Started</x:v>
      </x:c>
      <x:c r="AK91" s="26" t="str"/>
      <x:c r="AL91" s="26" t="str"/>
    </x:row>
    <x:row r="92">
      <x:c r="A92" s="26" t="n">
        <x:v>97</x:v>
      </x:c>
      <x:c r="B92" s="26" t="n">
        <x:v>193</x:v>
      </x:c>
      <x:c r="C92" s="26" t="str">
        <x:v>Mulugu</x:v>
      </x:c>
      <x:c r="D92" s="26" t="str">
        <x:v>Telangana</x:v>
      </x:c>
      <x:c r="E92" s="26" t="n">
        <x:v>15963</x:v>
      </x:c>
      <x:c r="F92" s="26" t="str">
        <x:v>PRJ-2026-0015963</x:v>
      </x:c>
      <x:c r="G92" s="26" t="str">
        <x:v>AWC Venkatapur Sector</x:v>
      </x:c>
      <x:c r="H92" s="26" t="str">
        <x:v>Mission Saksham Anganwadi &amp; POSHAN 2.0</x:v>
      </x:c>
      <x:c r="I92" s="32" t="n">
        <x:v>46169</x:v>
      </x:c>
      <x:c r="J92" s="32" t="n">
        <x:v>46353</x:v>
      </x:c>
      <x:c r="K92" s="32"/>
      <x:c r="L92" s="26" t="str">
        <x:v>Active: On/After 01-Aug-2026</x:v>
      </x:c>
      <x:c r="M92" s="26" t="str">
        <x:v>Medium</x:v>
      </x:c>
      <x:c r="N92" s="26" t="str">
        <x:v>ECCE Equipment=Minor; Educational Needs=Minor; Electrical Infrastructure=Medium; Health and Safety aids=Minor; Office Needs=Minor</x:v>
      </x:c>
      <x:c r="O92" s="26" t="n">
        <x:v>9</x:v>
      </x:c>
      <x:c r="P92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Q92" s="26" t="str">
        <x:v>36701020607; 36701020613; 36701020622; 36701020610; 36701020616; 36701020615; 36701020617; 36701020612; 36701020609</x:v>
      </x:c>
      <x:c r="R92" s="26" t="n">
        <x:v>1005</x:v>
      </x:c>
      <x:c r="S92" s="36" t="n">
        <x:v>50000</x:v>
      </x:c>
      <x:c r="T92" s="26" t="str">
        <x:v>Water Filter	Gas Stove&amp; Regulator						Pressure Cooker	Slides	Kids Chairs	Fans &amp; Lights	Storage Bins	Egg &amp; Milk Storge Racks	Digital GMD
</x:v>
      </x:c>
      <x:c r="U92" s="26" t="str">
        <x:v>Water Filter	Gas Stove&amp; Regulator						Pressure Cooker	Slides	Kids Chairs	Fans &amp; Lights	Storage Bins	Egg &amp; Milk Storge Racks	Digital GMD
</x:v>
      </x:c>
      <x:c r="V92" s="27" t="b">
        <x:v>1</x:v>
      </x:c>
      <x:c r="W92" s="26" t="n">
        <x:v>7</x:v>
      </x:c>
      <x:c r="X92" s="26" t="n">
        <x:v>0</x:v>
      </x:c>
      <x:c r="Y92" s="26" t="n">
        <x:v>33</x:v>
      </x:c>
      <x:c r="Z92" s="26" t="n">
        <x:v>0</x:v>
      </x:c>
      <x:c r="AA92" s="26" t="n">
        <x:v>33</x:v>
      </x:c>
      <x:c r="AB92" s="38" t="n">
        <x:v>0</x:v>
      </x:c>
      <x:c r="AC92" s="26" t="str">
        <x:v>Committed / Not Delivered</x:v>
      </x:c>
      <x:c r="AD92" s="26" t="str">
        <x:v>Approval not recorded in response</x:v>
      </x:c>
      <x:c r="AE92" s="27" t="b">
        <x:v>1</x:v>
      </x:c>
      <x:c r="AF92" s="34" t="n">
        <x:v>46219.7296412037</x:v>
      </x:c>
      <x:c r="AG92" s="34"/>
      <x:c r="AH92" s="26" t="str">
        <x:v>Fully enriched from attached Mulugu project JSON</x:v>
      </x:c>
      <x:c r="AI92" s="26" t="str"/>
      <x:c r="AJ92" s="26" t="str">
        <x:v>Not Started</x:v>
      </x:c>
      <x:c r="AK92" s="26" t="str"/>
      <x:c r="AL92" s="26" t="str"/>
    </x:row>
    <x:row r="93">
      <x:c r="A93" s="26" t="n">
        <x:v>98</x:v>
      </x:c>
      <x:c r="B93" s="26" t="n">
        <x:v>194</x:v>
      </x:c>
      <x:c r="C93" s="26" t="str">
        <x:v>Mulugu</x:v>
      </x:c>
      <x:c r="D93" s="26" t="str">
        <x:v>Telangana</x:v>
      </x:c>
      <x:c r="E93" s="26" t="n">
        <x:v>13542</x:v>
      </x:c>
      <x:c r="F93" s="26" t="str">
        <x:v>PRJ-2026-0013542</x:v>
      </x:c>
      <x:c r="G93" s="26" t="str">
        <x:v>Egg &amp; Milk Storge Racks</x:v>
      </x:c>
      <x:c r="H93" s="26" t="str">
        <x:v>Mission Saksham Anganwadi &amp; POSHAN 2.0</x:v>
      </x:c>
      <x:c r="I93" s="32" t="n">
        <x:v>46175</x:v>
      </x:c>
      <x:c r="J93" s="32" t="n">
        <x:v>46358</x:v>
      </x:c>
      <x:c r="K93" s="32"/>
      <x:c r="L93" s="26" t="str">
        <x:v>Active: On/After 01-Aug-2026</x:v>
      </x:c>
      <x:c r="M93" s="26" t="str">
        <x:v>Medium</x:v>
      </x:c>
      <x:c r="N93" s="26" t="str">
        <x:v>ECCE Equipment=Minor; Educational Needs=Minor; Electrical Infrastructure=Medium; Health and Safety aids=Minor; Office Needs=Minor</x:v>
      </x:c>
      <x:c r="O93" s="26" t="n">
        <x:v>20</x:v>
      </x:c>
      <x:c r="P93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Q93" s="26" t="str">
        <x:v>36701020423; 36701020422; 36701020421; 36701020420; 36701020418; 36701020417; 36701020416; 36701020414; 36701020413; 36701020412; 36701020411; 36701020410; 36701020409; 36701020408; 36701020407; 36701020406; 36701020405; 36701020404; 36701020403; 36701020402</x:v>
      </x:c>
      <x:c r="R93" s="26" t="n">
        <x:v>160</x:v>
      </x:c>
      <x:c r="S93" s="36" t="n">
        <x:v>50000</x:v>
      </x:c>
      <x:c r="T93" s="26" t="str">
        <x:v>Egg &amp; Milk Storge Racks</x:v>
      </x:c>
      <x:c r="U93" s="26" t="str">
        <x:v>Egg &amp; Milk Storge Racks</x:v>
      </x:c>
      <x:c r="V93" s="27" t="b">
        <x:v>1</x:v>
      </x:c>
      <x:c r="W93" s="26" t="n">
        <x:v>7</x:v>
      </x:c>
      <x:c r="X93" s="26" t="n">
        <x:v>0</x:v>
      </x:c>
      <x:c r="Y93" s="26" t="n">
        <x:v>401</x:v>
      </x:c>
      <x:c r="Z93" s="26" t="n">
        <x:v>0</x:v>
      </x:c>
      <x:c r="AA93" s="26" t="n">
        <x:v>401</x:v>
      </x:c>
      <x:c r="AB93" s="38" t="n">
        <x:v>0</x:v>
      </x:c>
      <x:c r="AC93" s="26" t="str">
        <x:v>Committed / Not Delivered</x:v>
      </x:c>
      <x:c r="AD93" s="26" t="str">
        <x:v>Approval not recorded in response</x:v>
      </x:c>
      <x:c r="AE93" s="27" t="b">
        <x:v>1</x:v>
      </x:c>
      <x:c r="AF93" s="34" t="n">
        <x:v>46219.7296412037</x:v>
      </x:c>
      <x:c r="AG93" s="34"/>
      <x:c r="AH93" s="26" t="str">
        <x:v>Fully enriched from attached Mulugu project JSON</x:v>
      </x:c>
      <x:c r="AI93" s="26" t="str"/>
      <x:c r="AJ93" s="26" t="str">
        <x:v>Not Started</x:v>
      </x:c>
      <x:c r="AK93" s="26" t="str"/>
      <x:c r="AL93" s="26" t="str"/>
    </x:row>
    <x:row r="94">
      <x:c r="A94" s="26" t="n">
        <x:v>99</x:v>
      </x:c>
      <x:c r="B94" s="26" t="n">
        <x:v>195</x:v>
      </x:c>
      <x:c r="C94" s="26" t="str">
        <x:v>Mulugu</x:v>
      </x:c>
      <x:c r="D94" s="26" t="str">
        <x:v>Telangana</x:v>
      </x:c>
      <x:c r="E94" s="26" t="n">
        <x:v>13276</x:v>
      </x:c>
      <x:c r="F94" s="26" t="str">
        <x:v>PRJ-2026-0013276</x:v>
      </x:c>
      <x:c r="G94" s="26" t="str">
        <x:v>Egg &amp; Milk Storge Racks</x:v>
      </x:c>
      <x:c r="H94" s="26" t="str">
        <x:v>Mission Saksham Anganwadi &amp; POSHAN 2.0</x:v>
      </x:c>
      <x:c r="I94" s="32" t="n">
        <x:v>46175</x:v>
      </x:c>
      <x:c r="J94" s="32" t="n">
        <x:v>46358</x:v>
      </x:c>
      <x:c r="K94" s="32"/>
      <x:c r="L94" s="26" t="str">
        <x:v>Active: On/After 01-Aug-2026</x:v>
      </x:c>
      <x:c r="M94" s="26" t="str">
        <x:v>Medium</x:v>
      </x:c>
      <x:c r="N94" s="26" t="str">
        <x:v>ECCE Equipment=Minor; Educational Needs=Minor; Electrical Infrastructure=Medium; Health and Safety aids=Minor; Office Needs=Minor</x:v>
      </x:c>
      <x:c r="O94" s="26" t="n">
        <x:v>12</x:v>
      </x:c>
      <x:c r="P94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Q94" s="26" t="str">
        <x:v>36701020123; 36701020121; 36701020120; 36701020118; 36701020117; 36701020115; 36701020114; 36701020112; 36701020111; 36701020108; 36701020104; 36701020103</x:v>
      </x:c>
      <x:c r="R94" s="26" t="n">
        <x:v>150</x:v>
      </x:c>
      <x:c r="S94" s="36" t="n">
        <x:v>50000</x:v>
      </x:c>
      <x:c r="T94" s="26" t="str">
        <x:v>Egg &amp; Milk Storge Racks
</x:v>
      </x:c>
      <x:c r="U94" s="26" t="str">
        <x:v>Egg &amp; Milk Storge Racks</x:v>
      </x:c>
      <x:c r="V94" s="27" t="b">
        <x:v>1</x:v>
      </x:c>
      <x:c r="W94" s="26" t="n">
        <x:v>6</x:v>
      </x:c>
      <x:c r="X94" s="26" t="n">
        <x:v>0</x:v>
      </x:c>
      <x:c r="Y94" s="26" t="n">
        <x:v>181</x:v>
      </x:c>
      <x:c r="Z94" s="26" t="n">
        <x:v>0</x:v>
      </x:c>
      <x:c r="AA94" s="26" t="n">
        <x:v>181</x:v>
      </x:c>
      <x:c r="AB94" s="38" t="n">
        <x:v>0</x:v>
      </x:c>
      <x:c r="AC94" s="26" t="str">
        <x:v>Committed / Not Delivered</x:v>
      </x:c>
      <x:c r="AD94" s="26" t="str">
        <x:v>Approval not recorded in response</x:v>
      </x:c>
      <x:c r="AE94" s="27" t="b">
        <x:v>1</x:v>
      </x:c>
      <x:c r="AF94" s="34" t="n">
        <x:v>46219.7296412037</x:v>
      </x:c>
      <x:c r="AG94" s="34"/>
      <x:c r="AH94" s="26" t="str">
        <x:v>Fully enriched from attached Mulugu project JSON</x:v>
      </x:c>
      <x:c r="AI94" s="26" t="str"/>
      <x:c r="AJ94" s="26" t="str">
        <x:v>Not Started</x:v>
      </x:c>
      <x:c r="AK94" s="26" t="str"/>
      <x:c r="AL94" s="26" t="str"/>
    </x:row>
    <x:row r="95">
      <x:c r="A95" s="26" t="n">
        <x:v>100</x:v>
      </x:c>
      <x:c r="B95" s="26" t="n">
        <x:v>192</x:v>
      </x:c>
      <x:c r="C95" s="26" t="str">
        <x:v>Mulugu</x:v>
      </x:c>
      <x:c r="D95" s="26" t="str">
        <x:v>Telangana</x:v>
      </x:c>
      <x:c r="E95" s="26" t="n">
        <x:v>19440</x:v>
      </x:c>
      <x:c r="F95" s="26" t="str">
        <x:v>PRJ-2026-0019440</x:v>
      </x:c>
      <x:c r="G95" s="26" t="str">
        <x:v>AWC Jangalapally Sector</x:v>
      </x:c>
      <x:c r="H95" s="26" t="str">
        <x:v>Mission Saksham Anganwadi &amp; POSHAN 2.0</x:v>
      </x:c>
      <x:c r="I95" s="32" t="n">
        <x:v>46177</x:v>
      </x:c>
      <x:c r="J95" s="32" t="n">
        <x:v>46360</x:v>
      </x:c>
      <x:c r="K95" s="32"/>
      <x:c r="L95" s="26" t="str">
        <x:v>Active: On/After 01-Aug-2026</x:v>
      </x:c>
      <x:c r="M95" s="26" t="str">
        <x:v>Medium</x:v>
      </x:c>
      <x:c r="N95" s="26" t="str">
        <x:v>ECCE Equipment=Minor; Educational Needs=Minor; Electrical Infrastructure=Medium; Health and Safety aids=Minor; Office Needs=Minor</x:v>
      </x:c>
      <x:c r="O95" s="26" t="n">
        <x:v>20</x:v>
      </x:c>
      <x:c r="P95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Q95" s="26" t="str">
        <x:v>36701020113; 36701020121; 36701020110; 36701020124; 36701020125; 36701020109; 36701020108; 36701020112; 36701020119; 36701020122; 36701020118; 36701020116; 36701020105; 36701020111; 36701020102; 36701020107; 36701020101; 36701020103; 36701020117; 36701020115</x:v>
      </x:c>
      <x:c r="R95" s="26" t="n">
        <x:v>1200</x:v>
      </x:c>
      <x:c r="S95" s="36" t="n">
        <x:v>50000</x:v>
      </x:c>
      <x:c r="T95" s="26" t="str">
        <x:v>Balapainting					Pressure Cooker	Slides	Kids Chairs	Fans &amp; Lights	Storage Bins	Egg &amp; Milk Storge Racks	Digital GMD
</x:v>
      </x:c>
      <x:c r="U95" s="26" t="str">
        <x:v>Balapainting					Pressure Cooker	Slides	Kids Chairs	Fans &amp; Lights	Storage Bins	Egg &amp; Milk Storge Racks	Digital GMD
</x:v>
      </x:c>
      <x:c r="V95" s="27" t="b">
        <x:v>1</x:v>
      </x:c>
      <x:c r="W95" s="26" t="n">
        <x:v>7</x:v>
      </x:c>
      <x:c r="X95" s="26" t="n">
        <x:v>0</x:v>
      </x:c>
      <x:c r="Y95" s="26" t="n">
        <x:v>580</x:v>
      </x:c>
      <x:c r="Z95" s="26" t="n">
        <x:v>0</x:v>
      </x:c>
      <x:c r="AA95" s="26" t="n">
        <x:v>580</x:v>
      </x:c>
      <x:c r="AB95" s="38" t="n">
        <x:v>0</x:v>
      </x:c>
      <x:c r="AC95" s="26" t="str">
        <x:v>Committed / Not Delivered</x:v>
      </x:c>
      <x:c r="AD95" s="26" t="str">
        <x:v>Approval not recorded in response</x:v>
      </x:c>
      <x:c r="AE95" s="27" t="b">
        <x:v>1</x:v>
      </x:c>
      <x:c r="AF95" s="34" t="n">
        <x:v>46219.72961805556</x:v>
      </x:c>
      <x:c r="AG95" s="34"/>
      <x:c r="AH95" s="26" t="str">
        <x:v>Fully enriched from attached Mulugu project JSON</x:v>
      </x:c>
      <x:c r="AI95" s="26" t="str"/>
      <x:c r="AJ95" s="26" t="str">
        <x:v>Not Started</x:v>
      </x:c>
      <x:c r="AK95" s="26" t="str"/>
      <x:c r="AL95" s="26" t="str"/>
    </x:row>
    <x:row r="96">
      <x:c r="A96" s="26" t="n">
        <x:v>101</x:v>
      </x:c>
      <x:c r="B96" s="26" t="n">
        <x:v>191</x:v>
      </x:c>
      <x:c r="C96" s="26" t="str">
        <x:v>Mulugu</x:v>
      </x:c>
      <x:c r="D96" s="26" t="str">
        <x:v>Telangana</x:v>
      </x:c>
      <x:c r="E96" s="26" t="n">
        <x:v>7936</x:v>
      </x:c>
      <x:c r="F96" s="26" t="str">
        <x:v>PRJ-2026-0007936</x:v>
      </x:c>
      <x:c r="G96" s="26" t="str">
        <x:v>AWC ABBAPUR</x:v>
      </x:c>
      <x:c r="H96" s="26" t="str">
        <x:v>Mission Saksham Anganwadi &amp; POSHAN 2.0</x:v>
      </x:c>
      <x:c r="I96" s="32" t="n">
        <x:v>46164</x:v>
      </x:c>
      <x:c r="J96" s="32" t="n">
        <x:v>46348</x:v>
      </x:c>
      <x:c r="K96" s="32"/>
      <x:c r="L96" s="26" t="str">
        <x:v>Active: On/After 01-Aug-2026</x:v>
      </x:c>
      <x:c r="M96" s="26" t="str">
        <x:v>Medium</x:v>
      </x:c>
      <x:c r="N96" s="26" t="str">
        <x:v>ECCE Equipment=Minor; Educational Needs=Minor; Electrical Infrastructure=Medium; Office Needs=Minor</x:v>
      </x:c>
      <x:c r="O96" s="26" t="n">
        <x:v>1</x:v>
      </x:c>
      <x:c r="P96" s="26" t="str">
        <x:v>Abbapur (36701020223)</x:v>
      </x:c>
      <x:c r="Q96" s="26" t="str">
        <x:v>36701020223</x:v>
      </x:c>
      <x:c r="R96" s="26" t="n">
        <x:v>55</x:v>
      </x:c>
      <x:c r="S96" s="36" t="n">
        <x:v>50000</x:v>
      </x:c>
      <x:c r="T96" s="26" t="str">
        <x:v>Civil Repair
Water Filter	
Gas Stove&amp; Regulator
Pressure Cooker
Slides
Kids Chairs
Fans &amp; Lights
Storage Bins
Egg &amp; Milk Storge 
</x:v>
      </x:c>
      <x:c r="U96" s="26" t="str">
        <x:v>Civil Repair
Water Filter	
Gas Stove&amp; Regulator
Pressure Cooker
Slides
Kids Chairs
Fans &amp; Lights
Storage Bins
Egg &amp; Milk Storge 
</x:v>
      </x:c>
      <x:c r="V96" s="27" t="b">
        <x:v>1</x:v>
      </x:c>
      <x:c r="W96" s="26" t="n">
        <x:v>8</x:v>
      </x:c>
      <x:c r="X96" s="26" t="n">
        <x:v>0</x:v>
      </x:c>
      <x:c r="Y96" s="26" t="n">
        <x:v>39</x:v>
      </x:c>
      <x:c r="Z96" s="26" t="n">
        <x:v>0</x:v>
      </x:c>
      <x:c r="AA96" s="26" t="n">
        <x:v>39</x:v>
      </x:c>
      <x:c r="AB96" s="38" t="n">
        <x:v>0</x:v>
      </x:c>
      <x:c r="AC96" s="26" t="str">
        <x:v>Committed / Not Delivered</x:v>
      </x:c>
      <x:c r="AD96" s="26" t="str">
        <x:v>Approval not recorded in response</x:v>
      </x:c>
      <x:c r="AE96" s="27" t="b">
        <x:v>1</x:v>
      </x:c>
      <x:c r="AF96" s="34" t="n">
        <x:v>46219.72287037037</x:v>
      </x:c>
      <x:c r="AG96" s="34"/>
      <x:c r="AH96" s="26" t="str">
        <x:v>Fully enriched from attached Mulugu project JSON</x:v>
      </x:c>
      <x:c r="AI96" s="26" t="str"/>
      <x:c r="AJ96" s="26" t="str">
        <x:v>Not Started</x:v>
      </x:c>
      <x:c r="AK96" s="26" t="str"/>
      <x:c r="AL96" s="26" t="str"/>
    </x:row>
    <x:row r="97">
      <x:c r="A97" s="26" t="n">
        <x:v>102</x:v>
      </x:c>
      <x:c r="B97" s="26" t="n">
        <x:v>190</x:v>
      </x:c>
      <x:c r="C97" s="26" t="str">
        <x:v>Mulugu</x:v>
      </x:c>
      <x:c r="D97" s="26" t="str">
        <x:v>Telangana</x:v>
      </x:c>
      <x:c r="E97" s="26" t="n">
        <x:v>19443</x:v>
      </x:c>
      <x:c r="F97" s="26" t="str">
        <x:v>PRJ-2026-0019443</x:v>
      </x:c>
      <x:c r="G97" s="26" t="str">
        <x:v>Jangalapally Sector 2</x:v>
      </x:c>
      <x:c r="H97" s="26" t="str">
        <x:v>Mission Saksham Anganwadi &amp; POSHAN 2.0</x:v>
      </x:c>
      <x:c r="I97" s="32" t="n">
        <x:v>46177</x:v>
      </x:c>
      <x:c r="J97" s="32" t="n">
        <x:v>46360</x:v>
      </x:c>
      <x:c r="K97" s="32"/>
      <x:c r="L97" s="26" t="str">
        <x:v>Active: On/After 01-Aug-2026</x:v>
      </x:c>
      <x:c r="M97" s="26" t="str">
        <x:v>Medium</x:v>
      </x:c>
      <x:c r="N97" s="26" t="str">
        <x:v>ECCE Equipment=Minor; Educational Needs=Minor; Electrical Infrastructure=Medium; Health and Safety aids=Minor; Office Needs=Minor</x:v>
      </x:c>
      <x:c r="O97" s="26" t="n">
        <x:v>5</x:v>
      </x:c>
      <x:c r="P97" s="26" t="str">
        <x:v>Incherla - II (36701020120); Jangalapalli - V (36701020114); Barigalonipalli (36701020123); Rainigudem - I (36701020106); Jangalapalli - IV (36701020115)</x:v>
      </x:c>
      <x:c r="Q97" s="26" t="str">
        <x:v>36701020120; 36701020114; 36701020123; 36701020106; 36701020115</x:v>
      </x:c>
      <x:c r="R97" s="26" t="n">
        <x:v>250</x:v>
      </x:c>
      <x:c r="S97" s="36" t="n">
        <x:v>50000</x:v>
      </x:c>
      <x:c r="T97" s="26" t="str">
        <x:v>Balapainting					Pressure Cooker	Slides	Kids Chairs	Fans &amp; Lights	Storage Bins	Egg &amp; Milk Storge Racks	Digital GMD
</x:v>
      </x:c>
      <x:c r="U97" s="26" t="str">
        <x:v>Balapainting					Pressure Cooker	Slides	Kids Chairs	Fans &amp; Lights	Storage Bins	Egg &amp; Milk Storge Racks	Digital GMD
</x:v>
      </x:c>
      <x:c r="V97" s="27" t="b">
        <x:v>1</x:v>
      </x:c>
      <x:c r="W97" s="26" t="n">
        <x:v>7</x:v>
      </x:c>
      <x:c r="X97" s="26" t="n">
        <x:v>0</x:v>
      </x:c>
      <x:c r="Y97" s="26" t="n">
        <x:v>175</x:v>
      </x:c>
      <x:c r="Z97" s="26" t="n">
        <x:v>0</x:v>
      </x:c>
      <x:c r="AA97" s="26" t="n">
        <x:v>175</x:v>
      </x:c>
      <x:c r="AB97" s="38" t="n">
        <x:v>0</x:v>
      </x:c>
      <x:c r="AC97" s="26" t="str">
        <x:v>Committed / Not Delivered</x:v>
      </x:c>
      <x:c r="AD97" s="26" t="str">
        <x:v>Approval not recorded in response</x:v>
      </x:c>
      <x:c r="AE97" s="27" t="b">
        <x:v>1</x:v>
      </x:c>
      <x:c r="AF97" s="34" t="n">
        <x:v>46219.71822916667</x:v>
      </x:c>
      <x:c r="AG97" s="34"/>
      <x:c r="AH97" s="26" t="str">
        <x:v>Fully enriched from attached Mulugu project JSON</x:v>
      </x:c>
      <x:c r="AI97" s="26" t="str"/>
      <x:c r="AJ97" s="26" t="str">
        <x:v>Not Started</x:v>
      </x:c>
      <x:c r="AK97" s="26" t="str"/>
      <x:c r="AL97" s="26" t="str"/>
    </x:row>
    <x:row r="98">
      <x:c r="A98" s="26" t="n">
        <x:v>103</x:v>
      </x:c>
      <x:c r="B98" s="26" t="n">
        <x:v>189</x:v>
      </x:c>
      <x:c r="C98" s="26" t="str">
        <x:v>Kumuram Bheem Asifabad</x:v>
      </x:c>
      <x:c r="D98" s="26" t="str">
        <x:v>Telangana</x:v>
      </x:c>
      <x:c r="E98" s="26" t="n">
        <x:v>11243</x:v>
      </x:c>
      <x:c r="F98" s="26" t="str">
        <x:v>PRJ-2026-0011243</x:v>
      </x:c>
      <x:c r="G98" s="26" t="str">
        <x:v>Water filter, solar pyanal </x:v>
      </x:c>
      <x:c r="H98" s="26" t="str">
        <x:v>Mission Saksham Anganwadi &amp; POSHAN 2.0</x:v>
      </x:c>
      <x:c r="I98" s="32" t="n">
        <x:v>46164</x:v>
      </x:c>
      <x:c r="J98" s="32" t="n">
        <x:v>46265</x:v>
      </x:c>
      <x:c r="K98" s="32"/>
      <x:c r="L98" s="26" t="str">
        <x:v>Active: On/After 01-Aug-2026</x:v>
      </x:c>
      <x:c r="M98" s="26" t="str">
        <x:v>Pending Mapping</x:v>
      </x:c>
      <x:c r="N98" s="26" t="str">
        <x:v>Original project JSON not available</x:v>
      </x:c>
      <x:c r="O98" s="26"/>
      <x:c r="P98" s="26" t="str"/>
      <x:c r="Q98" s="26" t="str"/>
      <x:c r="R98" s="26"/>
      <x:c r="S98" s="36"/>
      <x:c r="T98" s="26"/>
      <x:c r="U98" s="26"/>
      <x:c r="V98" s="26"/>
      <x:c r="W98" s="26" t="n">
        <x:v>6</x:v>
      </x:c>
      <x:c r="X98" s="26" t="n">
        <x:v>0</x:v>
      </x:c>
      <x:c r="Y98" s="26" t="n">
        <x:v>9</x:v>
      </x:c>
      <x:c r="Z98" s="26" t="n">
        <x:v>0</x:v>
      </x:c>
      <x:c r="AA98" s="26" t="n">
        <x:v>9</x:v>
      </x:c>
      <x:c r="AB98" s="38" t="n">
        <x:v>0</x:v>
      </x:c>
      <x:c r="AC98" s="26" t="str">
        <x:v>Committed / Not Delivered</x:v>
      </x:c>
      <x:c r="AD98" s="26" t="str">
        <x:v>Approval not recorded in response</x:v>
      </x:c>
      <x:c r="AE98" s="27" t="b">
        <x:v>1</x:v>
      </x:c>
      <x:c r="AF98" s="34" t="n">
        <x:v>46219.71761574074</x:v>
      </x:c>
      <x:c r="AG98" s="34"/>
      <x:c r="AH98" s="26" t="str">
        <x:v>Contribution API fields only; original project JSON needed for line-item names/centres/category</x:v>
      </x:c>
      <x:c r="AI98" s="26" t="str"/>
      <x:c r="AJ98" s="26" t="str">
        <x:v>Not Started</x:v>
      </x:c>
      <x:c r="AK98" s="26" t="str"/>
      <x:c r="AL98" s="26" t="str"/>
    </x:row>
    <x:row r="99">
      <x:c r="A99" s="26" t="n">
        <x:v>104</x:v>
      </x:c>
      <x:c r="B99" s="26" t="n">
        <x:v>173</x:v>
      </x:c>
      <x:c r="C99" s="26" t="str">
        <x:v>Kumuram Bheem Asifabad</x:v>
      </x:c>
      <x:c r="D99" s="26" t="str">
        <x:v>Telangana</x:v>
      </x:c>
      <x:c r="E99" s="26" t="n">
        <x:v>7329</x:v>
      </x:c>
      <x:c r="F99" s="26" t="str">
        <x:v>PRJ-2026-0007329</x:v>
      </x:c>
      <x:c r="G99" s="26" t="str">
        <x:v>Water filter</x:v>
      </x:c>
      <x:c r="H99" s="26" t="str">
        <x:v>Mission Saksham Anganwadi &amp; POSHAN 2.0</x:v>
      </x:c>
      <x:c r="I99" s="32" t="n">
        <x:v>46164</x:v>
      </x:c>
      <x:c r="J99" s="32" t="n">
        <x:v>46265</x:v>
      </x:c>
      <x:c r="K99" s="32"/>
      <x:c r="L99" s="26" t="str">
        <x:v>Active: On/After 01-Aug-2026</x:v>
      </x:c>
      <x:c r="M99" s="26" t="str">
        <x:v>Pending Mapping</x:v>
      </x:c>
      <x:c r="N99" s="26" t="str">
        <x:v>Original project JSON not available</x:v>
      </x:c>
      <x:c r="O99" s="26"/>
      <x:c r="P99" s="26" t="str"/>
      <x:c r="Q99" s="26" t="str"/>
      <x:c r="R99" s="26"/>
      <x:c r="S99" s="36"/>
      <x:c r="T99" s="26"/>
      <x:c r="U99" s="26"/>
      <x:c r="V99" s="26"/>
      <x:c r="W99" s="26" t="n">
        <x:v>1</x:v>
      </x:c>
      <x:c r="X99" s="26" t="n">
        <x:v>0</x:v>
      </x:c>
      <x:c r="Y99" s="26" t="n">
        <x:v>1</x:v>
      </x:c>
      <x:c r="Z99" s="26" t="n">
        <x:v>0</x:v>
      </x:c>
      <x:c r="AA99" s="26" t="n">
        <x:v>1</x:v>
      </x:c>
      <x:c r="AB99" s="38" t="n">
        <x:v>0</x:v>
      </x:c>
      <x:c r="AC99" s="26" t="str">
        <x:v>Committed / Not Delivered</x:v>
      </x:c>
      <x:c r="AD99" s="26" t="str">
        <x:v>Approval not recorded in response</x:v>
      </x:c>
      <x:c r="AE99" s="27" t="b">
        <x:v>1</x:v>
      </x:c>
      <x:c r="AF99" s="34" t="n">
        <x:v>46219.438935185186</x:v>
      </x:c>
      <x:c r="AG99" s="34"/>
      <x:c r="AH99" s="26" t="str">
        <x:v>Contribution API fields only; original project JSON needed for line-item names/centres/category</x:v>
      </x:c>
      <x:c r="AI99" s="26" t="str"/>
      <x:c r="AJ99" s="26" t="str">
        <x:v>Not Started</x:v>
      </x:c>
      <x:c r="AK99" s="26" t="str"/>
      <x:c r="AL99" s="26" t="str"/>
    </x:row>
    <x:row r="100">
      <x:c r="A100" s="26" t="n">
        <x:v>105</x:v>
      </x:c>
      <x:c r="B100" s="26" t="n">
        <x:v>184</x:v>
      </x:c>
      <x:c r="C100" s="26" t="str">
        <x:v>Kumuram Bheem Asifabad</x:v>
      </x:c>
      <x:c r="D100" s="26" t="str">
        <x:v>Telangana</x:v>
      </x:c>
      <x:c r="E100" s="26" t="n">
        <x:v>10044</x:v>
      </x:c>
      <x:c r="F100" s="26" t="str">
        <x:v>PRJ-2026-0010044</x:v>
      </x:c>
      <x:c r="G100" s="26" t="str">
        <x:v>Water filter </x:v>
      </x:c>
      <x:c r="H100" s="26" t="str">
        <x:v>Mission Saksham Anganwadi &amp; POSHAN 2.0</x:v>
      </x:c>
      <x:c r="I100" s="32" t="n">
        <x:v>46164</x:v>
      </x:c>
      <x:c r="J100" s="32" t="n">
        <x:v>46265</x:v>
      </x:c>
      <x:c r="K100" s="32"/>
      <x:c r="L100" s="26" t="str">
        <x:v>Active: On/After 01-Aug-2026</x:v>
      </x:c>
      <x:c r="M100" s="26" t="str">
        <x:v>Pending Mapping</x:v>
      </x:c>
      <x:c r="N100" s="26" t="str">
        <x:v>Original project JSON not available</x:v>
      </x:c>
      <x:c r="O100" s="26"/>
      <x:c r="P100" s="26" t="str"/>
      <x:c r="Q100" s="26" t="str"/>
      <x:c r="R100" s="26"/>
      <x:c r="S100" s="36"/>
      <x:c r="T100" s="26"/>
      <x:c r="U100" s="26"/>
      <x:c r="V100" s="26"/>
      <x:c r="W100" s="26" t="n">
        <x:v>1</x:v>
      </x:c>
      <x:c r="X100" s="26" t="n">
        <x:v>0</x:v>
      </x:c>
      <x:c r="Y100" s="26" t="n">
        <x:v>1</x:v>
      </x:c>
      <x:c r="Z100" s="26" t="n">
        <x:v>0</x:v>
      </x:c>
      <x:c r="AA100" s="26" t="n">
        <x:v>1</x:v>
      </x:c>
      <x:c r="AB100" s="38" t="n">
        <x:v>0</x:v>
      </x:c>
      <x:c r="AC100" s="26" t="str">
        <x:v>Committed / Not Delivered</x:v>
      </x:c>
      <x:c r="AD100" s="26" t="str">
        <x:v>Approval not recorded in response</x:v>
      </x:c>
      <x:c r="AE100" s="27" t="b">
        <x:v>1</x:v>
      </x:c>
      <x:c r="AF100" s="34" t="n">
        <x:v>46219.438935185186</x:v>
      </x:c>
      <x:c r="AG100" s="34"/>
      <x:c r="AH100" s="26" t="str">
        <x:v>Contribution API fields only; original project JSON needed for line-item names/centres/category</x:v>
      </x:c>
      <x:c r="AI100" s="26" t="str"/>
      <x:c r="AJ100" s="26" t="str">
        <x:v>Not Started</x:v>
      </x:c>
      <x:c r="AK100" s="26" t="str"/>
      <x:c r="AL100" s="26" t="str"/>
    </x:row>
    <x:row r="101">
      <x:c r="A101" s="26" t="n">
        <x:v>106</x:v>
      </x:c>
      <x:c r="B101" s="26" t="n">
        <x:v>185</x:v>
      </x:c>
      <x:c r="C101" s="26" t="str">
        <x:v>Kumuram Bheem Asifabad</x:v>
      </x:c>
      <x:c r="D101" s="26" t="str">
        <x:v>Telangana</x:v>
      </x:c>
      <x:c r="E101" s="26" t="n">
        <x:v>10183</x:v>
      </x:c>
      <x:c r="F101" s="26" t="str">
        <x:v>PRJ-2026-0010183</x:v>
      </x:c>
      <x:c r="G101" s="26" t="str">
        <x:v>Water filter </x:v>
      </x:c>
      <x:c r="H101" s="26" t="str">
        <x:v>Mission Saksham Anganwadi &amp; POSHAN 2.0</x:v>
      </x:c>
      <x:c r="I101" s="32" t="n">
        <x:v>46165</x:v>
      </x:c>
      <x:c r="J101" s="32" t="n">
        <x:v>46265</x:v>
      </x:c>
      <x:c r="K101" s="32"/>
      <x:c r="L101" s="26" t="str">
        <x:v>Active: On/After 01-Aug-2026</x:v>
      </x:c>
      <x:c r="M101" s="26" t="str">
        <x:v>Pending Mapping</x:v>
      </x:c>
      <x:c r="N101" s="26" t="str">
        <x:v>Original project JSON not available</x:v>
      </x:c>
      <x:c r="O101" s="26"/>
      <x:c r="P101" s="26" t="str"/>
      <x:c r="Q101" s="26" t="str"/>
      <x:c r="R101" s="26"/>
      <x:c r="S101" s="36"/>
      <x:c r="T101" s="26"/>
      <x:c r="U101" s="26"/>
      <x:c r="V101" s="26"/>
      <x:c r="W101" s="26" t="n">
        <x:v>1</x:v>
      </x:c>
      <x:c r="X101" s="26" t="n">
        <x:v>0</x:v>
      </x:c>
      <x:c r="Y101" s="26" t="n">
        <x:v>1</x:v>
      </x:c>
      <x:c r="Z101" s="26" t="n">
        <x:v>0</x:v>
      </x:c>
      <x:c r="AA101" s="26" t="n">
        <x:v>1</x:v>
      </x:c>
      <x:c r="AB101" s="38" t="n">
        <x:v>0</x:v>
      </x:c>
      <x:c r="AC101" s="26" t="str">
        <x:v>Committed / Not Delivered</x:v>
      </x:c>
      <x:c r="AD101" s="26" t="str">
        <x:v>Approval not recorded in response</x:v>
      </x:c>
      <x:c r="AE101" s="27" t="b">
        <x:v>1</x:v>
      </x:c>
      <x:c r="AF101" s="34" t="n">
        <x:v>46219.43892361111</x:v>
      </x:c>
      <x:c r="AG101" s="34"/>
      <x:c r="AH101" s="26" t="str">
        <x:v>Contribution API fields only; original project JSON needed for line-item names/centres/category</x:v>
      </x:c>
      <x:c r="AI101" s="26" t="str"/>
      <x:c r="AJ101" s="26" t="str">
        <x:v>Not Started</x:v>
      </x:c>
      <x:c r="AK101" s="26" t="str"/>
      <x:c r="AL101" s="26" t="str"/>
    </x:row>
    <x:row r="102">
      <x:c r="A102" s="26" t="n">
        <x:v>107</x:v>
      </x:c>
      <x:c r="B102" s="26" t="n">
        <x:v>186</x:v>
      </x:c>
      <x:c r="C102" s="26" t="str">
        <x:v>Kumuram Bheem Asifabad</x:v>
      </x:c>
      <x:c r="D102" s="26" t="str">
        <x:v>Telangana</x:v>
      </x:c>
      <x:c r="E102" s="26" t="n">
        <x:v>10282</x:v>
      </x:c>
      <x:c r="F102" s="26" t="str">
        <x:v>PRJ-2026-0010282</x:v>
      </x:c>
      <x:c r="G102" s="26" t="str">
        <x:v>Water filter, gas stove, ECCE metirial </x:v>
      </x:c>
      <x:c r="H102" s="26" t="str">
        <x:v>Mission Saksham Anganwadi &amp; POSHAN 2.0</x:v>
      </x:c>
      <x:c r="I102" s="32" t="n">
        <x:v>46164</x:v>
      </x:c>
      <x:c r="J102" s="32" t="n">
        <x:v>46265</x:v>
      </x:c>
      <x:c r="K102" s="32"/>
      <x:c r="L102" s="26" t="str">
        <x:v>Active: On/After 01-Aug-2026</x:v>
      </x:c>
      <x:c r="M102" s="26" t="str">
        <x:v>Pending Mapping</x:v>
      </x:c>
      <x:c r="N102" s="26" t="str">
        <x:v>Original project JSON not available</x:v>
      </x:c>
      <x:c r="O102" s="26"/>
      <x:c r="P102" s="26" t="str"/>
      <x:c r="Q102" s="26" t="str"/>
      <x:c r="R102" s="26"/>
      <x:c r="S102" s="36"/>
      <x:c r="T102" s="26"/>
      <x:c r="U102" s="26"/>
      <x:c r="V102" s="26"/>
      <x:c r="W102" s="26" t="n">
        <x:v>2</x:v>
      </x:c>
      <x:c r="X102" s="26" t="n">
        <x:v>0</x:v>
      </x:c>
      <x:c r="Y102" s="26" t="n">
        <x:v>2</x:v>
      </x:c>
      <x:c r="Z102" s="26" t="n">
        <x:v>0</x:v>
      </x:c>
      <x:c r="AA102" s="26" t="n">
        <x:v>2</x:v>
      </x:c>
      <x:c r="AB102" s="38" t="n">
        <x:v>0</x:v>
      </x:c>
      <x:c r="AC102" s="26" t="str">
        <x:v>Committed / Not Delivered</x:v>
      </x:c>
      <x:c r="AD102" s="26" t="str">
        <x:v>Approval not recorded in response</x:v>
      </x:c>
      <x:c r="AE102" s="27" t="b">
        <x:v>1</x:v>
      </x:c>
      <x:c r="AF102" s="34" t="n">
        <x:v>46219.43891203704</x:v>
      </x:c>
      <x:c r="AG102" s="34"/>
      <x:c r="AH102" s="26" t="str">
        <x:v>Contribution API fields only; original project JSON needed for line-item names/centres/category</x:v>
      </x:c>
      <x:c r="AI102" s="26" t="str"/>
      <x:c r="AJ102" s="26" t="str">
        <x:v>Not Started</x:v>
      </x:c>
      <x:c r="AK102" s="26" t="str"/>
      <x:c r="AL102" s="26" t="str"/>
    </x:row>
    <x:row r="103">
      <x:c r="A103" s="26" t="n">
        <x:v>108</x:v>
      </x:c>
      <x:c r="B103" s="26" t="n">
        <x:v>131</x:v>
      </x:c>
      <x:c r="C103" s="26" t="str">
        <x:v>Kumuram Bheem Asifabad</x:v>
      </x:c>
      <x:c r="D103" s="26" t="str">
        <x:v>Telangana</x:v>
      </x:c>
      <x:c r="E103" s="26" t="n">
        <x:v>10279</x:v>
      </x:c>
      <x:c r="F103" s="26" t="str">
        <x:v>PRJ-2026-0010279</x:v>
      </x:c>
      <x:c r="G103" s="26" t="str">
        <x:v>Rain Water Harvesting System : Water Filter Kitchen Construction : Poshan Vatika  kitchen Shelves : Gas stove, regulator : Solar Panel : Civil Repair : Toilet</x:v>
      </x:c>
      <x:c r="H103" s="26" t="str">
        <x:v>Mission Saksham Anganwadi &amp; POSHAN 2.0</x:v>
      </x:c>
      <x:c r="I103" s="32" t="n">
        <x:v>46164</x:v>
      </x:c>
      <x:c r="J103" s="32" t="n">
        <x:v>46255</x:v>
      </x:c>
      <x:c r="K103" s="32"/>
      <x:c r="L103" s="26" t="str">
        <x:v>Active: On/After 01-Aug-2026</x:v>
      </x:c>
      <x:c r="M103" s="26" t="str">
        <x:v>Pending Mapping</x:v>
      </x:c>
      <x:c r="N103" s="26" t="str">
        <x:v>Original project JSON not available</x:v>
      </x:c>
      <x:c r="O103" s="26"/>
      <x:c r="P103" s="26" t="str"/>
      <x:c r="Q103" s="26" t="str"/>
      <x:c r="R103" s="26"/>
      <x:c r="S103" s="36"/>
      <x:c r="T103" s="26"/>
      <x:c r="U103" s="26"/>
      <x:c r="V103" s="26"/>
      <x:c r="W103" s="26" t="n">
        <x:v>1</x:v>
      </x:c>
      <x:c r="X103" s="26" t="n">
        <x:v>0</x:v>
      </x:c>
      <x:c r="Y103" s="26" t="n">
        <x:v>1</x:v>
      </x:c>
      <x:c r="Z103" s="26" t="n">
        <x:v>0</x:v>
      </x:c>
      <x:c r="AA103" s="26" t="n">
        <x:v>1</x:v>
      </x:c>
      <x:c r="AB103" s="38" t="n">
        <x:v>0</x:v>
      </x:c>
      <x:c r="AC103" s="26" t="str">
        <x:v>Committed / Not Delivered</x:v>
      </x:c>
      <x:c r="AD103" s="26" t="str">
        <x:v>Approval not recorded in response</x:v>
      </x:c>
      <x:c r="AE103" s="27" t="b">
        <x:v>1</x:v>
      </x:c>
      <x:c r="AF103" s="34" t="n">
        <x:v>46219.42805555555</x:v>
      </x:c>
      <x:c r="AG103" s="34"/>
      <x:c r="AH103" s="26" t="str">
        <x:v>Contribution API fields only; original project JSON needed for line-item names/centres/category</x:v>
      </x:c>
      <x:c r="AI103" s="26" t="str"/>
      <x:c r="AJ103" s="26" t="str">
        <x:v>Not Started</x:v>
      </x:c>
      <x:c r="AK103" s="26" t="str"/>
      <x:c r="AL103" s="26" t="str"/>
    </x:row>
    <x:row r="104">
      <x:c r="A104" s="26" t="n">
        <x:v>109</x:v>
      </x:c>
      <x:c r="B104" s="26" t="n">
        <x:v>133</x:v>
      </x:c>
      <x:c r="C104" s="26" t="str">
        <x:v>Kumuram Bheem Asifabad</x:v>
      </x:c>
      <x:c r="D104" s="26" t="str">
        <x:v>Telangana</x:v>
      </x:c>
      <x:c r="E104" s="26" t="n">
        <x:v>83</x:v>
      </x:c>
      <x:c r="F104" s="26" t="str">
        <x:v>PRJ-2026-0000083</x:v>
      </x:c>
      <x:c r="G104" s="26" t="str">
        <x:v>Requirement of Water Filter, ECCE, GMD</x:v>
      </x:c>
      <x:c r="H104" s="26" t="str">
        <x:v>Mission Saksham Anganwadi &amp; POSHAN 2.0</x:v>
      </x:c>
      <x:c r="I104" s="32" t="n">
        <x:v>46163</x:v>
      </x:c>
      <x:c r="J104" s="32" t="n">
        <x:v>46316</x:v>
      </x:c>
      <x:c r="K104" s="32"/>
      <x:c r="L104" s="26" t="str">
        <x:v>Active: On/After 01-Aug-2026</x:v>
      </x:c>
      <x:c r="M104" s="26" t="str">
        <x:v>Pending Mapping</x:v>
      </x:c>
      <x:c r="N104" s="26" t="str">
        <x:v>Original project JSON not available</x:v>
      </x:c>
      <x:c r="O104" s="26"/>
      <x:c r="P104" s="26" t="str"/>
      <x:c r="Q104" s="26" t="str"/>
      <x:c r="R104" s="26"/>
      <x:c r="S104" s="36"/>
      <x:c r="T104" s="26"/>
      <x:c r="U104" s="26"/>
      <x:c r="V104" s="26"/>
      <x:c r="W104" s="26" t="n">
        <x:v>2</x:v>
      </x:c>
      <x:c r="X104" s="26" t="n">
        <x:v>0</x:v>
      </x:c>
      <x:c r="Y104" s="26" t="n">
        <x:v>3</x:v>
      </x:c>
      <x:c r="Z104" s="26" t="n">
        <x:v>0</x:v>
      </x:c>
      <x:c r="AA104" s="26" t="n">
        <x:v>3</x:v>
      </x:c>
      <x:c r="AB104" s="38" t="n">
        <x:v>0</x:v>
      </x:c>
      <x:c r="AC104" s="26" t="str">
        <x:v>Committed / Not Delivered</x:v>
      </x:c>
      <x:c r="AD104" s="26" t="str">
        <x:v>Approval not recorded in response</x:v>
      </x:c>
      <x:c r="AE104" s="27" t="b">
        <x:v>1</x:v>
      </x:c>
      <x:c r="AF104" s="34" t="n">
        <x:v>46219.41050925926</x:v>
      </x:c>
      <x:c r="AG104" s="34"/>
      <x:c r="AH104" s="26" t="str">
        <x:v>Contribution API fields only; original project JSON needed for line-item names/centres/category</x:v>
      </x:c>
      <x:c r="AI104" s="26" t="str"/>
      <x:c r="AJ104" s="26" t="str">
        <x:v>Not Started</x:v>
      </x:c>
      <x:c r="AK104" s="26" t="str"/>
      <x:c r="AL104" s="26" t="str"/>
    </x:row>
    <x:row r="105">
      <x:c r="A105" s="26" t="n">
        <x:v>110</x:v>
      </x:c>
      <x:c r="B105" s="26" t="n">
        <x:v>140</x:v>
      </x:c>
      <x:c r="C105" s="26" t="str">
        <x:v>Kumuram Bheem Asifabad</x:v>
      </x:c>
      <x:c r="D105" s="26" t="str">
        <x:v>Telangana</x:v>
      </x:c>
      <x:c r="E105" s="26" t="n">
        <x:v>1228</x:v>
      </x:c>
      <x:c r="F105" s="26" t="str">
        <x:v>PRJ-2026-0001228</x:v>
      </x:c>
      <x:c r="G105" s="26" t="str">
        <x:v>Materials (Games, Toys, Balls)  </x:v>
      </x:c>
      <x:c r="H105" s="26" t="str">
        <x:v>Mission Saksham Anganwadi &amp; POSHAN 2.0</x:v>
      </x:c>
      <x:c r="I105" s="32" t="n">
        <x:v>46163</x:v>
      </x:c>
      <x:c r="J105" s="32" t="n">
        <x:v>46316</x:v>
      </x:c>
      <x:c r="K105" s="32"/>
      <x:c r="L105" s="26" t="str">
        <x:v>Active: On/After 01-Aug-2026</x:v>
      </x:c>
      <x:c r="M105" s="26" t="str">
        <x:v>Pending Mapping</x:v>
      </x:c>
      <x:c r="N105" s="26" t="str">
        <x:v>Original project JSON not available</x:v>
      </x:c>
      <x:c r="O105" s="26"/>
      <x:c r="P105" s="26" t="str"/>
      <x:c r="Q105" s="26" t="str"/>
      <x:c r="R105" s="26"/>
      <x:c r="S105" s="36"/>
      <x:c r="T105" s="26"/>
      <x:c r="U105" s="26"/>
      <x:c r="V105" s="26"/>
      <x:c r="W105" s="26" t="n">
        <x:v>3</x:v>
      </x:c>
      <x:c r="X105" s="26" t="n">
        <x:v>0</x:v>
      </x:c>
      <x:c r="Y105" s="26" t="n">
        <x:v>25</x:v>
      </x:c>
      <x:c r="Z105" s="26" t="n">
        <x:v>0</x:v>
      </x:c>
      <x:c r="AA105" s="26" t="n">
        <x:v>25</x:v>
      </x:c>
      <x:c r="AB105" s="38" t="n">
        <x:v>0</x:v>
      </x:c>
      <x:c r="AC105" s="26" t="str">
        <x:v>Committed / Not Delivered</x:v>
      </x:c>
      <x:c r="AD105" s="26" t="str">
        <x:v>Approval not recorded in response</x:v>
      </x:c>
      <x:c r="AE105" s="27" t="b">
        <x:v>1</x:v>
      </x:c>
      <x:c r="AF105" s="34" t="n">
        <x:v>46219.41050925926</x:v>
      </x:c>
      <x:c r="AG105" s="34"/>
      <x:c r="AH105" s="26" t="str">
        <x:v>Contribution API fields only; original project JSON needed for line-item names/centres/category</x:v>
      </x:c>
      <x:c r="AI105" s="26" t="str"/>
      <x:c r="AJ105" s="26" t="str">
        <x:v>Not Started</x:v>
      </x:c>
      <x:c r="AK105" s="26" t="str"/>
      <x:c r="AL105" s="26" t="str"/>
    </x:row>
    <x:row r="106">
      <x:c r="A106" s="26" t="n">
        <x:v>111</x:v>
      </x:c>
      <x:c r="B106" s="26" t="n">
        <x:v>141</x:v>
      </x:c>
      <x:c r="C106" s="26" t="str">
        <x:v>Kumuram Bheem Asifabad</x:v>
      </x:c>
      <x:c r="D106" s="26" t="str">
        <x:v>Telangana</x:v>
      </x:c>
      <x:c r="E106" s="26" t="n">
        <x:v>1273</x:v>
      </x:c>
      <x:c r="F106" s="26" t="str">
        <x:v>PRJ-2026-0001273</x:v>
      </x:c>
      <x:c r="G106" s="26" t="str">
        <x:v>Materials (Games, Toys, Balls)  </x:v>
      </x:c>
      <x:c r="H106" s="26" t="str">
        <x:v>Mission Saksham Anganwadi &amp; POSHAN 2.0</x:v>
      </x:c>
      <x:c r="I106" s="32" t="n">
        <x:v>46163</x:v>
      </x:c>
      <x:c r="J106" s="32" t="n">
        <x:v>46316</x:v>
      </x:c>
      <x:c r="K106" s="32"/>
      <x:c r="L106" s="26" t="str">
        <x:v>Active: On/After 01-Aug-2026</x:v>
      </x:c>
      <x:c r="M106" s="26" t="str">
        <x:v>Pending Mapping</x:v>
      </x:c>
      <x:c r="N106" s="26" t="str">
        <x:v>Original project JSON not available</x:v>
      </x:c>
      <x:c r="O106" s="26"/>
      <x:c r="P106" s="26" t="str"/>
      <x:c r="Q106" s="26" t="str"/>
      <x:c r="R106" s="26"/>
      <x:c r="S106" s="36"/>
      <x:c r="T106" s="26"/>
      <x:c r="U106" s="26"/>
      <x:c r="V106" s="26"/>
      <x:c r="W106" s="26" t="n">
        <x:v>3</x:v>
      </x:c>
      <x:c r="X106" s="26" t="n">
        <x:v>0</x:v>
      </x:c>
      <x:c r="Y106" s="26" t="n">
        <x:v>45</x:v>
      </x:c>
      <x:c r="Z106" s="26" t="n">
        <x:v>0</x:v>
      </x:c>
      <x:c r="AA106" s="26" t="n">
        <x:v>45</x:v>
      </x:c>
      <x:c r="AB106" s="38" t="n">
        <x:v>0</x:v>
      </x:c>
      <x:c r="AC106" s="26" t="str">
        <x:v>Committed / Not Delivered</x:v>
      </x:c>
      <x:c r="AD106" s="26" t="str">
        <x:v>Approval not recorded in response</x:v>
      </x:c>
      <x:c r="AE106" s="27" t="b">
        <x:v>1</x:v>
      </x:c>
      <x:c r="AF106" s="34" t="n">
        <x:v>46219.41049768519</x:v>
      </x:c>
      <x:c r="AG106" s="34"/>
      <x:c r="AH106" s="26" t="str">
        <x:v>Contribution API fields only; original project JSON needed for line-item names/centres/category</x:v>
      </x:c>
      <x:c r="AI106" s="26" t="str"/>
      <x:c r="AJ106" s="26" t="str">
        <x:v>Not Started</x:v>
      </x:c>
      <x:c r="AK106" s="26" t="str"/>
      <x:c r="AL106" s="26" t="str"/>
    </x:row>
    <x:row r="107">
      <x:c r="A107" s="26" t="n">
        <x:v>112</x:v>
      </x:c>
      <x:c r="B107" s="26" t="n">
        <x:v>142</x:v>
      </x:c>
      <x:c r="C107" s="26" t="str">
        <x:v>Kumuram Bheem Asifabad</x:v>
      </x:c>
      <x:c r="D107" s="26" t="str">
        <x:v>Telangana</x:v>
      </x:c>
      <x:c r="E107" s="26" t="n">
        <x:v>1962</x:v>
      </x:c>
      <x:c r="F107" s="26" t="str">
        <x:v>PRJ-2026-0001962</x:v>
      </x:c>
      <x:c r="G107" s="26" t="str">
        <x:v>requirement of anganwadi fecilitices</x:v>
      </x:c>
      <x:c r="H107" s="26" t="str">
        <x:v>Mission Saksham Anganwadi &amp; POSHAN 2.0</x:v>
      </x:c>
      <x:c r="I107" s="32" t="n">
        <x:v>46163</x:v>
      </x:c>
      <x:c r="J107" s="32" t="n">
        <x:v>46347</x:v>
      </x:c>
      <x:c r="K107" s="32"/>
      <x:c r="L107" s="26" t="str">
        <x:v>Active: On/After 01-Aug-2026</x:v>
      </x:c>
      <x:c r="M107" s="26" t="str">
        <x:v>Pending Mapping</x:v>
      </x:c>
      <x:c r="N107" s="26" t="str">
        <x:v>Original project JSON not available</x:v>
      </x:c>
      <x:c r="O107" s="26"/>
      <x:c r="P107" s="26" t="str"/>
      <x:c r="Q107" s="26" t="str"/>
      <x:c r="R107" s="26"/>
      <x:c r="S107" s="36"/>
      <x:c r="T107" s="26"/>
      <x:c r="U107" s="26"/>
      <x:c r="V107" s="26"/>
      <x:c r="W107" s="26" t="n">
        <x:v>1</x:v>
      </x:c>
      <x:c r="X107" s="26" t="n">
        <x:v>0</x:v>
      </x:c>
      <x:c r="Y107" s="26" t="n">
        <x:v>1</x:v>
      </x:c>
      <x:c r="Z107" s="26" t="n">
        <x:v>0</x:v>
      </x:c>
      <x:c r="AA107" s="26" t="n">
        <x:v>1</x:v>
      </x:c>
      <x:c r="AB107" s="38" t="n">
        <x:v>0</x:v>
      </x:c>
      <x:c r="AC107" s="26" t="str">
        <x:v>Committed / Not Delivered</x:v>
      </x:c>
      <x:c r="AD107" s="26" t="str">
        <x:v>Approval not recorded in response</x:v>
      </x:c>
      <x:c r="AE107" s="27" t="b">
        <x:v>1</x:v>
      </x:c>
      <x:c r="AF107" s="34" t="n">
        <x:v>46219.41048611111</x:v>
      </x:c>
      <x:c r="AG107" s="34"/>
      <x:c r="AH107" s="26" t="str">
        <x:v>Contribution API fields only; original project JSON needed for line-item names/centres/category</x:v>
      </x:c>
      <x:c r="AI107" s="26" t="str"/>
      <x:c r="AJ107" s="26" t="str">
        <x:v>Not Started</x:v>
      </x:c>
      <x:c r="AK107" s="26" t="str"/>
      <x:c r="AL107" s="26" t="str"/>
    </x:row>
    <x:row r="108">
      <x:c r="A108" s="26" t="n">
        <x:v>113</x:v>
      </x:c>
      <x:c r="B108" s="26" t="n">
        <x:v>143</x:v>
      </x:c>
      <x:c r="C108" s="26" t="str">
        <x:v>Kumuram Bheem Asifabad</x:v>
      </x:c>
      <x:c r="D108" s="26" t="str">
        <x:v>Telangana</x:v>
      </x:c>
      <x:c r="E108" s="26" t="n">
        <x:v>2002</x:v>
      </x:c>
      <x:c r="F108" s="26" t="str">
        <x:v>PRJ-2026-0002002</x:v>
      </x:c>
      <x:c r="G108" s="26" t="str">
        <x:v>requirement of anganwadi facilities</x:v>
      </x:c>
      <x:c r="H108" s="26" t="str">
        <x:v>Mission Saksham Anganwadi &amp; POSHAN 2.0</x:v>
      </x:c>
      <x:c r="I108" s="32" t="n">
        <x:v>46163</x:v>
      </x:c>
      <x:c r="J108" s="32" t="n">
        <x:v>46316</x:v>
      </x:c>
      <x:c r="K108" s="32"/>
      <x:c r="L108" s="26" t="str">
        <x:v>Active: On/After 01-Aug-2026</x:v>
      </x:c>
      <x:c r="M108" s="26" t="str">
        <x:v>Pending Mapping</x:v>
      </x:c>
      <x:c r="N108" s="26" t="str">
        <x:v>Original project JSON not available</x:v>
      </x:c>
      <x:c r="O108" s="26"/>
      <x:c r="P108" s="26" t="str"/>
      <x:c r="Q108" s="26" t="str"/>
      <x:c r="R108" s="26"/>
      <x:c r="S108" s="36"/>
      <x:c r="T108" s="26"/>
      <x:c r="U108" s="26"/>
      <x:c r="V108" s="26"/>
      <x:c r="W108" s="26" t="n">
        <x:v>1</x:v>
      </x:c>
      <x:c r="X108" s="26" t="n">
        <x:v>0</x:v>
      </x:c>
      <x:c r="Y108" s="26" t="n">
        <x:v>1</x:v>
      </x:c>
      <x:c r="Z108" s="26" t="n">
        <x:v>0</x:v>
      </x:c>
      <x:c r="AA108" s="26" t="n">
        <x:v>1</x:v>
      </x:c>
      <x:c r="AB108" s="38" t="n">
        <x:v>0</x:v>
      </x:c>
      <x:c r="AC108" s="26" t="str">
        <x:v>Committed / Not Delivered</x:v>
      </x:c>
      <x:c r="AD108" s="26" t="str">
        <x:v>Approval not recorded in response</x:v>
      </x:c>
      <x:c r="AE108" s="27" t="b">
        <x:v>1</x:v>
      </x:c>
      <x:c r="AF108" s="34" t="n">
        <x:v>46219.410474537035</x:v>
      </x:c>
      <x:c r="AG108" s="34"/>
      <x:c r="AH108" s="26" t="str">
        <x:v>Contribution API fields only; original project JSON needed for line-item names/centres/category</x:v>
      </x:c>
      <x:c r="AI108" s="26" t="str"/>
      <x:c r="AJ108" s="26" t="str">
        <x:v>Not Started</x:v>
      </x:c>
      <x:c r="AK108" s="26" t="str"/>
      <x:c r="AL108" s="26" t="str"/>
    </x:row>
    <x:row r="109">
      <x:c r="A109" s="26" t="n">
        <x:v>114</x:v>
      </x:c>
      <x:c r="B109" s="26" t="n">
        <x:v>145</x:v>
      </x:c>
      <x:c r="C109" s="26" t="str">
        <x:v>Kumuram Bheem Asifabad</x:v>
      </x:c>
      <x:c r="D109" s="26" t="str">
        <x:v>Telangana</x:v>
      </x:c>
      <x:c r="E109" s="26" t="n">
        <x:v>2310</x:v>
      </x:c>
      <x:c r="F109" s="26" t="str">
        <x:v>PRJ-2026-0002310</x:v>
      </x:c>
      <x:c r="G109" s="26" t="str">
        <x:v>Materials (Gardening Equipment, Seeds, Other resources)  </x:v>
      </x:c>
      <x:c r="H109" s="26" t="str">
        <x:v>Mission Saksham Anganwadi &amp; POSHAN 2.0</x:v>
      </x:c>
      <x:c r="I109" s="32" t="n">
        <x:v>46163</x:v>
      </x:c>
      <x:c r="J109" s="32" t="n">
        <x:v>46316</x:v>
      </x:c>
      <x:c r="K109" s="32"/>
      <x:c r="L109" s="26" t="str">
        <x:v>Active: On/After 01-Aug-2026</x:v>
      </x:c>
      <x:c r="M109" s="26" t="str">
        <x:v>Pending Mapping</x:v>
      </x:c>
      <x:c r="N109" s="26" t="str">
        <x:v>Original project JSON not available</x:v>
      </x:c>
      <x:c r="O109" s="26"/>
      <x:c r="P109" s="26" t="str"/>
      <x:c r="Q109" s="26" t="str"/>
      <x:c r="R109" s="26"/>
      <x:c r="S109" s="36"/>
      <x:c r="T109" s="26"/>
      <x:c r="U109" s="26"/>
      <x:c r="V109" s="26"/>
      <x:c r="W109" s="26" t="n">
        <x:v>3</x:v>
      </x:c>
      <x:c r="X109" s="26" t="n">
        <x:v>0</x:v>
      </x:c>
      <x:c r="Y109" s="26" t="n">
        <x:v>21</x:v>
      </x:c>
      <x:c r="Z109" s="26" t="n">
        <x:v>0</x:v>
      </x:c>
      <x:c r="AA109" s="26" t="n">
        <x:v>21</x:v>
      </x:c>
      <x:c r="AB109" s="38" t="n">
        <x:v>0</x:v>
      </x:c>
      <x:c r="AC109" s="26" t="str">
        <x:v>Committed / Not Delivered</x:v>
      </x:c>
      <x:c r="AD109" s="26" t="str">
        <x:v>Approval not recorded in response</x:v>
      </x:c>
      <x:c r="AE109" s="27" t="b">
        <x:v>1</x:v>
      </x:c>
      <x:c r="AF109" s="34" t="n">
        <x:v>46219.410474537035</x:v>
      </x:c>
      <x:c r="AG109" s="34"/>
      <x:c r="AH109" s="26" t="str">
        <x:v>Contribution API fields only; original project JSON needed for line-item names/centres/category</x:v>
      </x:c>
      <x:c r="AI109" s="26" t="str"/>
      <x:c r="AJ109" s="26" t="str">
        <x:v>Not Started</x:v>
      </x:c>
      <x:c r="AK109" s="26" t="str"/>
      <x:c r="AL109" s="26" t="str"/>
    </x:row>
    <x:row r="110">
      <x:c r="A110" s="26" t="n">
        <x:v>115</x:v>
      </x:c>
      <x:c r="B110" s="26" t="n">
        <x:v>146</x:v>
      </x:c>
      <x:c r="C110" s="26" t="str">
        <x:v>Kumuram Bheem Asifabad</x:v>
      </x:c>
      <x:c r="D110" s="26" t="str">
        <x:v>Telangana</x:v>
      </x:c>
      <x:c r="E110" s="26" t="n">
        <x:v>2380</x:v>
      </x:c>
      <x:c r="F110" s="26" t="str">
        <x:v>PRJ-2026-0002380</x:v>
      </x:c>
      <x:c r="G110" s="26" t="str">
        <x:v>requirement of anganwadi facilities</x:v>
      </x:c>
      <x:c r="H110" s="26" t="str">
        <x:v>Mission Saksham Anganwadi &amp; POSHAN 2.0</x:v>
      </x:c>
      <x:c r="I110" s="32" t="n">
        <x:v>46163</x:v>
      </x:c>
      <x:c r="J110" s="32" t="n">
        <x:v>46316</x:v>
      </x:c>
      <x:c r="K110" s="32"/>
      <x:c r="L110" s="26" t="str">
        <x:v>Active: On/After 01-Aug-2026</x:v>
      </x:c>
      <x:c r="M110" s="26" t="str">
        <x:v>Pending Mapping</x:v>
      </x:c>
      <x:c r="N110" s="26" t="str">
        <x:v>Original project JSON not available</x:v>
      </x:c>
      <x:c r="O110" s="26"/>
      <x:c r="P110" s="26" t="str"/>
      <x:c r="Q110" s="26" t="str"/>
      <x:c r="R110" s="26"/>
      <x:c r="S110" s="36"/>
      <x:c r="T110" s="26"/>
      <x:c r="U110" s="26"/>
      <x:c r="V110" s="26"/>
      <x:c r="W110" s="26" t="n">
        <x:v>2</x:v>
      </x:c>
      <x:c r="X110" s="26" t="n">
        <x:v>0</x:v>
      </x:c>
      <x:c r="Y110" s="26" t="n">
        <x:v>20</x:v>
      </x:c>
      <x:c r="Z110" s="26" t="n">
        <x:v>0</x:v>
      </x:c>
      <x:c r="AA110" s="26" t="n">
        <x:v>20</x:v>
      </x:c>
      <x:c r="AB110" s="38" t="n">
        <x:v>0</x:v>
      </x:c>
      <x:c r="AC110" s="26" t="str">
        <x:v>Committed / Not Delivered</x:v>
      </x:c>
      <x:c r="AD110" s="26" t="str">
        <x:v>Approval not recorded in response</x:v>
      </x:c>
      <x:c r="AE110" s="27" t="b">
        <x:v>1</x:v>
      </x:c>
      <x:c r="AF110" s="34" t="n">
        <x:v>46219.410462962966</x:v>
      </x:c>
      <x:c r="AG110" s="34"/>
      <x:c r="AH110" s="26" t="str">
        <x:v>Contribution API fields only; original project JSON needed for line-item names/centres/category</x:v>
      </x:c>
      <x:c r="AI110" s="26" t="str"/>
      <x:c r="AJ110" s="26" t="str">
        <x:v>Not Started</x:v>
      </x:c>
      <x:c r="AK110" s="26" t="str"/>
      <x:c r="AL110" s="26" t="str"/>
    </x:row>
    <x:row r="111">
      <x:c r="A111" s="26" t="n">
        <x:v>116</x:v>
      </x:c>
      <x:c r="B111" s="26" t="n">
        <x:v>147</x:v>
      </x:c>
      <x:c r="C111" s="26" t="str">
        <x:v>Kumuram Bheem Asifabad</x:v>
      </x:c>
      <x:c r="D111" s="26" t="str">
        <x:v>Telangana</x:v>
      </x:c>
      <x:c r="E111" s="26" t="n">
        <x:v>2431</x:v>
      </x:c>
      <x:c r="F111" s="26" t="str">
        <x:v>PRJ-2026-0002431</x:v>
      </x:c>
      <x:c r="G111" s="26" t="str">
        <x:v>requirement of anganwadi  facilties</x:v>
      </x:c>
      <x:c r="H111" s="26" t="str">
        <x:v>Mission Saksham Anganwadi &amp; POSHAN 2.0</x:v>
      </x:c>
      <x:c r="I111" s="32" t="n">
        <x:v>46163</x:v>
      </x:c>
      <x:c r="J111" s="32" t="n">
        <x:v>46316</x:v>
      </x:c>
      <x:c r="K111" s="32"/>
      <x:c r="L111" s="26" t="str">
        <x:v>Active: On/After 01-Aug-2026</x:v>
      </x:c>
      <x:c r="M111" s="26" t="str">
        <x:v>Pending Mapping</x:v>
      </x:c>
      <x:c r="N111" s="26" t="str">
        <x:v>Original project JSON not available</x:v>
      </x:c>
      <x:c r="O111" s="26"/>
      <x:c r="P111" s="26" t="str"/>
      <x:c r="Q111" s="26" t="str"/>
      <x:c r="R111" s="26"/>
      <x:c r="S111" s="36"/>
      <x:c r="T111" s="26"/>
      <x:c r="U111" s="26"/>
      <x:c r="V111" s="26"/>
      <x:c r="W111" s="26" t="n">
        <x:v>1</x:v>
      </x:c>
      <x:c r="X111" s="26" t="n">
        <x:v>0</x:v>
      </x:c>
      <x:c r="Y111" s="26" t="n">
        <x:v>1</x:v>
      </x:c>
      <x:c r="Z111" s="26" t="n">
        <x:v>0</x:v>
      </x:c>
      <x:c r="AA111" s="26" t="n">
        <x:v>1</x:v>
      </x:c>
      <x:c r="AB111" s="38" t="n">
        <x:v>0</x:v>
      </x:c>
      <x:c r="AC111" s="26" t="str">
        <x:v>Committed / Not Delivered</x:v>
      </x:c>
      <x:c r="AD111" s="26" t="str">
        <x:v>Approval not recorded in response</x:v>
      </x:c>
      <x:c r="AE111" s="27" t="b">
        <x:v>1</x:v>
      </x:c>
      <x:c r="AF111" s="34" t="n">
        <x:v>46219.41045138889</x:v>
      </x:c>
      <x:c r="AG111" s="34"/>
      <x:c r="AH111" s="26" t="str">
        <x:v>Contribution API fields only; original project JSON needed for line-item names/centres/category</x:v>
      </x:c>
      <x:c r="AI111" s="26" t="str"/>
      <x:c r="AJ111" s="26" t="str">
        <x:v>Not Started</x:v>
      </x:c>
      <x:c r="AK111" s="26" t="str"/>
      <x:c r="AL111" s="26" t="str"/>
    </x:row>
    <x:row r="112">
      <x:c r="A112" s="26" t="n">
        <x:v>117</x:v>
      </x:c>
      <x:c r="B112" s="26" t="n">
        <x:v>152</x:v>
      </x:c>
      <x:c r="C112" s="26" t="str">
        <x:v>Kumuram Bheem Asifabad</x:v>
      </x:c>
      <x:c r="D112" s="26" t="str">
        <x:v>Telangana</x:v>
      </x:c>
      <x:c r="E112" s="26" t="n">
        <x:v>3208</x:v>
      </x:c>
      <x:c r="F112" s="26" t="str">
        <x:v>PRJ-2026-0003208</x:v>
      </x:c>
      <x:c r="G112" s="26" t="str">
        <x:v>water filter</x:v>
      </x:c>
      <x:c r="H112" s="26" t="str">
        <x:v>Mission Saksham Anganwadi &amp; POSHAN 2.0</x:v>
      </x:c>
      <x:c r="I112" s="32" t="n">
        <x:v>46163</x:v>
      </x:c>
      <x:c r="J112" s="32" t="n">
        <x:v>46316</x:v>
      </x:c>
      <x:c r="K112" s="32"/>
      <x:c r="L112" s="26" t="str">
        <x:v>Active: On/After 01-Aug-2026</x:v>
      </x:c>
      <x:c r="M112" s="26" t="str">
        <x:v>Pending Mapping</x:v>
      </x:c>
      <x:c r="N112" s="26" t="str">
        <x:v>Original project JSON not available</x:v>
      </x:c>
      <x:c r="O112" s="26"/>
      <x:c r="P112" s="26" t="str"/>
      <x:c r="Q112" s="26" t="str"/>
      <x:c r="R112" s="26"/>
      <x:c r="S112" s="36"/>
      <x:c r="T112" s="26"/>
      <x:c r="U112" s="26"/>
      <x:c r="V112" s="26"/>
      <x:c r="W112" s="26" t="n">
        <x:v>1</x:v>
      </x:c>
      <x:c r="X112" s="26" t="n">
        <x:v>0</x:v>
      </x:c>
      <x:c r="Y112" s="26" t="n">
        <x:v>1</x:v>
      </x:c>
      <x:c r="Z112" s="26" t="n">
        <x:v>0</x:v>
      </x:c>
      <x:c r="AA112" s="26" t="n">
        <x:v>1</x:v>
      </x:c>
      <x:c r="AB112" s="38" t="n">
        <x:v>0</x:v>
      </x:c>
      <x:c r="AC112" s="26" t="str">
        <x:v>Committed / Not Delivered</x:v>
      </x:c>
      <x:c r="AD112" s="26" t="str">
        <x:v>Approval not recorded in response</x:v>
      </x:c>
      <x:c r="AE112" s="27" t="b">
        <x:v>1</x:v>
      </x:c>
      <x:c r="AF112" s="34" t="n">
        <x:v>46219.41045138889</x:v>
      </x:c>
      <x:c r="AG112" s="34"/>
      <x:c r="AH112" s="26" t="str">
        <x:v>Contribution API fields only; original project JSON needed for line-item names/centres/category</x:v>
      </x:c>
      <x:c r="AI112" s="26" t="str"/>
      <x:c r="AJ112" s="26" t="str">
        <x:v>Not Started</x:v>
      </x:c>
      <x:c r="AK112" s="26" t="str"/>
      <x:c r="AL112" s="26" t="str"/>
    </x:row>
    <x:row r="113">
      <x:c r="A113" s="26" t="n">
        <x:v>118</x:v>
      </x:c>
      <x:c r="B113" s="26" t="n">
        <x:v>153</x:v>
      </x:c>
      <x:c r="C113" s="26" t="str">
        <x:v>Kumuram Bheem Asifabad</x:v>
      </x:c>
      <x:c r="D113" s="26" t="str">
        <x:v>Telangana</x:v>
      </x:c>
      <x:c r="E113" s="26" t="n">
        <x:v>3245</x:v>
      </x:c>
      <x:c r="F113" s="26" t="str">
        <x:v>PRJ-2026-0003245</x:v>
      </x:c>
      <x:c r="G113" s="26" t="str">
        <x:v>water filter</x:v>
      </x:c>
      <x:c r="H113" s="26" t="str">
        <x:v>Mission Saksham Anganwadi &amp; POSHAN 2.0</x:v>
      </x:c>
      <x:c r="I113" s="32" t="n">
        <x:v>46163</x:v>
      </x:c>
      <x:c r="J113" s="32" t="n">
        <x:v>46316</x:v>
      </x:c>
      <x:c r="K113" s="32"/>
      <x:c r="L113" s="26" t="str">
        <x:v>Active: On/After 01-Aug-2026</x:v>
      </x:c>
      <x:c r="M113" s="26" t="str">
        <x:v>Pending Mapping</x:v>
      </x:c>
      <x:c r="N113" s="26" t="str">
        <x:v>Original project JSON not available</x:v>
      </x:c>
      <x:c r="O113" s="26"/>
      <x:c r="P113" s="26" t="str"/>
      <x:c r="Q113" s="26" t="str"/>
      <x:c r="R113" s="26"/>
      <x:c r="S113" s="36"/>
      <x:c r="T113" s="26"/>
      <x:c r="U113" s="26"/>
      <x:c r="V113" s="26"/>
      <x:c r="W113" s="26" t="n">
        <x:v>1</x:v>
      </x:c>
      <x:c r="X113" s="26" t="n">
        <x:v>0</x:v>
      </x:c>
      <x:c r="Y113" s="26" t="n">
        <x:v>1</x:v>
      </x:c>
      <x:c r="Z113" s="26" t="n">
        <x:v>0</x:v>
      </x:c>
      <x:c r="AA113" s="26" t="n">
        <x:v>1</x:v>
      </x:c>
      <x:c r="AB113" s="38" t="n">
        <x:v>0</x:v>
      </x:c>
      <x:c r="AC113" s="26" t="str">
        <x:v>Committed / Not Delivered</x:v>
      </x:c>
      <x:c r="AD113" s="26" t="str">
        <x:v>Approval not recorded in response</x:v>
      </x:c>
      <x:c r="AE113" s="27" t="b">
        <x:v>1</x:v>
      </x:c>
      <x:c r="AF113" s="34" t="n">
        <x:v>46219.41043981481</x:v>
      </x:c>
      <x:c r="AG113" s="34"/>
      <x:c r="AH113" s="26" t="str">
        <x:v>Contribution API fields only; original project JSON needed for line-item names/centres/category</x:v>
      </x:c>
      <x:c r="AI113" s="26" t="str"/>
      <x:c r="AJ113" s="26" t="str">
        <x:v>Not Started</x:v>
      </x:c>
      <x:c r="AK113" s="26" t="str"/>
      <x:c r="AL113" s="26" t="str"/>
    </x:row>
    <x:row r="114">
      <x:c r="A114" s="26" t="n">
        <x:v>119</x:v>
      </x:c>
      <x:c r="B114" s="26" t="n">
        <x:v>156</x:v>
      </x:c>
      <x:c r="C114" s="26" t="str">
        <x:v>Kumuram Bheem Asifabad</x:v>
      </x:c>
      <x:c r="D114" s="26" t="str">
        <x:v>Telangana</x:v>
      </x:c>
      <x:c r="E114" s="26" t="n">
        <x:v>3859</x:v>
      </x:c>
      <x:c r="F114" s="26" t="str">
        <x:v>PRJ-2026-0003859</x:v>
      </x:c>
      <x:c r="G114" s="26" t="str">
        <x:v>requirement of anganwadi facilities</x:v>
      </x:c>
      <x:c r="H114" s="26" t="str">
        <x:v>Mission Saksham Anganwadi &amp; POSHAN 2.0</x:v>
      </x:c>
      <x:c r="I114" s="32" t="n">
        <x:v>46163</x:v>
      </x:c>
      <x:c r="J114" s="32" t="n">
        <x:v>46316</x:v>
      </x:c>
      <x:c r="K114" s="32"/>
      <x:c r="L114" s="26" t="str">
        <x:v>Active: On/After 01-Aug-2026</x:v>
      </x:c>
      <x:c r="M114" s="26" t="str">
        <x:v>Pending Mapping</x:v>
      </x:c>
      <x:c r="N114" s="26" t="str">
        <x:v>Original project JSON not available</x:v>
      </x:c>
      <x:c r="O114" s="26"/>
      <x:c r="P114" s="26" t="str"/>
      <x:c r="Q114" s="26" t="str"/>
      <x:c r="R114" s="26"/>
      <x:c r="S114" s="36"/>
      <x:c r="T114" s="26"/>
      <x:c r="U114" s="26"/>
      <x:c r="V114" s="26"/>
      <x:c r="W114" s="26" t="n">
        <x:v>1</x:v>
      </x:c>
      <x:c r="X114" s="26" t="n">
        <x:v>0</x:v>
      </x:c>
      <x:c r="Y114" s="26" t="n">
        <x:v>1</x:v>
      </x:c>
      <x:c r="Z114" s="26" t="n">
        <x:v>0</x:v>
      </x:c>
      <x:c r="AA114" s="26" t="n">
        <x:v>1</x:v>
      </x:c>
      <x:c r="AB114" s="38" t="n">
        <x:v>0</x:v>
      </x:c>
      <x:c r="AC114" s="26" t="str">
        <x:v>Committed / Not Delivered</x:v>
      </x:c>
      <x:c r="AD114" s="26" t="str">
        <x:v>Approval not recorded in response</x:v>
      </x:c>
      <x:c r="AE114" s="27" t="b">
        <x:v>1</x:v>
      </x:c>
      <x:c r="AF114" s="34" t="n">
        <x:v>46219.41042824074</x:v>
      </x:c>
      <x:c r="AG114" s="34"/>
      <x:c r="AH114" s="26" t="str">
        <x:v>Contribution API fields only; original project JSON needed for line-item names/centres/category</x:v>
      </x:c>
      <x:c r="AI114" s="26" t="str"/>
      <x:c r="AJ114" s="26" t="str">
        <x:v>Not Started</x:v>
      </x:c>
      <x:c r="AK114" s="26" t="str"/>
      <x:c r="AL114" s="26" t="str"/>
    </x:row>
    <x:row r="115">
      <x:c r="A115" s="26" t="n">
        <x:v>120</x:v>
      </x:c>
      <x:c r="B115" s="26" t="n">
        <x:v>158</x:v>
      </x:c>
      <x:c r="C115" s="26" t="str">
        <x:v>Kumuram Bheem Asifabad</x:v>
      </x:c>
      <x:c r="D115" s="26" t="str">
        <x:v>Telangana</x:v>
      </x:c>
      <x:c r="E115" s="26" t="n">
        <x:v>4105</x:v>
      </x:c>
      <x:c r="F115" s="26" t="str">
        <x:v>PRJ-2026-0004105</x:v>
      </x:c>
      <x:c r="G115" s="26" t="str">
        <x:v>water filter</x:v>
      </x:c>
      <x:c r="H115" s="26" t="str">
        <x:v>Mission Saksham Anganwadi &amp; POSHAN 2.0</x:v>
      </x:c>
      <x:c r="I115" s="32" t="n">
        <x:v>46163</x:v>
      </x:c>
      <x:c r="J115" s="32" t="n">
        <x:v>46316</x:v>
      </x:c>
      <x:c r="K115" s="32"/>
      <x:c r="L115" s="26" t="str">
        <x:v>Active: On/After 01-Aug-2026</x:v>
      </x:c>
      <x:c r="M115" s="26" t="str">
        <x:v>Pending Mapping</x:v>
      </x:c>
      <x:c r="N115" s="26" t="str">
        <x:v>Original project JSON not available</x:v>
      </x:c>
      <x:c r="O115" s="26"/>
      <x:c r="P115" s="26" t="str"/>
      <x:c r="Q115" s="26" t="str"/>
      <x:c r="R115" s="26"/>
      <x:c r="S115" s="36"/>
      <x:c r="T115" s="26"/>
      <x:c r="U115" s="26"/>
      <x:c r="V115" s="26"/>
      <x:c r="W115" s="26" t="n">
        <x:v>1</x:v>
      </x:c>
      <x:c r="X115" s="26" t="n">
        <x:v>0</x:v>
      </x:c>
      <x:c r="Y115" s="26" t="n">
        <x:v>1</x:v>
      </x:c>
      <x:c r="Z115" s="26" t="n">
        <x:v>0</x:v>
      </x:c>
      <x:c r="AA115" s="26" t="n">
        <x:v>1</x:v>
      </x:c>
      <x:c r="AB115" s="38" t="n">
        <x:v>0</x:v>
      </x:c>
      <x:c r="AC115" s="26" t="str">
        <x:v>Committed / Not Delivered</x:v>
      </x:c>
      <x:c r="AD115" s="26" t="str">
        <x:v>Approval not recorded in response</x:v>
      </x:c>
      <x:c r="AE115" s="27" t="b">
        <x:v>1</x:v>
      </x:c>
      <x:c r="AF115" s="34" t="n">
        <x:v>46219.41042824074</x:v>
      </x:c>
      <x:c r="AG115" s="34"/>
      <x:c r="AH115" s="26" t="str">
        <x:v>Contribution API fields only; original project JSON needed for line-item names/centres/category</x:v>
      </x:c>
      <x:c r="AI115" s="26" t="str"/>
      <x:c r="AJ115" s="26" t="str">
        <x:v>Not Started</x:v>
      </x:c>
      <x:c r="AK115" s="26" t="str"/>
      <x:c r="AL115" s="26" t="str"/>
    </x:row>
    <x:row r="116">
      <x:c r="A116" s="26" t="n">
        <x:v>121</x:v>
      </x:c>
      <x:c r="B116" s="26" t="n">
        <x:v>159</x:v>
      </x:c>
      <x:c r="C116" s="26" t="str">
        <x:v>Kumuram Bheem Asifabad</x:v>
      </x:c>
      <x:c r="D116" s="26" t="str">
        <x:v>Telangana</x:v>
      </x:c>
      <x:c r="E116" s="26" t="n">
        <x:v>4137</x:v>
      </x:c>
      <x:c r="F116" s="26" t="str">
        <x:v>PRJ-2026-0004137</x:v>
      </x:c>
      <x:c r="G116" s="26" t="str">
        <x:v>water filter</x:v>
      </x:c>
      <x:c r="H116" s="26" t="str">
        <x:v>Mission Saksham Anganwadi &amp; POSHAN 2.0</x:v>
      </x:c>
      <x:c r="I116" s="32" t="n">
        <x:v>46163</x:v>
      </x:c>
      <x:c r="J116" s="32" t="n">
        <x:v>46316</x:v>
      </x:c>
      <x:c r="K116" s="32"/>
      <x:c r="L116" s="26" t="str">
        <x:v>Active: On/After 01-Aug-2026</x:v>
      </x:c>
      <x:c r="M116" s="26" t="str">
        <x:v>Pending Mapping</x:v>
      </x:c>
      <x:c r="N116" s="26" t="str">
        <x:v>Original project JSON not available</x:v>
      </x:c>
      <x:c r="O116" s="26"/>
      <x:c r="P116" s="26" t="str"/>
      <x:c r="Q116" s="26" t="str"/>
      <x:c r="R116" s="26"/>
      <x:c r="S116" s="36"/>
      <x:c r="T116" s="26"/>
      <x:c r="U116" s="26"/>
      <x:c r="V116" s="26"/>
      <x:c r="W116" s="26" t="n">
        <x:v>1</x:v>
      </x:c>
      <x:c r="X116" s="26" t="n">
        <x:v>0</x:v>
      </x:c>
      <x:c r="Y116" s="26" t="n">
        <x:v>1</x:v>
      </x:c>
      <x:c r="Z116" s="26" t="n">
        <x:v>0</x:v>
      </x:c>
      <x:c r="AA116" s="26" t="n">
        <x:v>1</x:v>
      </x:c>
      <x:c r="AB116" s="38" t="n">
        <x:v>0</x:v>
      </x:c>
      <x:c r="AC116" s="26" t="str">
        <x:v>Committed / Not Delivered</x:v>
      </x:c>
      <x:c r="AD116" s="26" t="str">
        <x:v>Approval not recorded in response</x:v>
      </x:c>
      <x:c r="AE116" s="27" t="b">
        <x:v>1</x:v>
      </x:c>
      <x:c r="AF116" s="34" t="n">
        <x:v>46219.410416666666</x:v>
      </x:c>
      <x:c r="AG116" s="34"/>
      <x:c r="AH116" s="26" t="str">
        <x:v>Contribution API fields only; original project JSON needed for line-item names/centres/category</x:v>
      </x:c>
      <x:c r="AI116" s="26" t="str"/>
      <x:c r="AJ116" s="26" t="str">
        <x:v>Not Started</x:v>
      </x:c>
      <x:c r="AK116" s="26" t="str"/>
      <x:c r="AL116" s="26" t="str"/>
    </x:row>
    <x:row r="117">
      <x:c r="A117" s="26" t="n">
        <x:v>122</x:v>
      </x:c>
      <x:c r="B117" s="26" t="n">
        <x:v>161</x:v>
      </x:c>
      <x:c r="C117" s="26" t="str">
        <x:v>Kumuram Bheem Asifabad</x:v>
      </x:c>
      <x:c r="D117" s="26" t="str">
        <x:v>Telangana</x:v>
      </x:c>
      <x:c r="E117" s="26" t="n">
        <x:v>4303</x:v>
      </x:c>
      <x:c r="F117" s="26" t="str">
        <x:v>PRJ-2026-0004303</x:v>
      </x:c>
      <x:c r="G117" s="26" t="str">
        <x:v>Provision of water suppliers</x:v>
      </x:c>
      <x:c r="H117" s="26" t="str">
        <x:v>Mission Saksham Anganwadi &amp; POSHAN 2.0</x:v>
      </x:c>
      <x:c r="I117" s="32" t="n">
        <x:v>46163</x:v>
      </x:c>
      <x:c r="J117" s="32" t="n">
        <x:v>46255</x:v>
      </x:c>
      <x:c r="K117" s="32"/>
      <x:c r="L117" s="26" t="str">
        <x:v>Active: On/After 01-Aug-2026</x:v>
      </x:c>
      <x:c r="M117" s="26" t="str">
        <x:v>Pending Mapping</x:v>
      </x:c>
      <x:c r="N117" s="26" t="str">
        <x:v>Original project JSON not available</x:v>
      </x:c>
      <x:c r="O117" s="26"/>
      <x:c r="P117" s="26" t="str"/>
      <x:c r="Q117" s="26" t="str"/>
      <x:c r="R117" s="26"/>
      <x:c r="S117" s="36"/>
      <x:c r="T117" s="26"/>
      <x:c r="U117" s="26"/>
      <x:c r="V117" s="26"/>
      <x:c r="W117" s="26" t="n">
        <x:v>1</x:v>
      </x:c>
      <x:c r="X117" s="26" t="n">
        <x:v>0</x:v>
      </x:c>
      <x:c r="Y117" s="26" t="n">
        <x:v>1</x:v>
      </x:c>
      <x:c r="Z117" s="26" t="n">
        <x:v>0</x:v>
      </x:c>
      <x:c r="AA117" s="26" t="n">
        <x:v>1</x:v>
      </x:c>
      <x:c r="AB117" s="38" t="n">
        <x:v>0</x:v>
      </x:c>
      <x:c r="AC117" s="26" t="str">
        <x:v>Committed / Not Delivered</x:v>
      </x:c>
      <x:c r="AD117" s="26" t="str">
        <x:v>Approval not recorded in response</x:v>
      </x:c>
      <x:c r="AE117" s="27" t="b">
        <x:v>1</x:v>
      </x:c>
      <x:c r="AF117" s="34" t="n">
        <x:v>46219.410405092596</x:v>
      </x:c>
      <x:c r="AG117" s="34"/>
      <x:c r="AH117" s="26" t="str">
        <x:v>Contribution API fields only; original project JSON needed for line-item names/centres/category</x:v>
      </x:c>
      <x:c r="AI117" s="26" t="str"/>
      <x:c r="AJ117" s="26" t="str">
        <x:v>Not Started</x:v>
      </x:c>
      <x:c r="AK117" s="26" t="str"/>
      <x:c r="AL117" s="26" t="str"/>
    </x:row>
    <x:row r="118">
      <x:c r="A118" s="26" t="n">
        <x:v>123</x:v>
      </x:c>
      <x:c r="B118" s="26" t="n">
        <x:v>162</x:v>
      </x:c>
      <x:c r="C118" s="26" t="str">
        <x:v>Kumuram Bheem Asifabad</x:v>
      </x:c>
      <x:c r="D118" s="26" t="str">
        <x:v>Telangana</x:v>
      </x:c>
      <x:c r="E118" s="26" t="n">
        <x:v>4379</x:v>
      </x:c>
      <x:c r="F118" s="26" t="str">
        <x:v>PRJ-2026-0004379</x:v>
      </x:c>
      <x:c r="G118" s="26" t="str">
        <x:v>provision of water suppliers</x:v>
      </x:c>
      <x:c r="H118" s="26" t="str">
        <x:v>Mission Saksham Anganwadi &amp; POSHAN 2.0</x:v>
      </x:c>
      <x:c r="I118" s="32" t="n">
        <x:v>46163</x:v>
      </x:c>
      <x:c r="J118" s="32" t="n">
        <x:v>46255</x:v>
      </x:c>
      <x:c r="K118" s="32"/>
      <x:c r="L118" s="26" t="str">
        <x:v>Active: On/After 01-Aug-2026</x:v>
      </x:c>
      <x:c r="M118" s="26" t="str">
        <x:v>Pending Mapping</x:v>
      </x:c>
      <x:c r="N118" s="26" t="str">
        <x:v>Original project JSON not available</x:v>
      </x:c>
      <x:c r="O118" s="26"/>
      <x:c r="P118" s="26" t="str"/>
      <x:c r="Q118" s="26" t="str"/>
      <x:c r="R118" s="26"/>
      <x:c r="S118" s="36"/>
      <x:c r="T118" s="26"/>
      <x:c r="U118" s="26"/>
      <x:c r="V118" s="26"/>
      <x:c r="W118" s="26" t="n">
        <x:v>1</x:v>
      </x:c>
      <x:c r="X118" s="26" t="n">
        <x:v>0</x:v>
      </x:c>
      <x:c r="Y118" s="26" t="n">
        <x:v>1</x:v>
      </x:c>
      <x:c r="Z118" s="26" t="n">
        <x:v>0</x:v>
      </x:c>
      <x:c r="AA118" s="26" t="n">
        <x:v>1</x:v>
      </x:c>
      <x:c r="AB118" s="38" t="n">
        <x:v>0</x:v>
      </x:c>
      <x:c r="AC118" s="26" t="str">
        <x:v>Committed / Not Delivered</x:v>
      </x:c>
      <x:c r="AD118" s="26" t="str">
        <x:v>Approval not recorded in response</x:v>
      </x:c>
      <x:c r="AE118" s="27" t="b">
        <x:v>1</x:v>
      </x:c>
      <x:c r="AF118" s="34" t="n">
        <x:v>46219.410405092596</x:v>
      </x:c>
      <x:c r="AG118" s="34"/>
      <x:c r="AH118" s="26" t="str">
        <x:v>Contribution API fields only; original project JSON needed for line-item names/centres/category</x:v>
      </x:c>
      <x:c r="AI118" s="26" t="str"/>
      <x:c r="AJ118" s="26" t="str">
        <x:v>Not Started</x:v>
      </x:c>
      <x:c r="AK118" s="26" t="str"/>
      <x:c r="AL118" s="26" t="str"/>
    </x:row>
    <x:row r="119">
      <x:c r="A119" s="26" t="n">
        <x:v>124</x:v>
      </x:c>
      <x:c r="B119" s="26" t="n">
        <x:v>163</x:v>
      </x:c>
      <x:c r="C119" s="26" t="str">
        <x:v>Kumuram Bheem Asifabad</x:v>
      </x:c>
      <x:c r="D119" s="26" t="str">
        <x:v>Telangana</x:v>
      </x:c>
      <x:c r="E119" s="26" t="n">
        <x:v>4454</x:v>
      </x:c>
      <x:c r="F119" s="26" t="str">
        <x:v>PRJ-2026-0004454</x:v>
      </x:c>
      <x:c r="G119" s="26" t="str">
        <x:v>provision of water supplier</x:v>
      </x:c>
      <x:c r="H119" s="26" t="str">
        <x:v>Mission Saksham Anganwadi &amp; POSHAN 2.0</x:v>
      </x:c>
      <x:c r="I119" s="32" t="n">
        <x:v>46163</x:v>
      </x:c>
      <x:c r="J119" s="32" t="n">
        <x:v>46255</x:v>
      </x:c>
      <x:c r="K119" s="32"/>
      <x:c r="L119" s="26" t="str">
        <x:v>Active: On/After 01-Aug-2026</x:v>
      </x:c>
      <x:c r="M119" s="26" t="str">
        <x:v>Pending Mapping</x:v>
      </x:c>
      <x:c r="N119" s="26" t="str">
        <x:v>Original project JSON not available</x:v>
      </x:c>
      <x:c r="O119" s="26"/>
      <x:c r="P119" s="26" t="str"/>
      <x:c r="Q119" s="26" t="str"/>
      <x:c r="R119" s="26"/>
      <x:c r="S119" s="36"/>
      <x:c r="T119" s="26"/>
      <x:c r="U119" s="26"/>
      <x:c r="V119" s="26"/>
      <x:c r="W119" s="26" t="n">
        <x:v>1</x:v>
      </x:c>
      <x:c r="X119" s="26" t="n">
        <x:v>0</x:v>
      </x:c>
      <x:c r="Y119" s="26" t="n">
        <x:v>1</x:v>
      </x:c>
      <x:c r="Z119" s="26" t="n">
        <x:v>0</x:v>
      </x:c>
      <x:c r="AA119" s="26" t="n">
        <x:v>1</x:v>
      </x:c>
      <x:c r="AB119" s="38" t="n">
        <x:v>0</x:v>
      </x:c>
      <x:c r="AC119" s="26" t="str">
        <x:v>Committed / Not Delivered</x:v>
      </x:c>
      <x:c r="AD119" s="26" t="str">
        <x:v>Approval not recorded in response</x:v>
      </x:c>
      <x:c r="AE119" s="27" t="b">
        <x:v>1</x:v>
      </x:c>
      <x:c r="AF119" s="34" t="n">
        <x:v>46219.41039351852</x:v>
      </x:c>
      <x:c r="AG119" s="34"/>
      <x:c r="AH119" s="26" t="str">
        <x:v>Contribution API fields only; original project JSON needed for line-item names/centres/category</x:v>
      </x:c>
      <x:c r="AI119" s="26" t="str"/>
      <x:c r="AJ119" s="26" t="str">
        <x:v>Not Started</x:v>
      </x:c>
      <x:c r="AK119" s="26" t="str"/>
      <x:c r="AL119" s="26" t="str"/>
    </x:row>
    <x:row r="120">
      <x:c r="A120" s="26" t="n">
        <x:v>125</x:v>
      </x:c>
      <x:c r="B120" s="26" t="n">
        <x:v>164</x:v>
      </x:c>
      <x:c r="C120" s="26" t="str">
        <x:v>Kumuram Bheem Asifabad</x:v>
      </x:c>
      <x:c r="D120" s="26" t="str">
        <x:v>Telangana</x:v>
      </x:c>
      <x:c r="E120" s="26" t="n">
        <x:v>4522</x:v>
      </x:c>
      <x:c r="F120" s="26" t="str">
        <x:v>PRJ-2026-0004522</x:v>
      </x:c>
      <x:c r="G120" s="26" t="str">
        <x:v>provision of water supplier</x:v>
      </x:c>
      <x:c r="H120" s="26" t="str">
        <x:v>Mission Saksham Anganwadi &amp; POSHAN 2.0</x:v>
      </x:c>
      <x:c r="I120" s="32" t="n">
        <x:v>46163</x:v>
      </x:c>
      <x:c r="J120" s="32" t="n">
        <x:v>46255</x:v>
      </x:c>
      <x:c r="K120" s="32"/>
      <x:c r="L120" s="26" t="str">
        <x:v>Active: On/After 01-Aug-2026</x:v>
      </x:c>
      <x:c r="M120" s="26" t="str">
        <x:v>Pending Mapping</x:v>
      </x:c>
      <x:c r="N120" s="26" t="str">
        <x:v>Original project JSON not available</x:v>
      </x:c>
      <x:c r="O120" s="26"/>
      <x:c r="P120" s="26" t="str"/>
      <x:c r="Q120" s="26" t="str"/>
      <x:c r="R120" s="26"/>
      <x:c r="S120" s="36"/>
      <x:c r="T120" s="26"/>
      <x:c r="U120" s="26"/>
      <x:c r="V120" s="26"/>
      <x:c r="W120" s="26" t="n">
        <x:v>1</x:v>
      </x:c>
      <x:c r="X120" s="26" t="n">
        <x:v>0</x:v>
      </x:c>
      <x:c r="Y120" s="26" t="n">
        <x:v>1</x:v>
      </x:c>
      <x:c r="Z120" s="26" t="n">
        <x:v>0</x:v>
      </x:c>
      <x:c r="AA120" s="26" t="n">
        <x:v>1</x:v>
      </x:c>
      <x:c r="AB120" s="38" t="n">
        <x:v>0</x:v>
      </x:c>
      <x:c r="AC120" s="26" t="str">
        <x:v>Committed / Not Delivered</x:v>
      </x:c>
      <x:c r="AD120" s="26" t="str">
        <x:v>Approval not recorded in response</x:v>
      </x:c>
      <x:c r="AE120" s="27" t="b">
        <x:v>1</x:v>
      </x:c>
      <x:c r="AF120" s="34" t="n">
        <x:v>46219.41038194444</x:v>
      </x:c>
      <x:c r="AG120" s="34"/>
      <x:c r="AH120" s="26" t="str">
        <x:v>Contribution API fields only; original project JSON needed for line-item names/centres/category</x:v>
      </x:c>
      <x:c r="AI120" s="26" t="str"/>
      <x:c r="AJ120" s="26" t="str">
        <x:v>Not Started</x:v>
      </x:c>
      <x:c r="AK120" s="26" t="str"/>
      <x:c r="AL120" s="26" t="str"/>
    </x:row>
    <x:row r="121">
      <x:c r="A121" s="26" t="n">
        <x:v>126</x:v>
      </x:c>
      <x:c r="B121" s="26" t="n">
        <x:v>166</x:v>
      </x:c>
      <x:c r="C121" s="26" t="str">
        <x:v>Kumuram Bheem Asifabad</x:v>
      </x:c>
      <x:c r="D121" s="26" t="str">
        <x:v>Telangana</x:v>
      </x:c>
      <x:c r="E121" s="26" t="n">
        <x:v>5279</x:v>
      </x:c>
      <x:c r="F121" s="26" t="str">
        <x:v>PRJ-2026-0005279</x:v>
      </x:c>
      <x:c r="G121" s="26" t="str">
        <x:v>Upgradation of Anganwadi </x:v>
      </x:c>
      <x:c r="H121" s="26" t="str">
        <x:v>Mission Saksham Anganwadi &amp; POSHAN 2.0</x:v>
      </x:c>
      <x:c r="I121" s="32" t="n">
        <x:v>46163</x:v>
      </x:c>
      <x:c r="J121" s="32" t="n">
        <x:v>46254</x:v>
      </x:c>
      <x:c r="K121" s="32"/>
      <x:c r="L121" s="26" t="str">
        <x:v>Active: On/After 01-Aug-2026</x:v>
      </x:c>
      <x:c r="M121" s="26" t="str">
        <x:v>Pending Mapping</x:v>
      </x:c>
      <x:c r="N121" s="26" t="str">
        <x:v>Original project JSON not available</x:v>
      </x:c>
      <x:c r="O121" s="26"/>
      <x:c r="P121" s="26" t="str"/>
      <x:c r="Q121" s="26" t="str"/>
      <x:c r="R121" s="26"/>
      <x:c r="S121" s="36"/>
      <x:c r="T121" s="26"/>
      <x:c r="U121" s="26"/>
      <x:c r="V121" s="26"/>
      <x:c r="W121" s="26" t="n">
        <x:v>1</x:v>
      </x:c>
      <x:c r="X121" s="26" t="n">
        <x:v>0</x:v>
      </x:c>
      <x:c r="Y121" s="26" t="n">
        <x:v>2</x:v>
      </x:c>
      <x:c r="Z121" s="26" t="n">
        <x:v>0</x:v>
      </x:c>
      <x:c r="AA121" s="26" t="n">
        <x:v>2</x:v>
      </x:c>
      <x:c r="AB121" s="38" t="n">
        <x:v>0</x:v>
      </x:c>
      <x:c r="AC121" s="26" t="str">
        <x:v>Committed / Not Delivered</x:v>
      </x:c>
      <x:c r="AD121" s="26" t="str">
        <x:v>Approval not recorded in response</x:v>
      </x:c>
      <x:c r="AE121" s="27" t="b">
        <x:v>1</x:v>
      </x:c>
      <x:c r="AF121" s="34" t="n">
        <x:v>46219.41038194444</x:v>
      </x:c>
      <x:c r="AG121" s="34"/>
      <x:c r="AH121" s="26" t="str">
        <x:v>Contribution API fields only; original project JSON needed for line-item names/centres/category</x:v>
      </x:c>
      <x:c r="AI121" s="26" t="str"/>
      <x:c r="AJ121" s="26" t="str">
        <x:v>Not Started</x:v>
      </x:c>
      <x:c r="AK121" s="26" t="str"/>
      <x:c r="AL121" s="26" t="str"/>
    </x:row>
    <x:row r="122">
      <x:c r="A122" s="26" t="n">
        <x:v>127</x:v>
      </x:c>
      <x:c r="B122" s="26" t="n">
        <x:v>167</x:v>
      </x:c>
      <x:c r="C122" s="26" t="str">
        <x:v>Kumuram Bheem Asifabad</x:v>
      </x:c>
      <x:c r="D122" s="26" t="str">
        <x:v>Telangana</x:v>
      </x:c>
      <x:c r="E122" s="26" t="n">
        <x:v>5725</x:v>
      </x:c>
      <x:c r="F122" s="26" t="str">
        <x:v>PRJ-2026-0005725</x:v>
      </x:c>
      <x:c r="G122" s="26" t="str">
        <x:v>Upgradation of Anganwadies</x:v>
      </x:c>
      <x:c r="H122" s="26" t="str">
        <x:v>Mission Saksham Anganwadi &amp; POSHAN 2.0</x:v>
      </x:c>
      <x:c r="I122" s="32" t="n">
        <x:v>46163</x:v>
      </x:c>
      <x:c r="J122" s="32" t="n">
        <x:v>46255</x:v>
      </x:c>
      <x:c r="K122" s="32"/>
      <x:c r="L122" s="26" t="str">
        <x:v>Active: On/After 01-Aug-2026</x:v>
      </x:c>
      <x:c r="M122" s="26" t="str">
        <x:v>Pending Mapping</x:v>
      </x:c>
      <x:c r="N122" s="26" t="str">
        <x:v>Original project JSON not available</x:v>
      </x:c>
      <x:c r="O122" s="26"/>
      <x:c r="P122" s="26" t="str"/>
      <x:c r="Q122" s="26" t="str"/>
      <x:c r="R122" s="26"/>
      <x:c r="S122" s="36"/>
      <x:c r="T122" s="26"/>
      <x:c r="U122" s="26"/>
      <x:c r="V122" s="26"/>
      <x:c r="W122" s="26" t="n">
        <x:v>2</x:v>
      </x:c>
      <x:c r="X122" s="26" t="n">
        <x:v>0</x:v>
      </x:c>
      <x:c r="Y122" s="26" t="n">
        <x:v>12</x:v>
      </x:c>
      <x:c r="Z122" s="26" t="n">
        <x:v>0</x:v>
      </x:c>
      <x:c r="AA122" s="26" t="n">
        <x:v>12</x:v>
      </x:c>
      <x:c r="AB122" s="38" t="n">
        <x:v>0</x:v>
      </x:c>
      <x:c r="AC122" s="26" t="str">
        <x:v>Committed / Not Delivered</x:v>
      </x:c>
      <x:c r="AD122" s="26" t="str">
        <x:v>Approval not recorded in response</x:v>
      </x:c>
      <x:c r="AE122" s="27" t="b">
        <x:v>1</x:v>
      </x:c>
      <x:c r="AF122" s="34" t="n">
        <x:v>46219.41037037037</x:v>
      </x:c>
      <x:c r="AG122" s="34"/>
      <x:c r="AH122" s="26" t="str">
        <x:v>Contribution API fields only; original project JSON needed for line-item names/centres/category</x:v>
      </x:c>
      <x:c r="AI122" s="26" t="str"/>
      <x:c r="AJ122" s="26" t="str">
        <x:v>Not Started</x:v>
      </x:c>
      <x:c r="AK122" s="26" t="str"/>
      <x:c r="AL122" s="26" t="str"/>
    </x:row>
    <x:row r="123">
      <x:c r="A123" s="26" t="n">
        <x:v>128</x:v>
      </x:c>
      <x:c r="B123" s="26" t="n">
        <x:v>180</x:v>
      </x:c>
      <x:c r="C123" s="26" t="str">
        <x:v>Kumuram Bheem Asifabad</x:v>
      </x:c>
      <x:c r="D123" s="26" t="str">
        <x:v>Telangana</x:v>
      </x:c>
      <x:c r="E123" s="26" t="n">
        <x:v>9159</x:v>
      </x:c>
      <x:c r="F123" s="26" t="str">
        <x:v>PRJ-2026-0009159</x:v>
      </x:c>
      <x:c r="G123" s="26" t="str">
        <x:v>Proposal for upgradation of Anganwadi centre</x:v>
      </x:c>
      <x:c r="H123" s="26" t="str">
        <x:v>Mission Saksham Anganwadi &amp; POSHAN 2.0</x:v>
      </x:c>
      <x:c r="I123" s="32" t="n">
        <x:v>46164</x:v>
      </x:c>
      <x:c r="J123" s="32" t="n">
        <x:v>46295</x:v>
      </x:c>
      <x:c r="K123" s="32"/>
      <x:c r="L123" s="26" t="str">
        <x:v>Active: On/After 01-Aug-2026</x:v>
      </x:c>
      <x:c r="M123" s="26" t="str">
        <x:v>Pending Mapping</x:v>
      </x:c>
      <x:c r="N123" s="26" t="str">
        <x:v>Original project JSON not available</x:v>
      </x:c>
      <x:c r="O123" s="26"/>
      <x:c r="P123" s="26" t="str"/>
      <x:c r="Q123" s="26" t="str"/>
      <x:c r="R123" s="26"/>
      <x:c r="S123" s="36"/>
      <x:c r="T123" s="26"/>
      <x:c r="U123" s="26"/>
      <x:c r="V123" s="26"/>
      <x:c r="W123" s="26" t="n">
        <x:v>4</x:v>
      </x:c>
      <x:c r="X123" s="26" t="n">
        <x:v>0</x:v>
      </x:c>
      <x:c r="Y123" s="26" t="n">
        <x:v>8</x:v>
      </x:c>
      <x:c r="Z123" s="26" t="n">
        <x:v>0</x:v>
      </x:c>
      <x:c r="AA123" s="26" t="n">
        <x:v>8</x:v>
      </x:c>
      <x:c r="AB123" s="38" t="n">
        <x:v>0</x:v>
      </x:c>
      <x:c r="AC123" s="26" t="str">
        <x:v>Committed / Not Delivered</x:v>
      </x:c>
      <x:c r="AD123" s="26" t="str">
        <x:v>Approval not recorded in response</x:v>
      </x:c>
      <x:c r="AE123" s="27" t="b">
        <x:v>1</x:v>
      </x:c>
      <x:c r="AF123" s="34" t="n">
        <x:v>46219.40943287037</x:v>
      </x:c>
      <x:c r="AG123" s="34"/>
      <x:c r="AH123" s="26" t="str">
        <x:v>Contribution API fields only; original project JSON needed for line-item names/centres/category</x:v>
      </x:c>
      <x:c r="AI123" s="26" t="str"/>
      <x:c r="AJ123" s="26" t="str">
        <x:v>Not Started</x:v>
      </x:c>
      <x:c r="AK123" s="26" t="str"/>
      <x:c r="AL123" s="26" t="str"/>
    </x:row>
    <x:row r="124">
      <x:c r="A124" s="26" t="n">
        <x:v>129</x:v>
      </x:c>
      <x:c r="B124" s="26" t="n">
        <x:v>181</x:v>
      </x:c>
      <x:c r="C124" s="26" t="str">
        <x:v>Kumuram Bheem Asifabad</x:v>
      </x:c>
      <x:c r="D124" s="26" t="str">
        <x:v>Telangana</x:v>
      </x:c>
      <x:c r="E124" s="26" t="n">
        <x:v>9651</x:v>
      </x:c>
      <x:c r="F124" s="26" t="str">
        <x:v>PRJ-2026-0009651</x:v>
      </x:c>
      <x:c r="G124" s="26" t="str">
        <x:v>Proposal for upgradation of Anganwadi centre</x:v>
      </x:c>
      <x:c r="H124" s="26" t="str">
        <x:v>Mission Saksham Anganwadi &amp; POSHAN 2.0</x:v>
      </x:c>
      <x:c r="I124" s="32" t="n">
        <x:v>46164</x:v>
      </x:c>
      <x:c r="J124" s="32" t="n">
        <x:v>46295</x:v>
      </x:c>
      <x:c r="K124" s="32"/>
      <x:c r="L124" s="26" t="str">
        <x:v>Active: On/After 01-Aug-2026</x:v>
      </x:c>
      <x:c r="M124" s="26" t="str">
        <x:v>Pending Mapping</x:v>
      </x:c>
      <x:c r="N124" s="26" t="str">
        <x:v>Original project JSON not available</x:v>
      </x:c>
      <x:c r="O124" s="26"/>
      <x:c r="P124" s="26" t="str"/>
      <x:c r="Q124" s="26" t="str"/>
      <x:c r="R124" s="26"/>
      <x:c r="S124" s="36"/>
      <x:c r="T124" s="26"/>
      <x:c r="U124" s="26"/>
      <x:c r="V124" s="26"/>
      <x:c r="W124" s="26" t="n">
        <x:v>5</x:v>
      </x:c>
      <x:c r="X124" s="26" t="n">
        <x:v>0</x:v>
      </x:c>
      <x:c r="Y124" s="26" t="n">
        <x:v>23</x:v>
      </x:c>
      <x:c r="Z124" s="26" t="n">
        <x:v>0</x:v>
      </x:c>
      <x:c r="AA124" s="26" t="n">
        <x:v>23</x:v>
      </x:c>
      <x:c r="AB124" s="38" t="n">
        <x:v>0</x:v>
      </x:c>
      <x:c r="AC124" s="26" t="str">
        <x:v>Committed / Not Delivered</x:v>
      </x:c>
      <x:c r="AD124" s="26" t="str">
        <x:v>Approval not recorded in response</x:v>
      </x:c>
      <x:c r="AE124" s="27" t="b">
        <x:v>1</x:v>
      </x:c>
      <x:c r="AF124" s="34" t="n">
        <x:v>46219.40943287037</x:v>
      </x:c>
      <x:c r="AG124" s="34"/>
      <x:c r="AH124" s="26" t="str">
        <x:v>Contribution API fields only; original project JSON needed for line-item names/centres/category</x:v>
      </x:c>
      <x:c r="AI124" s="26" t="str"/>
      <x:c r="AJ124" s="26" t="str">
        <x:v>Not Started</x:v>
      </x:c>
      <x:c r="AK124" s="26" t="str"/>
      <x:c r="AL124" s="26" t="str"/>
    </x:row>
    <x:row r="125">
      <x:c r="A125" s="26" t="n">
        <x:v>130</x:v>
      </x:c>
      <x:c r="B125" s="26" t="n">
        <x:v>182</x:v>
      </x:c>
      <x:c r="C125" s="26" t="str">
        <x:v>Kumuram Bheem Asifabad</x:v>
      </x:c>
      <x:c r="D125" s="26" t="str">
        <x:v>Telangana</x:v>
      </x:c>
      <x:c r="E125" s="26" t="n">
        <x:v>9717</x:v>
      </x:c>
      <x:c r="F125" s="26" t="str">
        <x:v>PRJ-2026-0009717</x:v>
      </x:c>
      <x:c r="G125" s="26" t="str">
        <x:v>Proposal for Upgradation of Anganwadi centre</x:v>
      </x:c>
      <x:c r="H125" s="26" t="str">
        <x:v>Mission Saksham Anganwadi &amp; POSHAN 2.0</x:v>
      </x:c>
      <x:c r="I125" s="32" t="n">
        <x:v>46164</x:v>
      </x:c>
      <x:c r="J125" s="32" t="n">
        <x:v>46295</x:v>
      </x:c>
      <x:c r="K125" s="32"/>
      <x:c r="L125" s="26" t="str">
        <x:v>Active: On/After 01-Aug-2026</x:v>
      </x:c>
      <x:c r="M125" s="26" t="str">
        <x:v>Pending Mapping</x:v>
      </x:c>
      <x:c r="N125" s="26" t="str">
        <x:v>Original project JSON not available</x:v>
      </x:c>
      <x:c r="O125" s="26"/>
      <x:c r="P125" s="26" t="str"/>
      <x:c r="Q125" s="26" t="str"/>
      <x:c r="R125" s="26"/>
      <x:c r="S125" s="36"/>
      <x:c r="T125" s="26"/>
      <x:c r="U125" s="26"/>
      <x:c r="V125" s="26"/>
      <x:c r="W125" s="26" t="n">
        <x:v>4</x:v>
      </x:c>
      <x:c r="X125" s="26" t="n">
        <x:v>0</x:v>
      </x:c>
      <x:c r="Y125" s="26" t="n">
        <x:v>8</x:v>
      </x:c>
      <x:c r="Z125" s="26" t="n">
        <x:v>0</x:v>
      </x:c>
      <x:c r="AA125" s="26" t="n">
        <x:v>8</x:v>
      </x:c>
      <x:c r="AB125" s="38" t="n">
        <x:v>0</x:v>
      </x:c>
      <x:c r="AC125" s="26" t="str">
        <x:v>Committed / Not Delivered</x:v>
      </x:c>
      <x:c r="AD125" s="26" t="str">
        <x:v>Approval not recorded in response</x:v>
      </x:c>
      <x:c r="AE125" s="27" t="b">
        <x:v>1</x:v>
      </x:c>
      <x:c r="AF125" s="34" t="n">
        <x:v>46219.409421296295</x:v>
      </x:c>
      <x:c r="AG125" s="34"/>
      <x:c r="AH125" s="26" t="str">
        <x:v>Contribution API fields only; original project JSON needed for line-item names/centres/category</x:v>
      </x:c>
      <x:c r="AI125" s="26" t="str"/>
      <x:c r="AJ125" s="26" t="str">
        <x:v>Not Started</x:v>
      </x:c>
      <x:c r="AK125" s="26" t="str"/>
      <x:c r="AL125" s="26" t="str"/>
    </x:row>
    <x:row r="126">
      <x:c r="A126" s="26" t="n">
        <x:v>131</x:v>
      </x:c>
      <x:c r="B126" s="26" t="n">
        <x:v>183</x:v>
      </x:c>
      <x:c r="C126" s="26" t="str">
        <x:v>Kumuram Bheem Asifabad</x:v>
      </x:c>
      <x:c r="D126" s="26" t="str">
        <x:v>Telangana</x:v>
      </x:c>
      <x:c r="E126" s="26" t="n">
        <x:v>9810</x:v>
      </x:c>
      <x:c r="F126" s="26" t="str">
        <x:v>PRJ-2026-0009810</x:v>
      </x:c>
      <x:c r="G126" s="26" t="str">
        <x:v>Proposal for upgradation of Anganwadi centre</x:v>
      </x:c>
      <x:c r="H126" s="26" t="str">
        <x:v>Mission Saksham Anganwadi &amp; POSHAN 2.0</x:v>
      </x:c>
      <x:c r="I126" s="32" t="n">
        <x:v>46164</x:v>
      </x:c>
      <x:c r="J126" s="32" t="n">
        <x:v>46295</x:v>
      </x:c>
      <x:c r="K126" s="32"/>
      <x:c r="L126" s="26" t="str">
        <x:v>Active: On/After 01-Aug-2026</x:v>
      </x:c>
      <x:c r="M126" s="26" t="str">
        <x:v>Pending Mapping</x:v>
      </x:c>
      <x:c r="N126" s="26" t="str">
        <x:v>Original project JSON not available</x:v>
      </x:c>
      <x:c r="O126" s="26"/>
      <x:c r="P126" s="26" t="str"/>
      <x:c r="Q126" s="26" t="str"/>
      <x:c r="R126" s="26"/>
      <x:c r="S126" s="36"/>
      <x:c r="T126" s="26"/>
      <x:c r="U126" s="26"/>
      <x:c r="V126" s="26"/>
      <x:c r="W126" s="26" t="n">
        <x:v>5</x:v>
      </x:c>
      <x:c r="X126" s="26" t="n">
        <x:v>0</x:v>
      </x:c>
      <x:c r="Y126" s="26" t="n">
        <x:v>23</x:v>
      </x:c>
      <x:c r="Z126" s="26" t="n">
        <x:v>0</x:v>
      </x:c>
      <x:c r="AA126" s="26" t="n">
        <x:v>23</x:v>
      </x:c>
      <x:c r="AB126" s="38" t="n">
        <x:v>0</x:v>
      </x:c>
      <x:c r="AC126" s="26" t="str">
        <x:v>Committed / Not Delivered</x:v>
      </x:c>
      <x:c r="AD126" s="26" t="str">
        <x:v>Approval not recorded in response</x:v>
      </x:c>
      <x:c r="AE126" s="27" t="b">
        <x:v>1</x:v>
      </x:c>
      <x:c r="AF126" s="34" t="n">
        <x:v>46219.40940972222</x:v>
      </x:c>
      <x:c r="AG126" s="34"/>
      <x:c r="AH126" s="26" t="str">
        <x:v>Contribution API fields only; original project JSON needed for line-item names/centres/category</x:v>
      </x:c>
      <x:c r="AI126" s="26" t="str"/>
      <x:c r="AJ126" s="26" t="str">
        <x:v>Not Started</x:v>
      </x:c>
      <x:c r="AK126" s="26" t="str"/>
      <x:c r="AL126" s="26" t="str"/>
    </x:row>
    <x:row r="127">
      <x:c r="A127" s="26" t="n">
        <x:v>132</x:v>
      </x:c>
      <x:c r="B127" s="26" t="n">
        <x:v>187</x:v>
      </x:c>
      <x:c r="C127" s="26" t="str">
        <x:v>Kumuram Bheem Asifabad</x:v>
      </x:c>
      <x:c r="D127" s="26" t="str">
        <x:v>Telangana</x:v>
      </x:c>
      <x:c r="E127" s="26" t="n">
        <x:v>10421</x:v>
      </x:c>
      <x:c r="F127" s="26" t="str">
        <x:v>PRJ-2026-0010421</x:v>
      </x:c>
      <x:c r="G127" s="26" t="str">
        <x:v>Water filter, gas stove, ECCE metirial </x:v>
      </x:c>
      <x:c r="H127" s="26" t="str">
        <x:v>Mission Saksham Anganwadi &amp; POSHAN 2.0</x:v>
      </x:c>
      <x:c r="I127" s="32" t="n">
        <x:v>46164</x:v>
      </x:c>
      <x:c r="J127" s="32" t="n">
        <x:v>46265</x:v>
      </x:c>
      <x:c r="K127" s="32"/>
      <x:c r="L127" s="26" t="str">
        <x:v>Active: On/After 01-Aug-2026</x:v>
      </x:c>
      <x:c r="M127" s="26" t="str">
        <x:v>Pending Mapping</x:v>
      </x:c>
      <x:c r="N127" s="26" t="str">
        <x:v>Original project JSON not available</x:v>
      </x:c>
      <x:c r="O127" s="26"/>
      <x:c r="P127" s="26" t="str"/>
      <x:c r="Q127" s="26" t="str"/>
      <x:c r="R127" s="26"/>
      <x:c r="S127" s="36"/>
      <x:c r="T127" s="26"/>
      <x:c r="U127" s="26"/>
      <x:c r="V127" s="26"/>
      <x:c r="W127" s="26" t="n">
        <x:v>2</x:v>
      </x:c>
      <x:c r="X127" s="26" t="n">
        <x:v>0</x:v>
      </x:c>
      <x:c r="Y127" s="26" t="n">
        <x:v>2</x:v>
      </x:c>
      <x:c r="Z127" s="26" t="n">
        <x:v>0</x:v>
      </x:c>
      <x:c r="AA127" s="26" t="n">
        <x:v>2</x:v>
      </x:c>
      <x:c r="AB127" s="38" t="n">
        <x:v>0</x:v>
      </x:c>
      <x:c r="AC127" s="26" t="str">
        <x:v>Committed / Not Delivered</x:v>
      </x:c>
      <x:c r="AD127" s="26" t="str">
        <x:v>Approval not recorded in response</x:v>
      </x:c>
      <x:c r="AE127" s="27" t="b">
        <x:v>1</x:v>
      </x:c>
      <x:c r="AF127" s="34" t="n">
        <x:v>46219.40938657407</x:v>
      </x:c>
      <x:c r="AG127" s="34"/>
      <x:c r="AH127" s="26" t="str">
        <x:v>Contribution API fields only; original project JSON needed for line-item names/centres/category</x:v>
      </x:c>
      <x:c r="AI127" s="26" t="str"/>
      <x:c r="AJ127" s="26" t="str">
        <x:v>Not Started</x:v>
      </x:c>
      <x:c r="AK127" s="26" t="str"/>
      <x:c r="AL127" s="26" t="str"/>
    </x:row>
    <x:row r="128">
      <x:c r="A128" s="26" t="n">
        <x:v>133</x:v>
      </x:c>
      <x:c r="B128" s="26" t="n">
        <x:v>188</x:v>
      </x:c>
      <x:c r="C128" s="26" t="str">
        <x:v>Kumuram Bheem Asifabad</x:v>
      </x:c>
      <x:c r="D128" s="26" t="str">
        <x:v>Telangana</x:v>
      </x:c>
      <x:c r="E128" s="26" t="n">
        <x:v>10521</x:v>
      </x:c>
      <x:c r="F128" s="26" t="str">
        <x:v>PRJ-2026-0010521</x:v>
      </x:c>
      <x:c r="G128" s="26" t="str">
        <x:v>Water filter, ECCE metirial </x:v>
      </x:c>
      <x:c r="H128" s="26" t="str">
        <x:v>Mission Saksham Anganwadi &amp; POSHAN 2.0</x:v>
      </x:c>
      <x:c r="I128" s="32" t="n">
        <x:v>46164</x:v>
      </x:c>
      <x:c r="J128" s="32" t="n">
        <x:v>46265</x:v>
      </x:c>
      <x:c r="K128" s="32"/>
      <x:c r="L128" s="26" t="str">
        <x:v>Active: On/After 01-Aug-2026</x:v>
      </x:c>
      <x:c r="M128" s="26" t="str">
        <x:v>Pending Mapping</x:v>
      </x:c>
      <x:c r="N128" s="26" t="str">
        <x:v>Original project JSON not available</x:v>
      </x:c>
      <x:c r="O128" s="26"/>
      <x:c r="P128" s="26" t="str"/>
      <x:c r="Q128" s="26" t="str"/>
      <x:c r="R128" s="26"/>
      <x:c r="S128" s="36"/>
      <x:c r="T128" s="26"/>
      <x:c r="U128" s="26"/>
      <x:c r="V128" s="26"/>
      <x:c r="W128" s="26" t="n">
        <x:v>5</x:v>
      </x:c>
      <x:c r="X128" s="26" t="n">
        <x:v>0</x:v>
      </x:c>
      <x:c r="Y128" s="26" t="n">
        <x:v>8</x:v>
      </x:c>
      <x:c r="Z128" s="26" t="n">
        <x:v>0</x:v>
      </x:c>
      <x:c r="AA128" s="26" t="n">
        <x:v>8</x:v>
      </x:c>
      <x:c r="AB128" s="38" t="n">
        <x:v>0</x:v>
      </x:c>
      <x:c r="AC128" s="26" t="str">
        <x:v>Committed / Not Delivered</x:v>
      </x:c>
      <x:c r="AD128" s="26" t="str">
        <x:v>Approval not recorded in response</x:v>
      </x:c>
      <x:c r="AE128" s="27" t="b">
        <x:v>1</x:v>
      </x:c>
      <x:c r="AF128" s="34" t="n">
        <x:v>46219.409375</x:v>
      </x:c>
      <x:c r="AG128" s="34"/>
      <x:c r="AH128" s="26" t="str">
        <x:v>Contribution API fields only; original project JSON needed for line-item names/centres/category</x:v>
      </x:c>
      <x:c r="AI128" s="26" t="str"/>
      <x:c r="AJ128" s="26" t="str">
        <x:v>Not Started</x:v>
      </x:c>
      <x:c r="AK128" s="26" t="str"/>
      <x:c r="AL128" s="26" t="str"/>
    </x:row>
    <x:row r="129">
      <x:c r="A129" s="26" t="n">
        <x:v>134</x:v>
      </x:c>
      <x:c r="B129" s="26" t="n">
        <x:v>130</x:v>
      </x:c>
      <x:c r="C129" s="26" t="str">
        <x:v>Siddipet</x:v>
      </x:c>
      <x:c r="D129" s="26" t="str">
        <x:v>Telangana</x:v>
      </x:c>
      <x:c r="E129" s="26" t="n">
        <x:v>3649</x:v>
      </x:c>
      <x:c r="F129" s="26" t="str">
        <x:v>PRJ-2026-0003649</x:v>
      </x:c>
      <x:c r="G129" s="26" t="str">
        <x:v>doulthabad 1 requirement</x:v>
      </x:c>
      <x:c r="H129" s="26" t="str">
        <x:v>Mission Saksham Anganwadi &amp; POSHAN 2.0</x:v>
      </x:c>
      <x:c r="I129" s="32" t="n">
        <x:v>46200</x:v>
      </x:c>
      <x:c r="J129" s="32" t="n">
        <x:v>46326</x:v>
      </x:c>
      <x:c r="K129" s="32"/>
      <x:c r="L129" s="26" t="str">
        <x:v>Active: On/After 01-Aug-2026</x:v>
      </x:c>
      <x:c r="M129" s="26" t="str">
        <x:v>Pending Mapping</x:v>
      </x:c>
      <x:c r="N129" s="26" t="str">
        <x:v>Original project JSON not available</x:v>
      </x:c>
      <x:c r="O129" s="26"/>
      <x:c r="P129" s="26" t="str"/>
      <x:c r="Q129" s="26" t="str"/>
      <x:c r="R129" s="26"/>
      <x:c r="S129" s="36"/>
      <x:c r="T129" s="26"/>
      <x:c r="U129" s="26"/>
      <x:c r="V129" s="26"/>
      <x:c r="W129" s="26" t="n">
        <x:v>3</x:v>
      </x:c>
      <x:c r="X129" s="26" t="n">
        <x:v>0</x:v>
      </x:c>
      <x:c r="Y129" s="26" t="n">
        <x:v>3</x:v>
      </x:c>
      <x:c r="Z129" s="26" t="n">
        <x:v>0</x:v>
      </x:c>
      <x:c r="AA129" s="26" t="n">
        <x:v>3</x:v>
      </x:c>
      <x:c r="AB129" s="38" t="n">
        <x:v>0</x:v>
      </x:c>
      <x:c r="AC129" s="26" t="str">
        <x:v>Committed / Not Delivered</x:v>
      </x:c>
      <x:c r="AD129" s="26" t="str">
        <x:v>Approval not recorded in response</x:v>
      </x:c>
      <x:c r="AE129" s="27" t="b">
        <x:v>1</x:v>
      </x:c>
      <x:c r="AF129" s="34" t="n">
        <x:v>46219.40523148148</x:v>
      </x:c>
      <x:c r="AG129" s="34"/>
      <x:c r="AH129" s="26" t="str">
        <x:v>Contribution API fields only; original project JSON needed for line-item names/centres/category</x:v>
      </x:c>
      <x:c r="AI129" s="26" t="str"/>
      <x:c r="AJ129" s="26" t="str">
        <x:v>Not Started</x:v>
      </x:c>
      <x:c r="AK129" s="26" t="str"/>
      <x:c r="AL129" s="26" t="str"/>
    </x:row>
    <x:row r="130">
      <x:c r="A130" s="26" t="n">
        <x:v>135</x:v>
      </x:c>
      <x:c r="B130" s="26" t="n">
        <x:v>129</x:v>
      </x:c>
      <x:c r="C130" s="26" t="str">
        <x:v>Kumuram Bheem Asifabad</x:v>
      </x:c>
      <x:c r="D130" s="26" t="str">
        <x:v>Telangana</x:v>
      </x:c>
      <x:c r="E130" s="26" t="n">
        <x:v>4191</x:v>
      </x:c>
      <x:c r="F130" s="26" t="str">
        <x:v>PRJ-2026-0004191</x:v>
      </x:c>
      <x:c r="G130" s="26" t="str">
        <x:v>water filter</x:v>
      </x:c>
      <x:c r="H130" s="26" t="str">
        <x:v>Mission Saksham Anganwadi &amp; POSHAN 2.0</x:v>
      </x:c>
      <x:c r="I130" s="32" t="n">
        <x:v>46163</x:v>
      </x:c>
      <x:c r="J130" s="32" t="n">
        <x:v>46316</x:v>
      </x:c>
      <x:c r="K130" s="32"/>
      <x:c r="L130" s="26" t="str">
        <x:v>Active: On/After 01-Aug-2026</x:v>
      </x:c>
      <x:c r="M130" s="26" t="str">
        <x:v>Pending Mapping</x:v>
      </x:c>
      <x:c r="N130" s="26" t="str">
        <x:v>Original project JSON not available</x:v>
      </x:c>
      <x:c r="O130" s="26"/>
      <x:c r="P130" s="26" t="str"/>
      <x:c r="Q130" s="26" t="str"/>
      <x:c r="R130" s="26"/>
      <x:c r="S130" s="36"/>
      <x:c r="T130" s="26"/>
      <x:c r="U130" s="26"/>
      <x:c r="V130" s="26"/>
      <x:c r="W130" s="26" t="n">
        <x:v>1</x:v>
      </x:c>
      <x:c r="X130" s="26" t="n">
        <x:v>0</x:v>
      </x:c>
      <x:c r="Y130" s="26" t="n">
        <x:v>1</x:v>
      </x:c>
      <x:c r="Z130" s="26" t="n">
        <x:v>0</x:v>
      </x:c>
      <x:c r="AA130" s="26" t="n">
        <x:v>1</x:v>
      </x:c>
      <x:c r="AB130" s="38" t="n">
        <x:v>0</x:v>
      </x:c>
      <x:c r="AC130" s="26" t="str">
        <x:v>Committed / Not Delivered</x:v>
      </x:c>
      <x:c r="AD130" s="26" t="str">
        <x:v>Approval not recorded in response</x:v>
      </x:c>
      <x:c r="AE130" s="27" t="b">
        <x:v>1</x:v>
      </x:c>
      <x:c r="AF130" s="34" t="n">
        <x:v>46219.38929398148</x:v>
      </x:c>
      <x:c r="AG130" s="34"/>
      <x:c r="AH130" s="26" t="str">
        <x:v>Contribution API fields only; original project JSON needed for line-item names/centres/category</x:v>
      </x:c>
      <x:c r="AI130" s="26" t="str"/>
      <x:c r="AJ130" s="26" t="str">
        <x:v>Not Started</x:v>
      </x:c>
      <x:c r="AK130" s="26" t="str"/>
      <x:c r="AL130" s="26" t="str"/>
    </x:row>
    <x:row r="131">
      <x:c r="A131" s="26" t="n">
        <x:v>136</x:v>
      </x:c>
      <x:c r="B131" s="26" t="n">
        <x:v>128</x:v>
      </x:c>
      <x:c r="C131" s="26" t="str">
        <x:v>Kumuram Bheem Asifabad</x:v>
      </x:c>
      <x:c r="D131" s="26" t="str">
        <x:v>Telangana</x:v>
      </x:c>
      <x:c r="E131" s="26" t="n">
        <x:v>144</x:v>
      </x:c>
      <x:c r="F131" s="26" t="str">
        <x:v>PRJ-2026-0000144</x:v>
      </x:c>
      <x:c r="G131" s="26" t="str">
        <x:v>Upgradation of Anganwadi center</x:v>
      </x:c>
      <x:c r="H131" s="26" t="str">
        <x:v>Mission Saksham Anganwadi &amp; POSHAN 2.0</x:v>
      </x:c>
      <x:c r="I131" s="32" t="n">
        <x:v>46162</x:v>
      </x:c>
      <x:c r="J131" s="32" t="n">
        <x:v>46254</x:v>
      </x:c>
      <x:c r="K131" s="32"/>
      <x:c r="L131" s="26" t="str">
        <x:v>Active: On/After 01-Aug-2026</x:v>
      </x:c>
      <x:c r="M131" s="26" t="str">
        <x:v>Pending Mapping</x:v>
      </x:c>
      <x:c r="N131" s="26" t="str">
        <x:v>Original project JSON not available</x:v>
      </x:c>
      <x:c r="O131" s="26"/>
      <x:c r="P131" s="26" t="str"/>
      <x:c r="Q131" s="26" t="str"/>
      <x:c r="R131" s="26"/>
      <x:c r="S131" s="36"/>
      <x:c r="T131" s="26"/>
      <x:c r="U131" s="26"/>
      <x:c r="V131" s="26"/>
      <x:c r="W131" s="26" t="n">
        <x:v>3</x:v>
      </x:c>
      <x:c r="X131" s="26" t="n">
        <x:v>0</x:v>
      </x:c>
      <x:c r="Y131" s="26" t="n">
        <x:v>9</x:v>
      </x:c>
      <x:c r="Z131" s="26" t="n">
        <x:v>0</x:v>
      </x:c>
      <x:c r="AA131" s="26" t="n">
        <x:v>9</x:v>
      </x:c>
      <x:c r="AB131" s="38" t="n">
        <x:v>0</x:v>
      </x:c>
      <x:c r="AC131" s="26" t="str">
        <x:v>Committed / Not Delivered</x:v>
      </x:c>
      <x:c r="AD131" s="26" t="str">
        <x:v>Approval not recorded in response</x:v>
      </x:c>
      <x:c r="AE131" s="27" t="b">
        <x:v>1</x:v>
      </x:c>
      <x:c r="AF131" s="34" t="n">
        <x:v>46219.37427083333</x:v>
      </x:c>
      <x:c r="AG131" s="34"/>
      <x:c r="AH131" s="26" t="str">
        <x:v>Contribution API fields only; original project JSON needed for line-item names/centres/category</x:v>
      </x:c>
      <x:c r="AI131" s="26" t="str"/>
      <x:c r="AJ131" s="26" t="str">
        <x:v>Not Started</x:v>
      </x:c>
      <x:c r="AK131" s="26" t="str"/>
      <x:c r="AL131" s="26" t="str"/>
    </x:row>
    <x:row r="132">
      <x:c r="A132" s="26" t="n">
        <x:v>137</x:v>
      </x:c>
      <x:c r="B132" s="26" t="n">
        <x:v>132</x:v>
      </x:c>
      <x:c r="C132" s="26" t="str">
        <x:v>Kumuram Bheem Asifabad</x:v>
      </x:c>
      <x:c r="D132" s="26" t="str">
        <x:v>Telangana</x:v>
      </x:c>
      <x:c r="E132" s="26" t="n">
        <x:v>82</x:v>
      </x:c>
      <x:c r="F132" s="26" t="str">
        <x:v>PRJ-2026-0000082</x:v>
      </x:c>
      <x:c r="G132" s="26" t="str">
        <x:v>Requirement of Water Filter, Door,Ramps</x:v>
      </x:c>
      <x:c r="H132" s="26" t="str">
        <x:v>Mission Saksham Anganwadi &amp; POSHAN 2.0</x:v>
      </x:c>
      <x:c r="I132" s="32" t="n">
        <x:v>46163</x:v>
      </x:c>
      <x:c r="J132" s="32" t="n">
        <x:v>46347</x:v>
      </x:c>
      <x:c r="K132" s="32"/>
      <x:c r="L132" s="26" t="str">
        <x:v>Active: On/After 01-Aug-2026</x:v>
      </x:c>
      <x:c r="M132" s="26" t="str">
        <x:v>Pending Mapping</x:v>
      </x:c>
      <x:c r="N132" s="26" t="str">
        <x:v>Original project JSON not available</x:v>
      </x:c>
      <x:c r="O132" s="26"/>
      <x:c r="P132" s="26" t="str"/>
      <x:c r="Q132" s="26" t="str"/>
      <x:c r="R132" s="26"/>
      <x:c r="S132" s="36"/>
      <x:c r="T132" s="26"/>
      <x:c r="U132" s="26"/>
      <x:c r="V132" s="26"/>
      <x:c r="W132" s="26" t="n">
        <x:v>2</x:v>
      </x:c>
      <x:c r="X132" s="26" t="n">
        <x:v>0</x:v>
      </x:c>
      <x:c r="Y132" s="26" t="n">
        <x:v>2</x:v>
      </x:c>
      <x:c r="Z132" s="26" t="n">
        <x:v>0</x:v>
      </x:c>
      <x:c r="AA132" s="26" t="n">
        <x:v>2</x:v>
      </x:c>
      <x:c r="AB132" s="38" t="n">
        <x:v>0</x:v>
      </x:c>
      <x:c r="AC132" s="26" t="str">
        <x:v>Committed / Not Delivered</x:v>
      </x:c>
      <x:c r="AD132" s="26" t="str">
        <x:v>Approval not recorded in response</x:v>
      </x:c>
      <x:c r="AE132" s="27" t="b">
        <x:v>1</x:v>
      </x:c>
      <x:c r="AF132" s="34" t="n">
        <x:v>46218.51111111111</x:v>
      </x:c>
      <x:c r="AG132" s="34"/>
      <x:c r="AH132" s="26" t="str">
        <x:v>Contribution API fields only; original project JSON needed for line-item names/centres/category</x:v>
      </x:c>
      <x:c r="AI132" s="26" t="str"/>
      <x:c r="AJ132" s="26" t="str">
        <x:v>Not Started</x:v>
      </x:c>
      <x:c r="AK132" s="26" t="str"/>
      <x:c r="AL132" s="26" t="str"/>
    </x:row>
    <x:row r="133">
      <x:c r="A133" s="26" t="n">
        <x:v>138</x:v>
      </x:c>
      <x:c r="B133" s="26" t="n">
        <x:v>134</x:v>
      </x:c>
      <x:c r="C133" s="26" t="str">
        <x:v>Kumuram Bheem Asifabad</x:v>
      </x:c>
      <x:c r="D133" s="26" t="str">
        <x:v>Telangana</x:v>
      </x:c>
      <x:c r="E133" s="26" t="n">
        <x:v>223</x:v>
      </x:c>
      <x:c r="F133" s="26" t="str">
        <x:v>PRJ-2026-0000223</x:v>
      </x:c>
      <x:c r="G133" s="26" t="str">
        <x:v>Requirement of Toilet, Water filter, Poshan Vatika, Solar panel</x:v>
      </x:c>
      <x:c r="H133" s="26" t="str">
        <x:v>Mission Saksham Anganwadi &amp; POSHAN 2.0</x:v>
      </x:c>
      <x:c r="I133" s="32" t="n">
        <x:v>46163</x:v>
      </x:c>
      <x:c r="J133" s="32" t="n">
        <x:v>46347</x:v>
      </x:c>
      <x:c r="K133" s="32"/>
      <x:c r="L133" s="26" t="str">
        <x:v>Active: On/After 01-Aug-2026</x:v>
      </x:c>
      <x:c r="M133" s="26" t="str">
        <x:v>Pending Mapping</x:v>
      </x:c>
      <x:c r="N133" s="26" t="str">
        <x:v>Original project JSON not available</x:v>
      </x:c>
      <x:c r="O133" s="26"/>
      <x:c r="P133" s="26" t="str"/>
      <x:c r="Q133" s="26" t="str"/>
      <x:c r="R133" s="26"/>
      <x:c r="S133" s="36"/>
      <x:c r="T133" s="26"/>
      <x:c r="U133" s="26"/>
      <x:c r="V133" s="26"/>
      <x:c r="W133" s="26" t="n">
        <x:v>4</x:v>
      </x:c>
      <x:c r="X133" s="26" t="n">
        <x:v>0</x:v>
      </x:c>
      <x:c r="Y133" s="26" t="n">
        <x:v>5</x:v>
      </x:c>
      <x:c r="Z133" s="26" t="n">
        <x:v>0</x:v>
      </x:c>
      <x:c r="AA133" s="26" t="n">
        <x:v>5</x:v>
      </x:c>
      <x:c r="AB133" s="38" t="n">
        <x:v>0</x:v>
      </x:c>
      <x:c r="AC133" s="26" t="str">
        <x:v>Committed / Not Delivered</x:v>
      </x:c>
      <x:c r="AD133" s="26" t="str">
        <x:v>Approval not recorded in response</x:v>
      </x:c>
      <x:c r="AE133" s="27" t="b">
        <x:v>1</x:v>
      </x:c>
      <x:c r="AF133" s="34" t="n">
        <x:v>46218.511087962965</x:v>
      </x:c>
      <x:c r="AG133" s="34"/>
      <x:c r="AH133" s="26" t="str">
        <x:v>Contribution API fields only; original project JSON needed for line-item names/centres/category</x:v>
      </x:c>
      <x:c r="AI133" s="26" t="str"/>
      <x:c r="AJ133" s="26" t="str">
        <x:v>Not Started</x:v>
      </x:c>
      <x:c r="AK133" s="26" t="str"/>
      <x:c r="AL133" s="26" t="str"/>
    </x:row>
    <x:row r="134">
      <x:c r="A134" s="26" t="n">
        <x:v>139</x:v>
      </x:c>
      <x:c r="B134" s="26" t="n">
        <x:v>135</x:v>
      </x:c>
      <x:c r="C134" s="26" t="str">
        <x:v>Kumuram Bheem Asifabad</x:v>
      </x:c>
      <x:c r="D134" s="26" t="str">
        <x:v>Telangana</x:v>
      </x:c>
      <x:c r="E134" s="26" t="n">
        <x:v>245</x:v>
      </x:c>
      <x:c r="F134" s="26" t="str">
        <x:v>PRJ-2026-0000245</x:v>
      </x:c>
      <x:c r="G134" s="26" t="str">
        <x:v>Requirement of Water Filter, ECCE, GMD, Gas stove &amp; Regulator</x:v>
      </x:c>
      <x:c r="H134" s="26" t="str">
        <x:v>Mission Saksham Anganwadi &amp; POSHAN 2.0</x:v>
      </x:c>
      <x:c r="I134" s="32" t="n">
        <x:v>46163</x:v>
      </x:c>
      <x:c r="J134" s="32" t="n">
        <x:v>46347</x:v>
      </x:c>
      <x:c r="K134" s="32"/>
      <x:c r="L134" s="26" t="str">
        <x:v>Active: On/After 01-Aug-2026</x:v>
      </x:c>
      <x:c r="M134" s="26" t="str">
        <x:v>Pending Mapping</x:v>
      </x:c>
      <x:c r="N134" s="26" t="str">
        <x:v>Original project JSON not available</x:v>
      </x:c>
      <x:c r="O134" s="26"/>
      <x:c r="P134" s="26" t="str"/>
      <x:c r="Q134" s="26" t="str"/>
      <x:c r="R134" s="26"/>
      <x:c r="S134" s="36"/>
      <x:c r="T134" s="26"/>
      <x:c r="U134" s="26"/>
      <x:c r="V134" s="26"/>
      <x:c r="W134" s="26" t="n">
        <x:v>3</x:v>
      </x:c>
      <x:c r="X134" s="26" t="n">
        <x:v>0</x:v>
      </x:c>
      <x:c r="Y134" s="26" t="n">
        <x:v>8</x:v>
      </x:c>
      <x:c r="Z134" s="26" t="n">
        <x:v>0</x:v>
      </x:c>
      <x:c r="AA134" s="26" t="n">
        <x:v>8</x:v>
      </x:c>
      <x:c r="AB134" s="38" t="n">
        <x:v>0</x:v>
      </x:c>
      <x:c r="AC134" s="26" t="str">
        <x:v>Committed / Not Delivered</x:v>
      </x:c>
      <x:c r="AD134" s="26" t="str">
        <x:v>Approval not recorded in response</x:v>
      </x:c>
      <x:c r="AE134" s="27" t="b">
        <x:v>1</x:v>
      </x:c>
      <x:c r="AF134" s="34" t="n">
        <x:v>46218.51107638889</x:v>
      </x:c>
      <x:c r="AG134" s="34"/>
      <x:c r="AH134" s="26" t="str">
        <x:v>Contribution API fields only; original project JSON needed for line-item names/centres/category</x:v>
      </x:c>
      <x:c r="AI134" s="26" t="str"/>
      <x:c r="AJ134" s="26" t="str">
        <x:v>Not Started</x:v>
      </x:c>
      <x:c r="AK134" s="26" t="str"/>
      <x:c r="AL134" s="26" t="str"/>
    </x:row>
    <x:row r="135">
      <x:c r="A135" s="26" t="n">
        <x:v>140</x:v>
      </x:c>
      <x:c r="B135" s="26" t="n">
        <x:v>136</x:v>
      </x:c>
      <x:c r="C135" s="26" t="str">
        <x:v>Kumuram Bheem Asifabad</x:v>
      </x:c>
      <x:c r="D135" s="26" t="str">
        <x:v>Telangana</x:v>
      </x:c>
      <x:c r="E135" s="26" t="n">
        <x:v>250</x:v>
      </x:c>
      <x:c r="F135" s="26" t="str">
        <x:v>PRJ-2026-0000250</x:v>
      </x:c>
      <x:c r="G135" s="26" t="str">
        <x:v>Requirement of Water Filter, Solar Panel, GMD</x:v>
      </x:c>
      <x:c r="H135" s="26" t="str">
        <x:v>Mission Saksham Anganwadi &amp; POSHAN 2.0</x:v>
      </x:c>
      <x:c r="I135" s="32" t="n">
        <x:v>46163</x:v>
      </x:c>
      <x:c r="J135" s="32" t="n">
        <x:v>46347</x:v>
      </x:c>
      <x:c r="K135" s="32"/>
      <x:c r="L135" s="26" t="str">
        <x:v>Active: On/After 01-Aug-2026</x:v>
      </x:c>
      <x:c r="M135" s="26" t="str">
        <x:v>Pending Mapping</x:v>
      </x:c>
      <x:c r="N135" s="26" t="str">
        <x:v>Original project JSON not available</x:v>
      </x:c>
      <x:c r="O135" s="26"/>
      <x:c r="P135" s="26" t="str"/>
      <x:c r="Q135" s="26" t="str"/>
      <x:c r="R135" s="26"/>
      <x:c r="S135" s="36"/>
      <x:c r="T135" s="26"/>
      <x:c r="U135" s="26"/>
      <x:c r="V135" s="26"/>
      <x:c r="W135" s="26" t="n">
        <x:v>2</x:v>
      </x:c>
      <x:c r="X135" s="26" t="n">
        <x:v>0</x:v>
      </x:c>
      <x:c r="Y135" s="26" t="n">
        <x:v>2</x:v>
      </x:c>
      <x:c r="Z135" s="26" t="n">
        <x:v>0</x:v>
      </x:c>
      <x:c r="AA135" s="26" t="n">
        <x:v>2</x:v>
      </x:c>
      <x:c r="AB135" s="38" t="n">
        <x:v>0</x:v>
      </x:c>
      <x:c r="AC135" s="26" t="str">
        <x:v>Committed / Not Delivered</x:v>
      </x:c>
      <x:c r="AD135" s="26" t="str">
        <x:v>Approval not recorded in response</x:v>
      </x:c>
      <x:c r="AE135" s="27" t="b">
        <x:v>1</x:v>
      </x:c>
      <x:c r="AF135" s="34" t="n">
        <x:v>46218.51106481482</x:v>
      </x:c>
      <x:c r="AG135" s="34"/>
      <x:c r="AH135" s="26" t="str">
        <x:v>Contribution API fields only; original project JSON needed for line-item names/centres/category</x:v>
      </x:c>
      <x:c r="AI135" s="26" t="str"/>
      <x:c r="AJ135" s="26" t="str">
        <x:v>Not Started</x:v>
      </x:c>
      <x:c r="AK135" s="26" t="str"/>
      <x:c r="AL135" s="26" t="str"/>
    </x:row>
    <x:row r="136">
      <x:c r="A136" s="26" t="n">
        <x:v>141</x:v>
      </x:c>
      <x:c r="B136" s="26" t="n">
        <x:v>137</x:v>
      </x:c>
      <x:c r="C136" s="26" t="str">
        <x:v>Kumuram Bheem Asifabad</x:v>
      </x:c>
      <x:c r="D136" s="26" t="str">
        <x:v>Telangana</x:v>
      </x:c>
      <x:c r="E136" s="26" t="n">
        <x:v>874</x:v>
      </x:c>
      <x:c r="F136" s="26" t="str">
        <x:v>PRJ-2026-0000874</x:v>
      </x:c>
      <x:c r="G136" s="26" t="str">
        <x:v>Materials(Balls, Dining, Hand wash)</x:v>
      </x:c>
      <x:c r="H136" s="26" t="str">
        <x:v>Mission Saksham Anganwadi &amp; POSHAN 2.0</x:v>
      </x:c>
      <x:c r="I136" s="32" t="n">
        <x:v>46163</x:v>
      </x:c>
      <x:c r="J136" s="32" t="n">
        <x:v>46316</x:v>
      </x:c>
      <x:c r="K136" s="32"/>
      <x:c r="L136" s="26" t="str">
        <x:v>Active: On/After 01-Aug-2026</x:v>
      </x:c>
      <x:c r="M136" s="26" t="str">
        <x:v>Pending Mapping</x:v>
      </x:c>
      <x:c r="N136" s="26" t="str">
        <x:v>Original project JSON not available</x:v>
      </x:c>
      <x:c r="O136" s="26"/>
      <x:c r="P136" s="26" t="str"/>
      <x:c r="Q136" s="26" t="str"/>
      <x:c r="R136" s="26"/>
      <x:c r="S136" s="36"/>
      <x:c r="T136" s="26"/>
      <x:c r="U136" s="26"/>
      <x:c r="V136" s="26"/>
      <x:c r="W136" s="26" t="n">
        <x:v>3</x:v>
      </x:c>
      <x:c r="X136" s="26" t="n">
        <x:v>0</x:v>
      </x:c>
      <x:c r="Y136" s="26" t="n">
        <x:v>29</x:v>
      </x:c>
      <x:c r="Z136" s="26" t="n">
        <x:v>0</x:v>
      </x:c>
      <x:c r="AA136" s="26" t="n">
        <x:v>29</x:v>
      </x:c>
      <x:c r="AB136" s="38" t="n">
        <x:v>0</x:v>
      </x:c>
      <x:c r="AC136" s="26" t="str">
        <x:v>Committed / Not Delivered</x:v>
      </x:c>
      <x:c r="AD136" s="26" t="str">
        <x:v>Approval not recorded in response</x:v>
      </x:c>
      <x:c r="AE136" s="27" t="b">
        <x:v>1</x:v>
      </x:c>
      <x:c r="AF136" s="34" t="n">
        <x:v>46218.51106481482</x:v>
      </x:c>
      <x:c r="AG136" s="34"/>
      <x:c r="AH136" s="26" t="str">
        <x:v>Contribution API fields only; original project JSON needed for line-item names/centres/category</x:v>
      </x:c>
      <x:c r="AI136" s="26" t="str"/>
      <x:c r="AJ136" s="26" t="str">
        <x:v>Not Started</x:v>
      </x:c>
      <x:c r="AK136" s="26" t="str"/>
      <x:c r="AL136" s="26" t="str"/>
    </x:row>
    <x:row r="137">
      <x:c r="A137" s="26" t="n">
        <x:v>142</x:v>
      </x:c>
      <x:c r="B137" s="26" t="n">
        <x:v>138</x:v>
      </x:c>
      <x:c r="C137" s="26" t="str">
        <x:v>Kumuram Bheem Asifabad</x:v>
      </x:c>
      <x:c r="D137" s="26" t="str">
        <x:v>Telangana</x:v>
      </x:c>
      <x:c r="E137" s="26" t="n">
        <x:v>1014</x:v>
      </x:c>
      <x:c r="F137" s="26" t="str">
        <x:v>PRJ-2026-0001014</x:v>
      </x:c>
      <x:c r="G137" s="26" t="str">
        <x:v>Materials(Swing Sets, Gardening Equipment, Seeds)  </x:v>
      </x:c>
      <x:c r="H137" s="26" t="str">
        <x:v>Mission Saksham Anganwadi &amp; POSHAN 2.0</x:v>
      </x:c>
      <x:c r="I137" s="32" t="n">
        <x:v>46163</x:v>
      </x:c>
      <x:c r="J137" s="32" t="n">
        <x:v>46316</x:v>
      </x:c>
      <x:c r="K137" s="32"/>
      <x:c r="L137" s="26" t="str">
        <x:v>Active: On/After 01-Aug-2026</x:v>
      </x:c>
      <x:c r="M137" s="26" t="str">
        <x:v>Pending Mapping</x:v>
      </x:c>
      <x:c r="N137" s="26" t="str">
        <x:v>Original project JSON not available</x:v>
      </x:c>
      <x:c r="O137" s="26"/>
      <x:c r="P137" s="26" t="str"/>
      <x:c r="Q137" s="26" t="str"/>
      <x:c r="R137" s="26"/>
      <x:c r="S137" s="36"/>
      <x:c r="T137" s="26"/>
      <x:c r="U137" s="26"/>
      <x:c r="V137" s="26"/>
      <x:c r="W137" s="26" t="n">
        <x:v>3</x:v>
      </x:c>
      <x:c r="X137" s="26" t="n">
        <x:v>0</x:v>
      </x:c>
      <x:c r="Y137" s="26" t="n">
        <x:v>15</x:v>
      </x:c>
      <x:c r="Z137" s="26" t="n">
        <x:v>0</x:v>
      </x:c>
      <x:c r="AA137" s="26" t="n">
        <x:v>15</x:v>
      </x:c>
      <x:c r="AB137" s="38" t="n">
        <x:v>0</x:v>
      </x:c>
      <x:c r="AC137" s="26" t="str">
        <x:v>Committed / Not Delivered</x:v>
      </x:c>
      <x:c r="AD137" s="26" t="str">
        <x:v>Approval not recorded in response</x:v>
      </x:c>
      <x:c r="AE137" s="27" t="b">
        <x:v>1</x:v>
      </x:c>
      <x:c r="AF137" s="34" t="n">
        <x:v>46218.51105324074</x:v>
      </x:c>
      <x:c r="AG137" s="34"/>
      <x:c r="AH137" s="26" t="str">
        <x:v>Contribution API fields only; original project JSON needed for line-item names/centres/category</x:v>
      </x:c>
      <x:c r="AI137" s="26" t="str"/>
      <x:c r="AJ137" s="26" t="str">
        <x:v>Not Started</x:v>
      </x:c>
      <x:c r="AK137" s="26" t="str"/>
      <x:c r="AL137" s="26" t="str"/>
    </x:row>
    <x:row r="138">
      <x:c r="A138" s="26" t="n">
        <x:v>143</x:v>
      </x:c>
      <x:c r="B138" s="26" t="n">
        <x:v>139</x:v>
      </x:c>
      <x:c r="C138" s="26" t="str">
        <x:v>Kumuram Bheem Asifabad</x:v>
      </x:c>
      <x:c r="D138" s="26" t="str">
        <x:v>Telangana</x:v>
      </x:c>
      <x:c r="E138" s="26" t="n">
        <x:v>1105</x:v>
      </x:c>
      <x:c r="F138" s="26" t="str">
        <x:v>PRJ-2026-0001105</x:v>
      </x:c>
      <x:c r="G138" s="26" t="str">
        <x:v>Materials (Gardening Equipment, Seeds, Other Resources)  </x:v>
      </x:c>
      <x:c r="H138" s="26" t="str">
        <x:v>Mission Saksham Anganwadi &amp; POSHAN 2.0</x:v>
      </x:c>
      <x:c r="I138" s="32" t="n">
        <x:v>46163</x:v>
      </x:c>
      <x:c r="J138" s="32" t="n">
        <x:v>46316</x:v>
      </x:c>
      <x:c r="K138" s="32"/>
      <x:c r="L138" s="26" t="str">
        <x:v>Active: On/After 01-Aug-2026</x:v>
      </x:c>
      <x:c r="M138" s="26" t="str">
        <x:v>Pending Mapping</x:v>
      </x:c>
      <x:c r="N138" s="26" t="str">
        <x:v>Original project JSON not available</x:v>
      </x:c>
      <x:c r="O138" s="26"/>
      <x:c r="P138" s="26" t="str"/>
      <x:c r="Q138" s="26" t="str"/>
      <x:c r="R138" s="26"/>
      <x:c r="S138" s="36"/>
      <x:c r="T138" s="26"/>
      <x:c r="U138" s="26"/>
      <x:c r="V138" s="26"/>
      <x:c r="W138" s="26" t="n">
        <x:v>3</x:v>
      </x:c>
      <x:c r="X138" s="26" t="n">
        <x:v>0</x:v>
      </x:c>
      <x:c r="Y138" s="26" t="n">
        <x:v>21</x:v>
      </x:c>
      <x:c r="Z138" s="26" t="n">
        <x:v>0</x:v>
      </x:c>
      <x:c r="AA138" s="26" t="n">
        <x:v>21</x:v>
      </x:c>
      <x:c r="AB138" s="38" t="n">
        <x:v>0</x:v>
      </x:c>
      <x:c r="AC138" s="26" t="str">
        <x:v>Committed / Not Delivered</x:v>
      </x:c>
      <x:c r="AD138" s="26" t="str">
        <x:v>Approval not recorded in response</x:v>
      </x:c>
      <x:c r="AE138" s="27" t="b">
        <x:v>1</x:v>
      </x:c>
      <x:c r="AF138" s="34" t="n">
        <x:v>46218.511041666665</x:v>
      </x:c>
      <x:c r="AG138" s="34"/>
      <x:c r="AH138" s="26" t="str">
        <x:v>Contribution API fields only; original project JSON needed for line-item names/centres/category</x:v>
      </x:c>
      <x:c r="AI138" s="26" t="str"/>
      <x:c r="AJ138" s="26" t="str">
        <x:v>Not Started</x:v>
      </x:c>
      <x:c r="AK138" s="26" t="str"/>
      <x:c r="AL138" s="26" t="str"/>
    </x:row>
    <x:row r="139">
      <x:c r="A139" s="26" t="n">
        <x:v>144</x:v>
      </x:c>
      <x:c r="B139" s="26" t="n">
        <x:v>144</x:v>
      </x:c>
      <x:c r="C139" s="26" t="str">
        <x:v>Kumuram Bheem Asifabad</x:v>
      </x:c>
      <x:c r="D139" s="26" t="str">
        <x:v>Telangana</x:v>
      </x:c>
      <x:c r="E139" s="26" t="n">
        <x:v>2039</x:v>
      </x:c>
      <x:c r="F139" s="26" t="str">
        <x:v>PRJ-2026-0002039</x:v>
      </x:c>
      <x:c r="G139" s="26" t="str">
        <x:v>Upgradation of AWCs </x:v>
      </x:c>
      <x:c r="H139" s="26" t="str">
        <x:v>Mission Saksham Anganwadi &amp; POSHAN 2.0</x:v>
      </x:c>
      <x:c r="I139" s="32" t="n">
        <x:v>46163</x:v>
      </x:c>
      <x:c r="J139" s="32" t="n">
        <x:v>46316</x:v>
      </x:c>
      <x:c r="K139" s="32"/>
      <x:c r="L139" s="26" t="str">
        <x:v>Active: On/After 01-Aug-2026</x:v>
      </x:c>
      <x:c r="M139" s="26" t="str">
        <x:v>Pending Mapping</x:v>
      </x:c>
      <x:c r="N139" s="26" t="str">
        <x:v>Original project JSON not available</x:v>
      </x:c>
      <x:c r="O139" s="26"/>
      <x:c r="P139" s="26" t="str"/>
      <x:c r="Q139" s="26" t="str"/>
      <x:c r="R139" s="26"/>
      <x:c r="S139" s="36"/>
      <x:c r="T139" s="26"/>
      <x:c r="U139" s="26"/>
      <x:c r="V139" s="26"/>
      <x:c r="W139" s="26" t="n">
        <x:v>4</x:v>
      </x:c>
      <x:c r="X139" s="26" t="n">
        <x:v>0</x:v>
      </x:c>
      <x:c r="Y139" s="26" t="n">
        <x:v>4</x:v>
      </x:c>
      <x:c r="Z139" s="26" t="n">
        <x:v>0</x:v>
      </x:c>
      <x:c r="AA139" s="26" t="n">
        <x:v>4</x:v>
      </x:c>
      <x:c r="AB139" s="38" t="n">
        <x:v>0</x:v>
      </x:c>
      <x:c r="AC139" s="26" t="str">
        <x:v>Committed / Not Delivered</x:v>
      </x:c>
      <x:c r="AD139" s="26" t="str">
        <x:v>Approval not recorded in response</x:v>
      </x:c>
      <x:c r="AE139" s="27" t="b">
        <x:v>1</x:v>
      </x:c>
      <x:c r="AF139" s="34" t="n">
        <x:v>46218.51100694444</x:v>
      </x:c>
      <x:c r="AG139" s="34"/>
      <x:c r="AH139" s="26" t="str">
        <x:v>Contribution API fields only; original project JSON needed for line-item names/centres/category</x:v>
      </x:c>
      <x:c r="AI139" s="26" t="str"/>
      <x:c r="AJ139" s="26" t="str">
        <x:v>Not Started</x:v>
      </x:c>
      <x:c r="AK139" s="26" t="str"/>
      <x:c r="AL139" s="26" t="str"/>
    </x:row>
    <x:row r="140">
      <x:c r="A140" s="26" t="n">
        <x:v>145</x:v>
      </x:c>
      <x:c r="B140" s="26" t="n">
        <x:v>148</x:v>
      </x:c>
      <x:c r="C140" s="26" t="str">
        <x:v>Kumuram Bheem Asifabad</x:v>
      </x:c>
      <x:c r="D140" s="26" t="str">
        <x:v>Telangana</x:v>
      </x:c>
      <x:c r="E140" s="26" t="n">
        <x:v>2474</x:v>
      </x:c>
      <x:c r="F140" s="26" t="str">
        <x:v>PRJ-2026-0002474</x:v>
      </x:c>
      <x:c r="G140" s="26" t="str">
        <x:v>Materials (Toys, Balls, Swing Sets)  </x:v>
      </x:c>
      <x:c r="H140" s="26" t="str">
        <x:v>Mission Saksham Anganwadi &amp; POSHAN 2.0</x:v>
      </x:c>
      <x:c r="I140" s="32" t="n">
        <x:v>46163</x:v>
      </x:c>
      <x:c r="J140" s="32" t="n">
        <x:v>46316</x:v>
      </x:c>
      <x:c r="K140" s="32"/>
      <x:c r="L140" s="26" t="str">
        <x:v>Active: On/After 01-Aug-2026</x:v>
      </x:c>
      <x:c r="M140" s="26" t="str">
        <x:v>Pending Mapping</x:v>
      </x:c>
      <x:c r="N140" s="26" t="str">
        <x:v>Original project JSON not available</x:v>
      </x:c>
      <x:c r="O140" s="26"/>
      <x:c r="P140" s="26" t="str"/>
      <x:c r="Q140" s="26" t="str"/>
      <x:c r="R140" s="26"/>
      <x:c r="S140" s="36"/>
      <x:c r="T140" s="26"/>
      <x:c r="U140" s="26"/>
      <x:c r="V140" s="26"/>
      <x:c r="W140" s="26" t="n">
        <x:v>3</x:v>
      </x:c>
      <x:c r="X140" s="26" t="n">
        <x:v>0</x:v>
      </x:c>
      <x:c r="Y140" s="26" t="n">
        <x:v>34</x:v>
      </x:c>
      <x:c r="Z140" s="26" t="n">
        <x:v>0</x:v>
      </x:c>
      <x:c r="AA140" s="26" t="n">
        <x:v>34</x:v>
      </x:c>
      <x:c r="AB140" s="38" t="n">
        <x:v>0</x:v>
      </x:c>
      <x:c r="AC140" s="26" t="str">
        <x:v>Committed / Not Delivered</x:v>
      </x:c>
      <x:c r="AD140" s="26" t="str">
        <x:v>Approval not recorded in response</x:v>
      </x:c>
      <x:c r="AE140" s="27" t="b">
        <x:v>1</x:v>
      </x:c>
      <x:c r="AF140" s="34" t="n">
        <x:v>46218.51097222222</x:v>
      </x:c>
      <x:c r="AG140" s="34"/>
      <x:c r="AH140" s="26" t="str">
        <x:v>Contribution API fields only; original project JSON needed for line-item names/centres/category</x:v>
      </x:c>
      <x:c r="AI140" s="26" t="str"/>
      <x:c r="AJ140" s="26" t="str">
        <x:v>Not Started</x:v>
      </x:c>
      <x:c r="AK140" s="26" t="str"/>
      <x:c r="AL140" s="26" t="str"/>
    </x:row>
    <x:row r="141">
      <x:c r="A141" s="26" t="n">
        <x:v>146</x:v>
      </x:c>
      <x:c r="B141" s="26" t="n">
        <x:v>149</x:v>
      </x:c>
      <x:c r="C141" s="26" t="str">
        <x:v>Kumuram Bheem Asifabad</x:v>
      </x:c>
      <x:c r="D141" s="26" t="str">
        <x:v>Telangana</x:v>
      </x:c>
      <x:c r="E141" s="26" t="n">
        <x:v>2759</x:v>
      </x:c>
      <x:c r="F141" s="26" t="str">
        <x:v>PRJ-2026-0002759</x:v>
      </x:c>
      <x:c r="G141" s="26" t="str">
        <x:v>requirement of anganwadi facilities</x:v>
      </x:c>
      <x:c r="H141" s="26" t="str">
        <x:v>Mission Saksham Anganwadi &amp; POSHAN 2.0</x:v>
      </x:c>
      <x:c r="I141" s="32" t="n">
        <x:v>46163</x:v>
      </x:c>
      <x:c r="J141" s="32" t="n">
        <x:v>46316</x:v>
      </x:c>
      <x:c r="K141" s="32"/>
      <x:c r="L141" s="26" t="str">
        <x:v>Active: On/After 01-Aug-2026</x:v>
      </x:c>
      <x:c r="M141" s="26" t="str">
        <x:v>Pending Mapping</x:v>
      </x:c>
      <x:c r="N141" s="26" t="str">
        <x:v>Original project JSON not available</x:v>
      </x:c>
      <x:c r="O141" s="26"/>
      <x:c r="P141" s="26" t="str"/>
      <x:c r="Q141" s="26" t="str"/>
      <x:c r="R141" s="26"/>
      <x:c r="S141" s="36"/>
      <x:c r="T141" s="26"/>
      <x:c r="U141" s="26"/>
      <x:c r="V141" s="26"/>
      <x:c r="W141" s="26" t="n">
        <x:v>4</x:v>
      </x:c>
      <x:c r="X141" s="26" t="n">
        <x:v>0</x:v>
      </x:c>
      <x:c r="Y141" s="26" t="n">
        <x:v>4</x:v>
      </x:c>
      <x:c r="Z141" s="26" t="n">
        <x:v>0</x:v>
      </x:c>
      <x:c r="AA141" s="26" t="n">
        <x:v>4</x:v>
      </x:c>
      <x:c r="AB141" s="38" t="n">
        <x:v>0</x:v>
      </x:c>
      <x:c r="AC141" s="26" t="str">
        <x:v>Committed / Not Delivered</x:v>
      </x:c>
      <x:c r="AD141" s="26" t="str">
        <x:v>Approval not recorded in response</x:v>
      </x:c>
      <x:c r="AE141" s="27" t="b">
        <x:v>1</x:v>
      </x:c>
      <x:c r="AF141" s="34" t="n">
        <x:v>46218.51096064815</x:v>
      </x:c>
      <x:c r="AG141" s="34"/>
      <x:c r="AH141" s="26" t="str">
        <x:v>Contribution API fields only; original project JSON needed for line-item names/centres/category</x:v>
      </x:c>
      <x:c r="AI141" s="26" t="str"/>
      <x:c r="AJ141" s="26" t="str">
        <x:v>Not Started</x:v>
      </x:c>
      <x:c r="AK141" s="26" t="str"/>
      <x:c r="AL141" s="26" t="str"/>
    </x:row>
    <x:row r="142">
      <x:c r="A142" s="26" t="n">
        <x:v>147</x:v>
      </x:c>
      <x:c r="B142" s="26" t="n">
        <x:v>150</x:v>
      </x:c>
      <x:c r="C142" s="26" t="str">
        <x:v>Kumuram Bheem Asifabad</x:v>
      </x:c>
      <x:c r="D142" s="26" t="str">
        <x:v>Telangana</x:v>
      </x:c>
      <x:c r="E142" s="26" t="n">
        <x:v>2916</x:v>
      </x:c>
      <x:c r="F142" s="26" t="str">
        <x:v>PRJ-2026-0002916</x:v>
      </x:c>
      <x:c r="G142" s="26" t="str">
        <x:v>Upgradation of  2 Anganwadi centres</x:v>
      </x:c>
      <x:c r="H142" s="26" t="str">
        <x:v>Mission Saksham Anganwadi &amp; POSHAN 2.0</x:v>
      </x:c>
      <x:c r="I142" s="32" t="n">
        <x:v>46163</x:v>
      </x:c>
      <x:c r="J142" s="32" t="n">
        <x:v>46285</x:v>
      </x:c>
      <x:c r="K142" s="32"/>
      <x:c r="L142" s="26" t="str">
        <x:v>Active: On/After 01-Aug-2026</x:v>
      </x:c>
      <x:c r="M142" s="26" t="str">
        <x:v>Pending Mapping</x:v>
      </x:c>
      <x:c r="N142" s="26" t="str">
        <x:v>Original project JSON not available</x:v>
      </x:c>
      <x:c r="O142" s="26"/>
      <x:c r="P142" s="26" t="str"/>
      <x:c r="Q142" s="26" t="str"/>
      <x:c r="R142" s="26"/>
      <x:c r="S142" s="36"/>
      <x:c r="T142" s="26"/>
      <x:c r="U142" s="26"/>
      <x:c r="V142" s="26"/>
      <x:c r="W142" s="26" t="n">
        <x:v>5</x:v>
      </x:c>
      <x:c r="X142" s="26" t="n">
        <x:v>0</x:v>
      </x:c>
      <x:c r="Y142" s="26" t="n">
        <x:v>627</x:v>
      </x:c>
      <x:c r="Z142" s="26" t="n">
        <x:v>0</x:v>
      </x:c>
      <x:c r="AA142" s="26" t="n">
        <x:v>627</x:v>
      </x:c>
      <x:c r="AB142" s="38" t="n">
        <x:v>0</x:v>
      </x:c>
      <x:c r="AC142" s="26" t="str">
        <x:v>Committed / Not Delivered</x:v>
      </x:c>
      <x:c r="AD142" s="26" t="str">
        <x:v>Approval not recorded in response</x:v>
      </x:c>
      <x:c r="AE142" s="27" t="b">
        <x:v>1</x:v>
      </x:c>
      <x:c r="AF142" s="34" t="n">
        <x:v>46218.51096064815</x:v>
      </x:c>
      <x:c r="AG142" s="34"/>
      <x:c r="AH142" s="26" t="str">
        <x:v>Contribution API fields only; original project JSON needed for line-item names/centres/category</x:v>
      </x:c>
      <x:c r="AI142" s="26" t="str"/>
      <x:c r="AJ142" s="26" t="str">
        <x:v>Not Started</x:v>
      </x:c>
      <x:c r="AK142" s="26" t="str"/>
      <x:c r="AL142" s="26" t="str"/>
    </x:row>
    <x:row r="143">
      <x:c r="A143" s="26" t="n">
        <x:v>148</x:v>
      </x:c>
      <x:c r="B143" s="26" t="n">
        <x:v>151</x:v>
      </x:c>
      <x:c r="C143" s="26" t="str">
        <x:v>Kumuram Bheem Asifabad</x:v>
      </x:c>
      <x:c r="D143" s="26" t="str">
        <x:v>Telangana</x:v>
      </x:c>
      <x:c r="E143" s="26" t="n">
        <x:v>3184</x:v>
      </x:c>
      <x:c r="F143" s="26" t="str">
        <x:v>PRJ-2026-0003184</x:v>
      </x:c>
      <x:c r="G143" s="26" t="str">
        <x:v>Upgradation of AWCs </x:v>
      </x:c>
      <x:c r="H143" s="26" t="str">
        <x:v>Mission Saksham Anganwadi &amp; POSHAN 2.0</x:v>
      </x:c>
      <x:c r="I143" s="32" t="n">
        <x:v>46163</x:v>
      </x:c>
      <x:c r="J143" s="32" t="n">
        <x:v>46316</x:v>
      </x:c>
      <x:c r="K143" s="32"/>
      <x:c r="L143" s="26" t="str">
        <x:v>Active: On/After 01-Aug-2026</x:v>
      </x:c>
      <x:c r="M143" s="26" t="str">
        <x:v>Pending Mapping</x:v>
      </x:c>
      <x:c r="N143" s="26" t="str">
        <x:v>Original project JSON not available</x:v>
      </x:c>
      <x:c r="O143" s="26"/>
      <x:c r="P143" s="26" t="str"/>
      <x:c r="Q143" s="26" t="str"/>
      <x:c r="R143" s="26"/>
      <x:c r="S143" s="36"/>
      <x:c r="T143" s="26"/>
      <x:c r="U143" s="26"/>
      <x:c r="V143" s="26"/>
      <x:c r="W143" s="26" t="n">
        <x:v>3</x:v>
      </x:c>
      <x:c r="X143" s="26" t="n">
        <x:v>0</x:v>
      </x:c>
      <x:c r="Y143" s="26" t="n">
        <x:v>3</x:v>
      </x:c>
      <x:c r="Z143" s="26" t="n">
        <x:v>0</x:v>
      </x:c>
      <x:c r="AA143" s="26" t="n">
        <x:v>3</x:v>
      </x:c>
      <x:c r="AB143" s="38" t="n">
        <x:v>0</x:v>
      </x:c>
      <x:c r="AC143" s="26" t="str">
        <x:v>Committed / Not Delivered</x:v>
      </x:c>
      <x:c r="AD143" s="26" t="str">
        <x:v>Approval not recorded in response</x:v>
      </x:c>
      <x:c r="AE143" s="27" t="b">
        <x:v>1</x:v>
      </x:c>
      <x:c r="AF143" s="34" t="n">
        <x:v>46218.51094907407</x:v>
      </x:c>
      <x:c r="AG143" s="34"/>
      <x:c r="AH143" s="26" t="str">
        <x:v>Contribution API fields only; original project JSON needed for line-item names/centres/category</x:v>
      </x:c>
      <x:c r="AI143" s="26" t="str"/>
      <x:c r="AJ143" s="26" t="str">
        <x:v>Not Started</x:v>
      </x:c>
      <x:c r="AK143" s="26" t="str"/>
      <x:c r="AL143" s="26" t="str"/>
    </x:row>
    <x:row r="144">
      <x:c r="A144" s="26" t="n">
        <x:v>149</x:v>
      </x:c>
      <x:c r="B144" s="26" t="n">
        <x:v>154</x:v>
      </x:c>
      <x:c r="C144" s="26" t="str">
        <x:v>Kumuram Bheem Asifabad</x:v>
      </x:c>
      <x:c r="D144" s="26" t="str">
        <x:v>Telangana</x:v>
      </x:c>
      <x:c r="E144" s="26" t="n">
        <x:v>3497</x:v>
      </x:c>
      <x:c r="F144" s="26" t="str">
        <x:v>PRJ-2026-0003497</x:v>
      </x:c>
      <x:c r="G144" s="26" t="str">
        <x:v>Material(Gardening Equipment, Seeds, Other Sources)</x:v>
      </x:c>
      <x:c r="H144" s="26" t="str">
        <x:v>Mission Saksham Anganwadi &amp; POSHAN 2.0</x:v>
      </x:c>
      <x:c r="I144" s="32" t="n">
        <x:v>46163</x:v>
      </x:c>
      <x:c r="J144" s="32" t="n">
        <x:v>46316</x:v>
      </x:c>
      <x:c r="K144" s="32"/>
      <x:c r="L144" s="26" t="str">
        <x:v>Active: On/After 01-Aug-2026</x:v>
      </x:c>
      <x:c r="M144" s="26" t="str">
        <x:v>Pending Mapping</x:v>
      </x:c>
      <x:c r="N144" s="26" t="str">
        <x:v>Original project JSON not available</x:v>
      </x:c>
      <x:c r="O144" s="26"/>
      <x:c r="P144" s="26" t="str"/>
      <x:c r="Q144" s="26" t="str"/>
      <x:c r="R144" s="26"/>
      <x:c r="S144" s="36"/>
      <x:c r="T144" s="26"/>
      <x:c r="U144" s="26"/>
      <x:c r="V144" s="26"/>
      <x:c r="W144" s="26" t="n">
        <x:v>3</x:v>
      </x:c>
      <x:c r="X144" s="26" t="n">
        <x:v>0</x:v>
      </x:c>
      <x:c r="Y144" s="26" t="n">
        <x:v>21</x:v>
      </x:c>
      <x:c r="Z144" s="26" t="n">
        <x:v>0</x:v>
      </x:c>
      <x:c r="AA144" s="26" t="n">
        <x:v>21</x:v>
      </x:c>
      <x:c r="AB144" s="38" t="n">
        <x:v>0</x:v>
      </x:c>
      <x:c r="AC144" s="26" t="str">
        <x:v>Committed / Not Delivered</x:v>
      </x:c>
      <x:c r="AD144" s="26" t="str">
        <x:v>Approval not recorded in response</x:v>
      </x:c>
      <x:c r="AE144" s="27" t="b">
        <x:v>1</x:v>
      </x:c>
      <x:c r="AF144" s="34" t="n">
        <x:v>46218.510925925926</x:v>
      </x:c>
      <x:c r="AG144" s="34"/>
      <x:c r="AH144" s="26" t="str">
        <x:v>Contribution API fields only; original project JSON needed for line-item names/centres/category</x:v>
      </x:c>
      <x:c r="AI144" s="26" t="str"/>
      <x:c r="AJ144" s="26" t="str">
        <x:v>Not Started</x:v>
      </x:c>
      <x:c r="AK144" s="26" t="str"/>
      <x:c r="AL144" s="26" t="str"/>
    </x:row>
    <x:row r="145">
      <x:c r="A145" s="26" t="n">
        <x:v>150</x:v>
      </x:c>
      <x:c r="B145" s="26" t="n">
        <x:v>155</x:v>
      </x:c>
      <x:c r="C145" s="26" t="str">
        <x:v>Kumuram Bheem Asifabad</x:v>
      </x:c>
      <x:c r="D145" s="26" t="str">
        <x:v>Telangana</x:v>
      </x:c>
      <x:c r="E145" s="26" t="n">
        <x:v>3647</x:v>
      </x:c>
      <x:c r="F145" s="26" t="str">
        <x:v>PRJ-2026-0003647</x:v>
      </x:c>
      <x:c r="G145" s="26" t="str">
        <x:v>requirement of anganwadi facilities</x:v>
      </x:c>
      <x:c r="H145" s="26" t="str">
        <x:v>Mission Saksham Anganwadi &amp; POSHAN 2.0</x:v>
      </x:c>
      <x:c r="I145" s="32" t="n">
        <x:v>46163</x:v>
      </x:c>
      <x:c r="J145" s="32" t="n">
        <x:v>46316</x:v>
      </x:c>
      <x:c r="K145" s="32"/>
      <x:c r="L145" s="26" t="str">
        <x:v>Active: On/After 01-Aug-2026</x:v>
      </x:c>
      <x:c r="M145" s="26" t="str">
        <x:v>Pending Mapping</x:v>
      </x:c>
      <x:c r="N145" s="26" t="str">
        <x:v>Original project JSON not available</x:v>
      </x:c>
      <x:c r="O145" s="26"/>
      <x:c r="P145" s="26" t="str"/>
      <x:c r="Q145" s="26" t="str"/>
      <x:c r="R145" s="26"/>
      <x:c r="S145" s="36"/>
      <x:c r="T145" s="26"/>
      <x:c r="U145" s="26"/>
      <x:c r="V145" s="26"/>
      <x:c r="W145" s="26" t="n">
        <x:v>5</x:v>
      </x:c>
      <x:c r="X145" s="26" t="n">
        <x:v>0</x:v>
      </x:c>
      <x:c r="Y145" s="26" t="n">
        <x:v>17</x:v>
      </x:c>
      <x:c r="Z145" s="26" t="n">
        <x:v>0</x:v>
      </x:c>
      <x:c r="AA145" s="26" t="n">
        <x:v>17</x:v>
      </x:c>
      <x:c r="AB145" s="38" t="n">
        <x:v>0</x:v>
      </x:c>
      <x:c r="AC145" s="26" t="str">
        <x:v>Committed / Not Delivered</x:v>
      </x:c>
      <x:c r="AD145" s="26" t="str">
        <x:v>Approval not recorded in response</x:v>
      </x:c>
      <x:c r="AE145" s="27" t="b">
        <x:v>1</x:v>
      </x:c>
      <x:c r="AF145" s="34" t="n">
        <x:v>46218.51091435185</x:v>
      </x:c>
      <x:c r="AG145" s="34"/>
      <x:c r="AH145" s="26" t="str">
        <x:v>Contribution API fields only; original project JSON needed for line-item names/centres/category</x:v>
      </x:c>
      <x:c r="AI145" s="26" t="str"/>
      <x:c r="AJ145" s="26" t="str">
        <x:v>Not Started</x:v>
      </x:c>
      <x:c r="AK145" s="26" t="str"/>
      <x:c r="AL145" s="26" t="str"/>
    </x:row>
    <x:row r="146">
      <x:c r="A146" s="26" t="n">
        <x:v>151</x:v>
      </x:c>
      <x:c r="B146" s="26" t="n">
        <x:v>157</x:v>
      </x:c>
      <x:c r="C146" s="26" t="str">
        <x:v>Kumuram Bheem Asifabad</x:v>
      </x:c>
      <x:c r="D146" s="26" t="str">
        <x:v>Telangana</x:v>
      </x:c>
      <x:c r="E146" s="26" t="n">
        <x:v>4085</x:v>
      </x:c>
      <x:c r="F146" s="26" t="str">
        <x:v>PRJ-2026-0004085</x:v>
      </x:c>
      <x:c r="G146" s="26" t="str">
        <x:v>Upgradation of AWCs </x:v>
      </x:c>
      <x:c r="H146" s="26" t="str">
        <x:v>Mission Saksham Anganwadi &amp; POSHAN 2.0</x:v>
      </x:c>
      <x:c r="I146" s="32" t="n">
        <x:v>46163</x:v>
      </x:c>
      <x:c r="J146" s="32" t="n">
        <x:v>46316</x:v>
      </x:c>
      <x:c r="K146" s="32"/>
      <x:c r="L146" s="26" t="str">
        <x:v>Active: On/After 01-Aug-2026</x:v>
      </x:c>
      <x:c r="M146" s="26" t="str">
        <x:v>Pending Mapping</x:v>
      </x:c>
      <x:c r="N146" s="26" t="str">
        <x:v>Original project JSON not available</x:v>
      </x:c>
      <x:c r="O146" s="26"/>
      <x:c r="P146" s="26" t="str"/>
      <x:c r="Q146" s="26" t="str"/>
      <x:c r="R146" s="26"/>
      <x:c r="S146" s="36"/>
      <x:c r="T146" s="26"/>
      <x:c r="U146" s="26"/>
      <x:c r="V146" s="26"/>
      <x:c r="W146" s="26" t="n">
        <x:v>6</x:v>
      </x:c>
      <x:c r="X146" s="26" t="n">
        <x:v>0</x:v>
      </x:c>
      <x:c r="Y146" s="26" t="n">
        <x:v>6</x:v>
      </x:c>
      <x:c r="Z146" s="26" t="n">
        <x:v>0</x:v>
      </x:c>
      <x:c r="AA146" s="26" t="n">
        <x:v>6</x:v>
      </x:c>
      <x:c r="AB146" s="38" t="n">
        <x:v>0</x:v>
      </x:c>
      <x:c r="AC146" s="26" t="str">
        <x:v>Committed / Not Delivered</x:v>
      </x:c>
      <x:c r="AD146" s="26" t="str">
        <x:v>Approval not recorded in response</x:v>
      </x:c>
      <x:c r="AE146" s="27" t="b">
        <x:v>1</x:v>
      </x:c>
      <x:c r="AF146" s="34" t="n">
        <x:v>46218.51090277778</x:v>
      </x:c>
      <x:c r="AG146" s="34"/>
      <x:c r="AH146" s="26" t="str">
        <x:v>Contribution API fields only; original project JSON needed for line-item names/centres/category</x:v>
      </x:c>
      <x:c r="AI146" s="26" t="str"/>
      <x:c r="AJ146" s="26" t="str">
        <x:v>Not Started</x:v>
      </x:c>
      <x:c r="AK146" s="26" t="str"/>
      <x:c r="AL146" s="26" t="str"/>
    </x:row>
    <x:row r="147">
      <x:c r="A147" s="26" t="n">
        <x:v>152</x:v>
      </x:c>
      <x:c r="B147" s="26" t="n">
        <x:v>160</x:v>
      </x:c>
      <x:c r="C147" s="26" t="str">
        <x:v>Kumuram Bheem Asifabad</x:v>
      </x:c>
      <x:c r="D147" s="26" t="str">
        <x:v>Telangana</x:v>
      </x:c>
      <x:c r="E147" s="26" t="n">
        <x:v>4275</x:v>
      </x:c>
      <x:c r="F147" s="26" t="str">
        <x:v>PRJ-2026-0004275</x:v>
      </x:c>
      <x:c r="G147" s="26" t="str">
        <x:v>Upgradation of AWCs </x:v>
      </x:c>
      <x:c r="H147" s="26" t="str">
        <x:v>Mission Saksham Anganwadi &amp; POSHAN 2.0</x:v>
      </x:c>
      <x:c r="I147" s="32" t="n">
        <x:v>46163</x:v>
      </x:c>
      <x:c r="J147" s="32" t="n">
        <x:v>46316</x:v>
      </x:c>
      <x:c r="K147" s="32"/>
      <x:c r="L147" s="26" t="str">
        <x:v>Active: On/After 01-Aug-2026</x:v>
      </x:c>
      <x:c r="M147" s="26" t="str">
        <x:v>Pending Mapping</x:v>
      </x:c>
      <x:c r="N147" s="26" t="str">
        <x:v>Original project JSON not available</x:v>
      </x:c>
      <x:c r="O147" s="26"/>
      <x:c r="P147" s="26" t="str"/>
      <x:c r="Q147" s="26" t="str"/>
      <x:c r="R147" s="26"/>
      <x:c r="S147" s="36"/>
      <x:c r="T147" s="26"/>
      <x:c r="U147" s="26"/>
      <x:c r="V147" s="26"/>
      <x:c r="W147" s="26" t="n">
        <x:v>5</x:v>
      </x:c>
      <x:c r="X147" s="26" t="n">
        <x:v>0</x:v>
      </x:c>
      <x:c r="Y147" s="26" t="n">
        <x:v>5</x:v>
      </x:c>
      <x:c r="Z147" s="26" t="n">
        <x:v>0</x:v>
      </x:c>
      <x:c r="AA147" s="26" t="n">
        <x:v>5</x:v>
      </x:c>
      <x:c r="AB147" s="38" t="n">
        <x:v>0</x:v>
      </x:c>
      <x:c r="AC147" s="26" t="str">
        <x:v>Committed / Not Delivered</x:v>
      </x:c>
      <x:c r="AD147" s="26" t="str">
        <x:v>Approval not recorded in response</x:v>
      </x:c>
      <x:c r="AE147" s="27" t="b">
        <x:v>1</x:v>
      </x:c>
      <x:c r="AF147" s="34" t="n">
        <x:v>46218.51086805556</x:v>
      </x:c>
      <x:c r="AG147" s="34"/>
      <x:c r="AH147" s="26" t="str">
        <x:v>Contribution API fields only; original project JSON needed for line-item names/centres/category</x:v>
      </x:c>
      <x:c r="AI147" s="26" t="str"/>
      <x:c r="AJ147" s="26" t="str">
        <x:v>Not Started</x:v>
      </x:c>
      <x:c r="AK147" s="26" t="str"/>
      <x:c r="AL147" s="26" t="str"/>
    </x:row>
    <x:row r="148">
      <x:c r="A148" s="26" t="n">
        <x:v>153</x:v>
      </x:c>
      <x:c r="B148" s="26" t="n">
        <x:v>165</x:v>
      </x:c>
      <x:c r="C148" s="26" t="str">
        <x:v>Kumuram Bheem Asifabad</x:v>
      </x:c>
      <x:c r="D148" s="26" t="str">
        <x:v>Telangana</x:v>
      </x:c>
      <x:c r="E148" s="26" t="n">
        <x:v>4650</x:v>
      </x:c>
      <x:c r="F148" s="26" t="str">
        <x:v>PRJ-2026-0004650</x:v>
      </x:c>
      <x:c r="G148" s="26" t="str">
        <x:v>Upgradation of AWCs </x:v>
      </x:c>
      <x:c r="H148" s="26" t="str">
        <x:v>Mission Saksham Anganwadi &amp; POSHAN 2.0</x:v>
      </x:c>
      <x:c r="I148" s="32" t="n">
        <x:v>46163</x:v>
      </x:c>
      <x:c r="J148" s="32" t="n">
        <x:v>46316</x:v>
      </x:c>
      <x:c r="K148" s="32"/>
      <x:c r="L148" s="26" t="str">
        <x:v>Active: On/After 01-Aug-2026</x:v>
      </x:c>
      <x:c r="M148" s="26" t="str">
        <x:v>Pending Mapping</x:v>
      </x:c>
      <x:c r="N148" s="26" t="str">
        <x:v>Original project JSON not available</x:v>
      </x:c>
      <x:c r="O148" s="26"/>
      <x:c r="P148" s="26" t="str"/>
      <x:c r="Q148" s="26" t="str"/>
      <x:c r="R148" s="26"/>
      <x:c r="S148" s="36"/>
      <x:c r="T148" s="26"/>
      <x:c r="U148" s="26"/>
      <x:c r="V148" s="26"/>
      <x:c r="W148" s="26" t="n">
        <x:v>6</x:v>
      </x:c>
      <x:c r="X148" s="26" t="n">
        <x:v>0</x:v>
      </x:c>
      <x:c r="Y148" s="26" t="n">
        <x:v>6</x:v>
      </x:c>
      <x:c r="Z148" s="26" t="n">
        <x:v>0</x:v>
      </x:c>
      <x:c r="AA148" s="26" t="n">
        <x:v>6</x:v>
      </x:c>
      <x:c r="AB148" s="38" t="n">
        <x:v>0</x:v>
      </x:c>
      <x:c r="AC148" s="26" t="str">
        <x:v>Committed / Not Delivered</x:v>
      </x:c>
      <x:c r="AD148" s="26" t="str">
        <x:v>Approval not recorded in response</x:v>
      </x:c>
      <x:c r="AE148" s="27" t="b">
        <x:v>1</x:v>
      </x:c>
      <x:c r="AF148" s="34" t="n">
        <x:v>46218.51082175926</x:v>
      </x:c>
      <x:c r="AG148" s="34"/>
      <x:c r="AH148" s="26" t="str">
        <x:v>Contribution API fields only; original project JSON needed for line-item names/centres/category</x:v>
      </x:c>
      <x:c r="AI148" s="26" t="str"/>
      <x:c r="AJ148" s="26" t="str">
        <x:v>Not Started</x:v>
      </x:c>
      <x:c r="AK148" s="26" t="str"/>
      <x:c r="AL148" s="26" t="str"/>
    </x:row>
    <x:row r="149">
      <x:c r="A149" s="26" t="n">
        <x:v>154</x:v>
      </x:c>
      <x:c r="B149" s="26" t="n">
        <x:v>168</x:v>
      </x:c>
      <x:c r="C149" s="26" t="str">
        <x:v>Kumuram Bheem Asifabad</x:v>
      </x:c>
      <x:c r="D149" s="26" t="str">
        <x:v>Telangana</x:v>
      </x:c>
      <x:c r="E149" s="26" t="n">
        <x:v>5917</x:v>
      </x:c>
      <x:c r="F149" s="26" t="str">
        <x:v>PRJ-2026-0005917</x:v>
      </x:c>
      <x:c r="G149" s="26" t="str">
        <x:v>upgradation of anganwadi center</x:v>
      </x:c>
      <x:c r="H149" s="26" t="str">
        <x:v>Mission Saksham Anganwadi &amp; POSHAN 2.0</x:v>
      </x:c>
      <x:c r="I149" s="32" t="n">
        <x:v>46163</x:v>
      </x:c>
      <x:c r="J149" s="32" t="n">
        <x:v>46255</x:v>
      </x:c>
      <x:c r="K149" s="32"/>
      <x:c r="L149" s="26" t="str">
        <x:v>Active: On/After 01-Aug-2026</x:v>
      </x:c>
      <x:c r="M149" s="26" t="str">
        <x:v>Pending Mapping</x:v>
      </x:c>
      <x:c r="N149" s="26" t="str">
        <x:v>Original project JSON not available</x:v>
      </x:c>
      <x:c r="O149" s="26"/>
      <x:c r="P149" s="26" t="str"/>
      <x:c r="Q149" s="26" t="str"/>
      <x:c r="R149" s="26"/>
      <x:c r="S149" s="36"/>
      <x:c r="T149" s="26"/>
      <x:c r="U149" s="26"/>
      <x:c r="V149" s="26"/>
      <x:c r="W149" s="26" t="n">
        <x:v>4</x:v>
      </x:c>
      <x:c r="X149" s="26" t="n">
        <x:v>0</x:v>
      </x:c>
      <x:c r="Y149" s="26" t="n">
        <x:v>9</x:v>
      </x:c>
      <x:c r="Z149" s="26" t="n">
        <x:v>0</x:v>
      </x:c>
      <x:c r="AA149" s="26" t="n">
        <x:v>9</x:v>
      </x:c>
      <x:c r="AB149" s="38" t="n">
        <x:v>0</x:v>
      </x:c>
      <x:c r="AC149" s="26" t="str">
        <x:v>Committed / Not Delivered</x:v>
      </x:c>
      <x:c r="AD149" s="26" t="str">
        <x:v>Approval not recorded in response</x:v>
      </x:c>
      <x:c r="AE149" s="27" t="b">
        <x:v>1</x:v>
      </x:c>
      <x:c r="AF149" s="34" t="n">
        <x:v>46218.51079861111</x:v>
      </x:c>
      <x:c r="AG149" s="34"/>
      <x:c r="AH149" s="26" t="str">
        <x:v>Contribution API fields only; original project JSON needed for line-item names/centres/category</x:v>
      </x:c>
      <x:c r="AI149" s="26" t="str"/>
      <x:c r="AJ149" s="26" t="str">
        <x:v>Not Started</x:v>
      </x:c>
      <x:c r="AK149" s="26" t="str"/>
      <x:c r="AL149" s="26" t="str"/>
    </x:row>
    <x:row r="150">
      <x:c r="A150" s="26" t="n">
        <x:v>155</x:v>
      </x:c>
      <x:c r="B150" s="26" t="n">
        <x:v>169</x:v>
      </x:c>
      <x:c r="C150" s="26" t="str">
        <x:v>Kumuram Bheem Asifabad</x:v>
      </x:c>
      <x:c r="D150" s="26" t="str">
        <x:v>Telangana</x:v>
      </x:c>
      <x:c r="E150" s="26" t="n">
        <x:v>6699</x:v>
      </x:c>
      <x:c r="F150" s="26" t="str">
        <x:v>PRJ-2026-0006699</x:v>
      </x:c>
      <x:c r="G150" s="26" t="str">
        <x:v>Proposal for upgradation of AWC</x:v>
      </x:c>
      <x:c r="H150" s="26" t="str">
        <x:v>Mission Saksham Anganwadi &amp; POSHAN 2.0</x:v>
      </x:c>
      <x:c r="I150" s="32" t="n">
        <x:v>46163</x:v>
      </x:c>
      <x:c r="J150" s="32" t="n">
        <x:v>46295</x:v>
      </x:c>
      <x:c r="K150" s="32"/>
      <x:c r="L150" s="26" t="str">
        <x:v>Active: On/After 01-Aug-2026</x:v>
      </x:c>
      <x:c r="M150" s="26" t="str">
        <x:v>Pending Mapping</x:v>
      </x:c>
      <x:c r="N150" s="26" t="str">
        <x:v>Original project JSON not available</x:v>
      </x:c>
      <x:c r="O150" s="26"/>
      <x:c r="P150" s="26" t="str"/>
      <x:c r="Q150" s="26" t="str"/>
      <x:c r="R150" s="26"/>
      <x:c r="S150" s="36"/>
      <x:c r="T150" s="26"/>
      <x:c r="U150" s="26"/>
      <x:c r="V150" s="26"/>
      <x:c r="W150" s="26" t="n">
        <x:v>5</x:v>
      </x:c>
      <x:c r="X150" s="26" t="n">
        <x:v>0</x:v>
      </x:c>
      <x:c r="Y150" s="26" t="n">
        <x:v>23</x:v>
      </x:c>
      <x:c r="Z150" s="26" t="n">
        <x:v>0</x:v>
      </x:c>
      <x:c r="AA150" s="26" t="n">
        <x:v>23</x:v>
      </x:c>
      <x:c r="AB150" s="38" t="n">
        <x:v>0</x:v>
      </x:c>
      <x:c r="AC150" s="26" t="str">
        <x:v>Committed / Not Delivered</x:v>
      </x:c>
      <x:c r="AD150" s="26" t="str">
        <x:v>Approval not recorded in response</x:v>
      </x:c>
      <x:c r="AE150" s="27" t="b">
        <x:v>1</x:v>
      </x:c>
      <x:c r="AF150" s="34" t="n">
        <x:v>46218.510787037034</x:v>
      </x:c>
      <x:c r="AG150" s="34"/>
      <x:c r="AH150" s="26" t="str">
        <x:v>Contribution API fields only; original project JSON needed for line-item names/centres/category</x:v>
      </x:c>
      <x:c r="AI150" s="26" t="str"/>
      <x:c r="AJ150" s="26" t="str">
        <x:v>Not Started</x:v>
      </x:c>
      <x:c r="AK150" s="26" t="str"/>
      <x:c r="AL150" s="26" t="str"/>
    </x:row>
    <x:row r="151">
      <x:c r="A151" s="26" t="n">
        <x:v>156</x:v>
      </x:c>
      <x:c r="B151" s="26" t="n">
        <x:v>170</x:v>
      </x:c>
      <x:c r="C151" s="26" t="str">
        <x:v>Kumuram Bheem Asifabad</x:v>
      </x:c>
      <x:c r="D151" s="26" t="str">
        <x:v>Telangana</x:v>
      </x:c>
      <x:c r="E151" s="26" t="n">
        <x:v>6705</x:v>
      </x:c>
      <x:c r="F151" s="26" t="str">
        <x:v>PRJ-2026-0006705</x:v>
      </x:c>
      <x:c r="G151" s="26" t="str">
        <x:v>AWC Upgradation</x:v>
      </x:c>
      <x:c r="H151" s="26" t="str">
        <x:v>Mission Saksham Anganwadi &amp; POSHAN 2.0</x:v>
      </x:c>
      <x:c r="I151" s="32" t="n">
        <x:v>46164</x:v>
      </x:c>
      <x:c r="J151" s="32" t="n">
        <x:v>46255</x:v>
      </x:c>
      <x:c r="K151" s="32"/>
      <x:c r="L151" s="26" t="str">
        <x:v>Active: On/After 01-Aug-2026</x:v>
      </x:c>
      <x:c r="M151" s="26" t="str">
        <x:v>Pending Mapping</x:v>
      </x:c>
      <x:c r="N151" s="26" t="str">
        <x:v>Original project JSON not available</x:v>
      </x:c>
      <x:c r="O151" s="26"/>
      <x:c r="P151" s="26" t="str"/>
      <x:c r="Q151" s="26" t="str"/>
      <x:c r="R151" s="26"/>
      <x:c r="S151" s="36"/>
      <x:c r="T151" s="26"/>
      <x:c r="U151" s="26"/>
      <x:c r="V151" s="26"/>
      <x:c r="W151" s="26" t="n">
        <x:v>6</x:v>
      </x:c>
      <x:c r="X151" s="26" t="n">
        <x:v>0</x:v>
      </x:c>
      <x:c r="Y151" s="26" t="n">
        <x:v>38</x:v>
      </x:c>
      <x:c r="Z151" s="26" t="n">
        <x:v>0</x:v>
      </x:c>
      <x:c r="AA151" s="26" t="n">
        <x:v>38</x:v>
      </x:c>
      <x:c r="AB151" s="38" t="n">
        <x:v>0</x:v>
      </x:c>
      <x:c r="AC151" s="26" t="str">
        <x:v>Committed / Not Delivered</x:v>
      </x:c>
      <x:c r="AD151" s="26" t="str">
        <x:v>Approval not recorded in response</x:v>
      </x:c>
      <x:c r="AE151" s="27" t="b">
        <x:v>1</x:v>
      </x:c>
      <x:c r="AF151" s="34" t="n">
        <x:v>46218.510787037034</x:v>
      </x:c>
      <x:c r="AG151" s="34"/>
      <x:c r="AH151" s="26" t="str">
        <x:v>Contribution API fields only; original project JSON needed for line-item names/centres/category</x:v>
      </x:c>
      <x:c r="AI151" s="26" t="str"/>
      <x:c r="AJ151" s="26" t="str">
        <x:v>Not Started</x:v>
      </x:c>
      <x:c r="AK151" s="26" t="str"/>
      <x:c r="AL151" s="26" t="str"/>
    </x:row>
    <x:row r="152">
      <x:c r="A152" s="26" t="n">
        <x:v>157</x:v>
      </x:c>
      <x:c r="B152" s="26" t="n">
        <x:v>171</x:v>
      </x:c>
      <x:c r="C152" s="26" t="str">
        <x:v>Kumuram Bheem Asifabad</x:v>
      </x:c>
      <x:c r="D152" s="26" t="str">
        <x:v>Telangana</x:v>
      </x:c>
      <x:c r="E152" s="26" t="n">
        <x:v>6718</x:v>
      </x:c>
      <x:c r="F152" s="26" t="str">
        <x:v>PRJ-2026-0006718</x:v>
      </x:c>
      <x:c r="G152" s="26" t="str">
        <x:v>Proposal for upgradation of AWC</x:v>
      </x:c>
      <x:c r="H152" s="26" t="str">
        <x:v>Mission Saksham Anganwadi &amp; POSHAN 2.0</x:v>
      </x:c>
      <x:c r="I152" s="32" t="n">
        <x:v>46164</x:v>
      </x:c>
      <x:c r="J152" s="32" t="n">
        <x:v>46295</x:v>
      </x:c>
      <x:c r="K152" s="32"/>
      <x:c r="L152" s="26" t="str">
        <x:v>Active: On/After 01-Aug-2026</x:v>
      </x:c>
      <x:c r="M152" s="26" t="str">
        <x:v>Pending Mapping</x:v>
      </x:c>
      <x:c r="N152" s="26" t="str">
        <x:v>Original project JSON not available</x:v>
      </x:c>
      <x:c r="O152" s="26"/>
      <x:c r="P152" s="26" t="str"/>
      <x:c r="Q152" s="26" t="str"/>
      <x:c r="R152" s="26"/>
      <x:c r="S152" s="36"/>
      <x:c r="T152" s="26"/>
      <x:c r="U152" s="26"/>
      <x:c r="V152" s="26"/>
      <x:c r="W152" s="26" t="n">
        <x:v>5</x:v>
      </x:c>
      <x:c r="X152" s="26" t="n">
        <x:v>0</x:v>
      </x:c>
      <x:c r="Y152" s="26" t="n">
        <x:v>23</x:v>
      </x:c>
      <x:c r="Z152" s="26" t="n">
        <x:v>0</x:v>
      </x:c>
      <x:c r="AA152" s="26" t="n">
        <x:v>23</x:v>
      </x:c>
      <x:c r="AB152" s="38" t="n">
        <x:v>0</x:v>
      </x:c>
      <x:c r="AC152" s="26" t="str">
        <x:v>Committed / Not Delivered</x:v>
      </x:c>
      <x:c r="AD152" s="26" t="str">
        <x:v>Approval not recorded in response</x:v>
      </x:c>
      <x:c r="AE152" s="27" t="b">
        <x:v>1</x:v>
      </x:c>
      <x:c r="AF152" s="34" t="n">
        <x:v>46218.510775462964</x:v>
      </x:c>
      <x:c r="AG152" s="34"/>
      <x:c r="AH152" s="26" t="str">
        <x:v>Contribution API fields only; original project JSON needed for line-item names/centres/category</x:v>
      </x:c>
      <x:c r="AI152" s="26" t="str"/>
      <x:c r="AJ152" s="26" t="str">
        <x:v>Not Started</x:v>
      </x:c>
      <x:c r="AK152" s="26" t="str"/>
      <x:c r="AL152" s="26" t="str"/>
    </x:row>
    <x:row r="153">
      <x:c r="A153" s="26" t="n">
        <x:v>158</x:v>
      </x:c>
      <x:c r="B153" s="26" t="n">
        <x:v>172</x:v>
      </x:c>
      <x:c r="C153" s="26" t="str">
        <x:v>Kumuram Bheem Asifabad</x:v>
      </x:c>
      <x:c r="D153" s="26" t="str">
        <x:v>Telangana</x:v>
      </x:c>
      <x:c r="E153" s="26" t="n">
        <x:v>6727</x:v>
      </x:c>
      <x:c r="F153" s="26" t="str">
        <x:v>PRJ-2026-0006727</x:v>
      </x:c>
      <x:c r="G153" s="26" t="str">
        <x:v>AWC Upgradation</x:v>
      </x:c>
      <x:c r="H153" s="26" t="str">
        <x:v>Mission Saksham Anganwadi &amp; POSHAN 2.0</x:v>
      </x:c>
      <x:c r="I153" s="32" t="n">
        <x:v>46164</x:v>
      </x:c>
      <x:c r="J153" s="32" t="n">
        <x:v>46256</x:v>
      </x:c>
      <x:c r="K153" s="32"/>
      <x:c r="L153" s="26" t="str">
        <x:v>Active: On/After 01-Aug-2026</x:v>
      </x:c>
      <x:c r="M153" s="26" t="str">
        <x:v>Pending Mapping</x:v>
      </x:c>
      <x:c r="N153" s="26" t="str">
        <x:v>Original project JSON not available</x:v>
      </x:c>
      <x:c r="O153" s="26"/>
      <x:c r="P153" s="26" t="str"/>
      <x:c r="Q153" s="26" t="str"/>
      <x:c r="R153" s="26"/>
      <x:c r="S153" s="36"/>
      <x:c r="T153" s="26"/>
      <x:c r="U153" s="26"/>
      <x:c r="V153" s="26"/>
      <x:c r="W153" s="26" t="n">
        <x:v>4</x:v>
      </x:c>
      <x:c r="X153" s="26" t="n">
        <x:v>0</x:v>
      </x:c>
      <x:c r="Y153" s="26" t="n">
        <x:v>9</x:v>
      </x:c>
      <x:c r="Z153" s="26" t="n">
        <x:v>0</x:v>
      </x:c>
      <x:c r="AA153" s="26" t="n">
        <x:v>9</x:v>
      </x:c>
      <x:c r="AB153" s="38" t="n">
        <x:v>0</x:v>
      </x:c>
      <x:c r="AC153" s="26" t="str">
        <x:v>Committed / Not Delivered</x:v>
      </x:c>
      <x:c r="AD153" s="26" t="str">
        <x:v>Approval not recorded in response</x:v>
      </x:c>
      <x:c r="AE153" s="27" t="b">
        <x:v>1</x:v>
      </x:c>
      <x:c r="AF153" s="34" t="n">
        <x:v>46218.51076388889</x:v>
      </x:c>
      <x:c r="AG153" s="34"/>
      <x:c r="AH153" s="26" t="str">
        <x:v>Contribution API fields only; original project JSON needed for line-item names/centres/category</x:v>
      </x:c>
      <x:c r="AI153" s="26" t="str"/>
      <x:c r="AJ153" s="26" t="str">
        <x:v>Not Started</x:v>
      </x:c>
      <x:c r="AK153" s="26" t="str"/>
      <x:c r="AL153" s="26" t="str"/>
    </x:row>
    <x:row r="154">
      <x:c r="A154" s="26" t="n">
        <x:v>159</x:v>
      </x:c>
      <x:c r="B154" s="26" t="n">
        <x:v>174</x:v>
      </x:c>
      <x:c r="C154" s="26" t="str">
        <x:v>Kumuram Bheem Asifabad</x:v>
      </x:c>
      <x:c r="D154" s="26" t="str">
        <x:v>Telangana</x:v>
      </x:c>
      <x:c r="E154" s="26" t="n">
        <x:v>8217</x:v>
      </x:c>
      <x:c r="F154" s="26" t="str">
        <x:v>PRJ-2026-0008217</x:v>
      </x:c>
      <x:c r="G154" s="26" t="str">
        <x:v>Proposal for upgradation of anganwadi centre</x:v>
      </x:c>
      <x:c r="H154" s="26" t="str">
        <x:v>Mission Saksham Anganwadi &amp; POSHAN 2.0</x:v>
      </x:c>
      <x:c r="I154" s="32" t="n">
        <x:v>46164</x:v>
      </x:c>
      <x:c r="J154" s="32" t="n">
        <x:v>46265</x:v>
      </x:c>
      <x:c r="K154" s="32"/>
      <x:c r="L154" s="26" t="str">
        <x:v>Active: On/After 01-Aug-2026</x:v>
      </x:c>
      <x:c r="M154" s="26" t="str">
        <x:v>Pending Mapping</x:v>
      </x:c>
      <x:c r="N154" s="26" t="str">
        <x:v>Original project JSON not available</x:v>
      </x:c>
      <x:c r="O154" s="26"/>
      <x:c r="P154" s="26" t="str"/>
      <x:c r="Q154" s="26" t="str"/>
      <x:c r="R154" s="26"/>
      <x:c r="S154" s="36"/>
      <x:c r="T154" s="26"/>
      <x:c r="U154" s="26"/>
      <x:c r="V154" s="26"/>
      <x:c r="W154" s="26" t="n">
        <x:v>5</x:v>
      </x:c>
      <x:c r="X154" s="26" t="n">
        <x:v>0</x:v>
      </x:c>
      <x:c r="Y154" s="26" t="n">
        <x:v>23</x:v>
      </x:c>
      <x:c r="Z154" s="26" t="n">
        <x:v>0</x:v>
      </x:c>
      <x:c r="AA154" s="26" t="n">
        <x:v>23</x:v>
      </x:c>
      <x:c r="AB154" s="38" t="n">
        <x:v>0</x:v>
      </x:c>
      <x:c r="AC154" s="26" t="str">
        <x:v>Committed / Not Delivered</x:v>
      </x:c>
      <x:c r="AD154" s="26" t="str">
        <x:v>Approval not recorded in response</x:v>
      </x:c>
      <x:c r="AE154" s="27" t="b">
        <x:v>1</x:v>
      </x:c>
      <x:c r="AF154" s="34" t="n">
        <x:v>46218.51075231482</x:v>
      </x:c>
      <x:c r="AG154" s="34"/>
      <x:c r="AH154" s="26" t="str">
        <x:v>Contribution API fields only; original project JSON needed for line-item names/centres/category</x:v>
      </x:c>
      <x:c r="AI154" s="26" t="str"/>
      <x:c r="AJ154" s="26" t="str">
        <x:v>Not Started</x:v>
      </x:c>
      <x:c r="AK154" s="26" t="str"/>
      <x:c r="AL154" s="26" t="str"/>
    </x:row>
    <x:row r="155">
      <x:c r="A155" s="26" t="n">
        <x:v>160</x:v>
      </x:c>
      <x:c r="B155" s="26" t="n">
        <x:v>175</x:v>
      </x:c>
      <x:c r="C155" s="26" t="str">
        <x:v>Kumuram Bheem Asifabad</x:v>
      </x:c>
      <x:c r="D155" s="26" t="str">
        <x:v>Telangana</x:v>
      </x:c>
      <x:c r="E155" s="26" t="n">
        <x:v>8702</x:v>
      </x:c>
      <x:c r="F155" s="26" t="str">
        <x:v>PRJ-2026-0008702</x:v>
      </x:c>
      <x:c r="G155" s="26" t="str">
        <x:v>Proposal for Anganwadi centre upgradation</x:v>
      </x:c>
      <x:c r="H155" s="26" t="str">
        <x:v>Mission Saksham Anganwadi &amp; POSHAN 2.0</x:v>
      </x:c>
      <x:c r="I155" s="32" t="n">
        <x:v>46164</x:v>
      </x:c>
      <x:c r="J155" s="32" t="n">
        <x:v>46295</x:v>
      </x:c>
      <x:c r="K155" s="32"/>
      <x:c r="L155" s="26" t="str">
        <x:v>Active: On/After 01-Aug-2026</x:v>
      </x:c>
      <x:c r="M155" s="26" t="str">
        <x:v>Pending Mapping</x:v>
      </x:c>
      <x:c r="N155" s="26" t="str">
        <x:v>Original project JSON not available</x:v>
      </x:c>
      <x:c r="O155" s="26"/>
      <x:c r="P155" s="26" t="str"/>
      <x:c r="Q155" s="26" t="str"/>
      <x:c r="R155" s="26"/>
      <x:c r="S155" s="36"/>
      <x:c r="T155" s="26"/>
      <x:c r="U155" s="26"/>
      <x:c r="V155" s="26"/>
      <x:c r="W155" s="26" t="n">
        <x:v>5</x:v>
      </x:c>
      <x:c r="X155" s="26" t="n">
        <x:v>0</x:v>
      </x:c>
      <x:c r="Y155" s="26" t="n">
        <x:v>23</x:v>
      </x:c>
      <x:c r="Z155" s="26" t="n">
        <x:v>0</x:v>
      </x:c>
      <x:c r="AA155" s="26" t="n">
        <x:v>23</x:v>
      </x:c>
      <x:c r="AB155" s="38" t="n">
        <x:v>0</x:v>
      </x:c>
      <x:c r="AC155" s="26" t="str">
        <x:v>Committed / Not Delivered</x:v>
      </x:c>
      <x:c r="AD155" s="26" t="str">
        <x:v>Approval not recorded in response</x:v>
      </x:c>
      <x:c r="AE155" s="27" t="b">
        <x:v>1</x:v>
      </x:c>
      <x:c r="AF155" s="34" t="n">
        <x:v>46218.51074074074</x:v>
      </x:c>
      <x:c r="AG155" s="34"/>
      <x:c r="AH155" s="26" t="str">
        <x:v>Contribution API fields only; original project JSON needed for line-item names/centres/category</x:v>
      </x:c>
      <x:c r="AI155" s="26" t="str"/>
      <x:c r="AJ155" s="26" t="str">
        <x:v>Not Started</x:v>
      </x:c>
      <x:c r="AK155" s="26" t="str"/>
      <x:c r="AL155" s="26" t="str"/>
    </x:row>
    <x:row r="156">
      <x:c r="A156" s="26" t="n">
        <x:v>161</x:v>
      </x:c>
      <x:c r="B156" s="26" t="n">
        <x:v>176</x:v>
      </x:c>
      <x:c r="C156" s="26" t="str">
        <x:v>Kumuram Bheem Asifabad</x:v>
      </x:c>
      <x:c r="D156" s="26" t="str">
        <x:v>Telangana</x:v>
      </x:c>
      <x:c r="E156" s="26" t="n">
        <x:v>8770</x:v>
      </x:c>
      <x:c r="F156" s="26" t="str">
        <x:v>PRJ-2026-0008770</x:v>
      </x:c>
      <x:c r="G156" s="26" t="str">
        <x:v>Proposal for upgradation of Anganwadi centre</x:v>
      </x:c>
      <x:c r="H156" s="26" t="str">
        <x:v>Mission Saksham Anganwadi &amp; POSHAN 2.0</x:v>
      </x:c>
      <x:c r="I156" s="32" t="n">
        <x:v>46164</x:v>
      </x:c>
      <x:c r="J156" s="32" t="n">
        <x:v>46295</x:v>
      </x:c>
      <x:c r="K156" s="32"/>
      <x:c r="L156" s="26" t="str">
        <x:v>Active: On/After 01-Aug-2026</x:v>
      </x:c>
      <x:c r="M156" s="26" t="str">
        <x:v>Pending Mapping</x:v>
      </x:c>
      <x:c r="N156" s="26" t="str">
        <x:v>Original project JSON not available</x:v>
      </x:c>
      <x:c r="O156" s="26"/>
      <x:c r="P156" s="26" t="str"/>
      <x:c r="Q156" s="26" t="str"/>
      <x:c r="R156" s="26"/>
      <x:c r="S156" s="36"/>
      <x:c r="T156" s="26"/>
      <x:c r="U156" s="26"/>
      <x:c r="V156" s="26"/>
      <x:c r="W156" s="26" t="n">
        <x:v>5</x:v>
      </x:c>
      <x:c r="X156" s="26" t="n">
        <x:v>0</x:v>
      </x:c>
      <x:c r="Y156" s="26" t="n">
        <x:v>23</x:v>
      </x:c>
      <x:c r="Z156" s="26" t="n">
        <x:v>0</x:v>
      </x:c>
      <x:c r="AA156" s="26" t="n">
        <x:v>23</x:v>
      </x:c>
      <x:c r="AB156" s="38" t="n">
        <x:v>0</x:v>
      </x:c>
      <x:c r="AC156" s="26" t="str">
        <x:v>Committed / Not Delivered</x:v>
      </x:c>
      <x:c r="AD156" s="26" t="str">
        <x:v>Approval not recorded in response</x:v>
      </x:c>
      <x:c r="AE156" s="27" t="b">
        <x:v>1</x:v>
      </x:c>
      <x:c r="AF156" s="34" t="n">
        <x:v>46218.51074074074</x:v>
      </x:c>
      <x:c r="AG156" s="34"/>
      <x:c r="AH156" s="26" t="str">
        <x:v>Contribution API fields only; original project JSON needed for line-item names/centres/category</x:v>
      </x:c>
      <x:c r="AI156" s="26" t="str"/>
      <x:c r="AJ156" s="26" t="str">
        <x:v>Not Started</x:v>
      </x:c>
      <x:c r="AK156" s="26" t="str"/>
      <x:c r="AL156" s="26" t="str"/>
    </x:row>
    <x:row r="157">
      <x:c r="A157" s="26" t="n">
        <x:v>162</x:v>
      </x:c>
      <x:c r="B157" s="26" t="n">
        <x:v>177</x:v>
      </x:c>
      <x:c r="C157" s="26" t="str">
        <x:v>Kumuram Bheem Asifabad</x:v>
      </x:c>
      <x:c r="D157" s="26" t="str">
        <x:v>Telangana</x:v>
      </x:c>
      <x:c r="E157" s="26" t="n">
        <x:v>8926</x:v>
      </x:c>
      <x:c r="F157" s="26" t="str">
        <x:v>PRJ-2026-0008926</x:v>
      </x:c>
      <x:c r="G157" s="26" t="str">
        <x:v>Proposal for upgradation of Anganwadi centre</x:v>
      </x:c>
      <x:c r="H157" s="26" t="str">
        <x:v>Mission Saksham Anganwadi &amp; POSHAN 2.0</x:v>
      </x:c>
      <x:c r="I157" s="32" t="n">
        <x:v>46164</x:v>
      </x:c>
      <x:c r="J157" s="32" t="n">
        <x:v>46295</x:v>
      </x:c>
      <x:c r="K157" s="32"/>
      <x:c r="L157" s="26" t="str">
        <x:v>Active: On/After 01-Aug-2026</x:v>
      </x:c>
      <x:c r="M157" s="26" t="str">
        <x:v>Pending Mapping</x:v>
      </x:c>
      <x:c r="N157" s="26" t="str">
        <x:v>Original project JSON not available</x:v>
      </x:c>
      <x:c r="O157" s="26"/>
      <x:c r="P157" s="26" t="str"/>
      <x:c r="Q157" s="26" t="str"/>
      <x:c r="R157" s="26"/>
      <x:c r="S157" s="36"/>
      <x:c r="T157" s="26"/>
      <x:c r="U157" s="26"/>
      <x:c r="V157" s="26"/>
      <x:c r="W157" s="26" t="n">
        <x:v>5</x:v>
      </x:c>
      <x:c r="X157" s="26" t="n">
        <x:v>0</x:v>
      </x:c>
      <x:c r="Y157" s="26" t="n">
        <x:v>23</x:v>
      </x:c>
      <x:c r="Z157" s="26" t="n">
        <x:v>0</x:v>
      </x:c>
      <x:c r="AA157" s="26" t="n">
        <x:v>23</x:v>
      </x:c>
      <x:c r="AB157" s="38" t="n">
        <x:v>0</x:v>
      </x:c>
      <x:c r="AC157" s="26" t="str">
        <x:v>Committed / Not Delivered</x:v>
      </x:c>
      <x:c r="AD157" s="26" t="str">
        <x:v>Approval not recorded in response</x:v>
      </x:c>
      <x:c r="AE157" s="27" t="b">
        <x:v>1</x:v>
      </x:c>
      <x:c r="AF157" s="34" t="n">
        <x:v>46218.510729166665</x:v>
      </x:c>
      <x:c r="AG157" s="34"/>
      <x:c r="AH157" s="26" t="str">
        <x:v>Contribution API fields only; original project JSON needed for line-item names/centres/category</x:v>
      </x:c>
      <x:c r="AI157" s="26" t="str"/>
      <x:c r="AJ157" s="26" t="str">
        <x:v>Not Started</x:v>
      </x:c>
      <x:c r="AK157" s="26" t="str"/>
      <x:c r="AL157" s="26" t="str"/>
    </x:row>
    <x:row r="158">
      <x:c r="A158" s="26" t="n">
        <x:v>163</x:v>
      </x:c>
      <x:c r="B158" s="26" t="n">
        <x:v>178</x:v>
      </x:c>
      <x:c r="C158" s="26" t="str">
        <x:v>Kumuram Bheem Asifabad</x:v>
      </x:c>
      <x:c r="D158" s="26" t="str">
        <x:v>Telangana</x:v>
      </x:c>
      <x:c r="E158" s="26" t="n">
        <x:v>9007</x:v>
      </x:c>
      <x:c r="F158" s="26" t="str">
        <x:v>PRJ-2026-0009007</x:v>
      </x:c>
      <x:c r="G158" s="26" t="str">
        <x:v>Proposal for upgradation of Anganwadi centre</x:v>
      </x:c>
      <x:c r="H158" s="26" t="str">
        <x:v>Mission Saksham Anganwadi &amp; POSHAN 2.0</x:v>
      </x:c>
      <x:c r="I158" s="32" t="n">
        <x:v>46164</x:v>
      </x:c>
      <x:c r="J158" s="32" t="n">
        <x:v>46295</x:v>
      </x:c>
      <x:c r="K158" s="32"/>
      <x:c r="L158" s="26" t="str">
        <x:v>Active: On/After 01-Aug-2026</x:v>
      </x:c>
      <x:c r="M158" s="26" t="str">
        <x:v>Pending Mapping</x:v>
      </x:c>
      <x:c r="N158" s="26" t="str">
        <x:v>Original project JSON not available</x:v>
      </x:c>
      <x:c r="O158" s="26"/>
      <x:c r="P158" s="26" t="str"/>
      <x:c r="Q158" s="26" t="str"/>
      <x:c r="R158" s="26"/>
      <x:c r="S158" s="36"/>
      <x:c r="T158" s="26"/>
      <x:c r="U158" s="26"/>
      <x:c r="V158" s="26"/>
      <x:c r="W158" s="26" t="n">
        <x:v>5</x:v>
      </x:c>
      <x:c r="X158" s="26" t="n">
        <x:v>0</x:v>
      </x:c>
      <x:c r="Y158" s="26" t="n">
        <x:v>19</x:v>
      </x:c>
      <x:c r="Z158" s="26" t="n">
        <x:v>0</x:v>
      </x:c>
      <x:c r="AA158" s="26" t="n">
        <x:v>19</x:v>
      </x:c>
      <x:c r="AB158" s="38" t="n">
        <x:v>0</x:v>
      </x:c>
      <x:c r="AC158" s="26" t="str">
        <x:v>Committed / Not Delivered</x:v>
      </x:c>
      <x:c r="AD158" s="26" t="str">
        <x:v>Approval not recorded in response</x:v>
      </x:c>
      <x:c r="AE158" s="27" t="b">
        <x:v>1</x:v>
      </x:c>
      <x:c r="AF158" s="34" t="n">
        <x:v>46218.510717592595</x:v>
      </x:c>
      <x:c r="AG158" s="34"/>
      <x:c r="AH158" s="26" t="str">
        <x:v>Contribution API fields only; original project JSON needed for line-item names/centres/category</x:v>
      </x:c>
      <x:c r="AI158" s="26" t="str"/>
      <x:c r="AJ158" s="26" t="str">
        <x:v>Not Started</x:v>
      </x:c>
      <x:c r="AK158" s="26" t="str"/>
      <x:c r="AL158" s="26" t="str"/>
    </x:row>
    <x:row r="159">
      <x:c r="A159" s="26" t="n">
        <x:v>164</x:v>
      </x:c>
      <x:c r="B159" s="26" t="n">
        <x:v>179</x:v>
      </x:c>
      <x:c r="C159" s="26" t="str">
        <x:v>Kumuram Bheem Asifabad</x:v>
      </x:c>
      <x:c r="D159" s="26" t="str">
        <x:v>Telangana</x:v>
      </x:c>
      <x:c r="E159" s="26" t="n">
        <x:v>9085</x:v>
      </x:c>
      <x:c r="F159" s="26" t="str">
        <x:v>PRJ-2026-0009085</x:v>
      </x:c>
      <x:c r="G159" s="26" t="str">
        <x:v>Proposal for upgradation of Anganwadi centre</x:v>
      </x:c>
      <x:c r="H159" s="26" t="str">
        <x:v>Mission Saksham Anganwadi &amp; POSHAN 2.0</x:v>
      </x:c>
      <x:c r="I159" s="32" t="n">
        <x:v>46164</x:v>
      </x:c>
      <x:c r="J159" s="32" t="n">
        <x:v>46295</x:v>
      </x:c>
      <x:c r="K159" s="32"/>
      <x:c r="L159" s="26" t="str">
        <x:v>Active: On/After 01-Aug-2026</x:v>
      </x:c>
      <x:c r="M159" s="26" t="str">
        <x:v>Pending Mapping</x:v>
      </x:c>
      <x:c r="N159" s="26" t="str">
        <x:v>Original project JSON not available</x:v>
      </x:c>
      <x:c r="O159" s="26"/>
      <x:c r="P159" s="26" t="str"/>
      <x:c r="Q159" s="26" t="str"/>
      <x:c r="R159" s="26"/>
      <x:c r="S159" s="36"/>
      <x:c r="T159" s="26"/>
      <x:c r="U159" s="26"/>
      <x:c r="V159" s="26"/>
      <x:c r="W159" s="26" t="n">
        <x:v>4</x:v>
      </x:c>
      <x:c r="X159" s="26" t="n">
        <x:v>0</x:v>
      </x:c>
      <x:c r="Y159" s="26" t="n">
        <x:v>8</x:v>
      </x:c>
      <x:c r="Z159" s="26" t="n">
        <x:v>0</x:v>
      </x:c>
      <x:c r="AA159" s="26" t="n">
        <x:v>8</x:v>
      </x:c>
      <x:c r="AB159" s="38" t="n">
        <x:v>0</x:v>
      </x:c>
      <x:c r="AC159" s="26" t="str">
        <x:v>Committed / Not Delivered</x:v>
      </x:c>
      <x:c r="AD159" s="26" t="str">
        <x:v>Approval not recorded in response</x:v>
      </x:c>
      <x:c r="AE159" s="27" t="b">
        <x:v>1</x:v>
      </x:c>
      <x:c r="AF159" s="34" t="n">
        <x:v>46218.51070601852</x:v>
      </x:c>
      <x:c r="AG159" s="34"/>
      <x:c r="AH159" s="26" t="str">
        <x:v>Contribution API fields only; original project JSON needed for line-item names/centres/category</x:v>
      </x:c>
      <x:c r="AI159" s="26" t="str"/>
      <x:c r="AJ159" s="26" t="str">
        <x:v>Not Started</x:v>
      </x:c>
      <x:c r="AK159" s="26" t="str"/>
      <x:c r="AL159" s="26" t="str"/>
    </x:row>
    <x:row r="160">
      <x:c r="A160" s="26" t="n">
        <x:v>165</x:v>
      </x:c>
      <x:c r="B160" s="26" t="n">
        <x:v>127</x:v>
      </x:c>
      <x:c r="C160" s="26" t="str">
        <x:v>Kumuram Bheem Asifabad</x:v>
      </x:c>
      <x:c r="D160" s="26" t="str">
        <x:v>Telangana</x:v>
      </x:c>
      <x:c r="E160" s="26" t="n">
        <x:v>6307</x:v>
      </x:c>
      <x:c r="F160" s="26" t="str">
        <x:v>PRJ-2026-0006307</x:v>
      </x:c>
      <x:c r="G160" s="26" t="str">
        <x:v>Rain Water Harvesting System : Water Filter Kitchen Construction : Poshan Vatika  kitchen Shelves : Gas stove, regulator : Solar Panel : Civil Repair : Toilet</x:v>
      </x:c>
      <x:c r="H160" s="26" t="str">
        <x:v>Mission Saksham Anganwadi &amp; POSHAN 2.0</x:v>
      </x:c>
      <x:c r="I160" s="32" t="n">
        <x:v>46163</x:v>
      </x:c>
      <x:c r="J160" s="32" t="n">
        <x:v>46255</x:v>
      </x:c>
      <x:c r="K160" s="32"/>
      <x:c r="L160" s="26" t="str">
        <x:v>Active: On/After 01-Aug-2026</x:v>
      </x:c>
      <x:c r="M160" s="26" t="str">
        <x:v>Pending Mapping</x:v>
      </x:c>
      <x:c r="N160" s="26" t="str">
        <x:v>Original project JSON not available</x:v>
      </x:c>
      <x:c r="O160" s="26"/>
      <x:c r="P160" s="26" t="str"/>
      <x:c r="Q160" s="26" t="str"/>
      <x:c r="R160" s="26"/>
      <x:c r="S160" s="36"/>
      <x:c r="T160" s="26"/>
      <x:c r="U160" s="26"/>
      <x:c r="V160" s="26"/>
      <x:c r="W160" s="26" t="n">
        <x:v>4</x:v>
      </x:c>
      <x:c r="X160" s="26" t="n">
        <x:v>0</x:v>
      </x:c>
      <x:c r="Y160" s="26" t="n">
        <x:v>4</x:v>
      </x:c>
      <x:c r="Z160" s="26" t="n">
        <x:v>0</x:v>
      </x:c>
      <x:c r="AA160" s="26" t="n">
        <x:v>4</x:v>
      </x:c>
      <x:c r="AB160" s="38" t="n">
        <x:v>0</x:v>
      </x:c>
      <x:c r="AC160" s="26" t="str">
        <x:v>Committed / Not Delivered</x:v>
      </x:c>
      <x:c r="AD160" s="26" t="str">
        <x:v>Approval not recorded in response</x:v>
      </x:c>
      <x:c r="AE160" s="27" t="b">
        <x:v>1</x:v>
      </x:c>
      <x:c r="AF160" s="34" t="n">
        <x:v>46218.41637731482</x:v>
      </x:c>
      <x:c r="AG160" s="34"/>
      <x:c r="AH160" s="26" t="str">
        <x:v>Contribution API fields only; original project JSON needed for line-item names/centres/category</x:v>
      </x:c>
      <x:c r="AI160" s="26" t="str"/>
      <x:c r="AJ160" s="26" t="str">
        <x:v>Not Started</x:v>
      </x:c>
      <x:c r="AK160" s="26" t="str"/>
      <x:c r="AL160" s="26" t="str"/>
    </x:row>
    <x:row r="161">
      <x:c r="A161" s="26" t="n">
        <x:v>166</x:v>
      </x:c>
      <x:c r="B161" s="26" t="n">
        <x:v>126</x:v>
      </x:c>
      <x:c r="C161" s="26" t="str">
        <x:v>Kumuram Bheem Asifabad</x:v>
      </x:c>
      <x:c r="D161" s="26" t="str">
        <x:v>Telangana</x:v>
      </x:c>
      <x:c r="E161" s="26" t="n">
        <x:v>10339</x:v>
      </x:c>
      <x:c r="F161" s="26" t="str">
        <x:v>PRJ-2026-0010339</x:v>
      </x:c>
      <x:c r="G161" s="26" t="str">
        <x:v>Water filter, gas stove </x:v>
      </x:c>
      <x:c r="H161" s="26" t="str">
        <x:v>Mission Saksham Anganwadi &amp; POSHAN 2.0</x:v>
      </x:c>
      <x:c r="I161" s="32" t="n">
        <x:v>46164</x:v>
      </x:c>
      <x:c r="J161" s="32" t="n">
        <x:v>46265</x:v>
      </x:c>
      <x:c r="K161" s="32"/>
      <x:c r="L161" s="26" t="str">
        <x:v>Active: On/After 01-Aug-2026</x:v>
      </x:c>
      <x:c r="M161" s="26" t="str">
        <x:v>Pending Mapping</x:v>
      </x:c>
      <x:c r="N161" s="26" t="str">
        <x:v>Original project JSON not available</x:v>
      </x:c>
      <x:c r="O161" s="26"/>
      <x:c r="P161" s="26" t="str"/>
      <x:c r="Q161" s="26" t="str"/>
      <x:c r="R161" s="26"/>
      <x:c r="S161" s="36"/>
      <x:c r="T161" s="26"/>
      <x:c r="U161" s="26"/>
      <x:c r="V161" s="26"/>
      <x:c r="W161" s="26" t="n">
        <x:v>2</x:v>
      </x:c>
      <x:c r="X161" s="26" t="n">
        <x:v>0</x:v>
      </x:c>
      <x:c r="Y161" s="26" t="n">
        <x:v>2</x:v>
      </x:c>
      <x:c r="Z161" s="26" t="n">
        <x:v>0</x:v>
      </x:c>
      <x:c r="AA161" s="26" t="n">
        <x:v>2</x:v>
      </x:c>
      <x:c r="AB161" s="38" t="n">
        <x:v>0</x:v>
      </x:c>
      <x:c r="AC161" s="26" t="str">
        <x:v>Committed / Not Delivered</x:v>
      </x:c>
      <x:c r="AD161" s="26" t="str">
        <x:v>Approval not recorded in response</x:v>
      </x:c>
      <x:c r="AE161" s="27" t="b">
        <x:v>1</x:v>
      </x:c>
      <x:c r="AF161" s="34" t="n">
        <x:v>46218.411516203705</x:v>
      </x:c>
      <x:c r="AG161" s="34"/>
      <x:c r="AH161" s="26" t="str">
        <x:v>Contribution API fields only; original project JSON needed for line-item names/centres/category</x:v>
      </x:c>
      <x:c r="AI161" s="26" t="str"/>
      <x:c r="AJ161" s="26" t="str">
        <x:v>Not Started</x:v>
      </x:c>
      <x:c r="AK161" s="26" t="str"/>
      <x:c r="AL161" s="26" t="str"/>
    </x:row>
    <x:row r="162">
      <x:c r="A162" s="26" t="n">
        <x:v>167</x:v>
      </x:c>
      <x:c r="B162" s="26" t="n">
        <x:v>125</x:v>
      </x:c>
      <x:c r="C162" s="26" t="str">
        <x:v>Kumuram Bheem Asifabad</x:v>
      </x:c>
      <x:c r="D162" s="26" t="str">
        <x:v>Telangana</x:v>
      </x:c>
      <x:c r="E162" s="26" t="n">
        <x:v>10748</x:v>
      </x:c>
      <x:c r="F162" s="26" t="str">
        <x:v>PRJ-2026-0010748</x:v>
      </x:c>
      <x:c r="G162" s="26" t="str">
        <x:v>Water filter </x:v>
      </x:c>
      <x:c r="H162" s="26" t="str">
        <x:v>Mission Saksham Anganwadi &amp; POSHAN 2.0</x:v>
      </x:c>
      <x:c r="I162" s="32" t="n">
        <x:v>46164</x:v>
      </x:c>
      <x:c r="J162" s="32" t="n">
        <x:v>46265</x:v>
      </x:c>
      <x:c r="K162" s="32"/>
      <x:c r="L162" s="26" t="str">
        <x:v>Active: On/After 01-Aug-2026</x:v>
      </x:c>
      <x:c r="M162" s="26" t="str">
        <x:v>Pending Mapping</x:v>
      </x:c>
      <x:c r="N162" s="26" t="str">
        <x:v>Original project JSON not available</x:v>
      </x:c>
      <x:c r="O162" s="26"/>
      <x:c r="P162" s="26" t="str"/>
      <x:c r="Q162" s="26" t="str"/>
      <x:c r="R162" s="26"/>
      <x:c r="S162" s="36"/>
      <x:c r="T162" s="26"/>
      <x:c r="U162" s="26"/>
      <x:c r="V162" s="26"/>
      <x:c r="W162" s="26" t="n">
        <x:v>7</x:v>
      </x:c>
      <x:c r="X162" s="26" t="n">
        <x:v>0</x:v>
      </x:c>
      <x:c r="Y162" s="26" t="n">
        <x:v>8</x:v>
      </x:c>
      <x:c r="Z162" s="26" t="n">
        <x:v>0</x:v>
      </x:c>
      <x:c r="AA162" s="26" t="n">
        <x:v>8</x:v>
      </x:c>
      <x:c r="AB162" s="38" t="n">
        <x:v>0</x:v>
      </x:c>
      <x:c r="AC162" s="26" t="str">
        <x:v>Committed / Not Delivered</x:v>
      </x:c>
      <x:c r="AD162" s="26" t="str">
        <x:v>Approval not recorded in response</x:v>
      </x:c>
      <x:c r="AE162" s="27" t="b">
        <x:v>1</x:v>
      </x:c>
      <x:c r="AF162" s="34" t="n">
        <x:v>46218.40939814815</x:v>
      </x:c>
      <x:c r="AG162" s="34"/>
      <x:c r="AH162" s="26" t="str">
        <x:v>Contribution API fields only; original project JSON needed for line-item names/centres/category</x:v>
      </x:c>
      <x:c r="AI162" s="26" t="str"/>
      <x:c r="AJ162" s="26" t="str">
        <x:v>Not Started</x:v>
      </x:c>
      <x:c r="AK162" s="26" t="str"/>
      <x:c r="AL162" s="26" t="str"/>
    </x:row>
    <x:row r="163">
      <x:c r="A163" s="26" t="n">
        <x:v>168</x:v>
      </x:c>
      <x:c r="B163" s="26" t="n">
        <x:v>124</x:v>
      </x:c>
      <x:c r="C163" s="26" t="str">
        <x:v>Kumuram Bheem Asifabad</x:v>
      </x:c>
      <x:c r="D163" s="26" t="str">
        <x:v>Telangana</x:v>
      </x:c>
      <x:c r="E163" s="26" t="n">
        <x:v>10255</x:v>
      </x:c>
      <x:c r="F163" s="26" t="str">
        <x:v>PRJ-2026-0010255</x:v>
      </x:c>
      <x:c r="G163" s="26" t="str">
        <x:v>Rain Water Harvesting System : Water Filter Kitchen Construction : Poshan Vatika  kitchen Shelves : Gas stove, regulator : Solar Panel : Civil Repair : Toilet</x:v>
      </x:c>
      <x:c r="H163" s="26" t="str">
        <x:v>Mission Saksham Anganwadi &amp; POSHAN 2.0</x:v>
      </x:c>
      <x:c r="I163" s="32" t="n">
        <x:v>46164</x:v>
      </x:c>
      <x:c r="J163" s="32" t="n">
        <x:v>46255</x:v>
      </x:c>
      <x:c r="K163" s="32"/>
      <x:c r="L163" s="26" t="str">
        <x:v>Active: On/After 01-Aug-2026</x:v>
      </x:c>
      <x:c r="M163" s="26" t="str">
        <x:v>Pending Mapping</x:v>
      </x:c>
      <x:c r="N163" s="26" t="str">
        <x:v>Original project JSON not available</x:v>
      </x:c>
      <x:c r="O163" s="26"/>
      <x:c r="P163" s="26" t="str"/>
      <x:c r="Q163" s="26" t="str"/>
      <x:c r="R163" s="26"/>
      <x:c r="S163" s="36"/>
      <x:c r="T163" s="26"/>
      <x:c r="U163" s="26"/>
      <x:c r="V163" s="26"/>
      <x:c r="W163" s="26" t="n">
        <x:v>4</x:v>
      </x:c>
      <x:c r="X163" s="26" t="n">
        <x:v>0</x:v>
      </x:c>
      <x:c r="Y163" s="26" t="n">
        <x:v>4</x:v>
      </x:c>
      <x:c r="Z163" s="26" t="n">
        <x:v>0</x:v>
      </x:c>
      <x:c r="AA163" s="26" t="n">
        <x:v>4</x:v>
      </x:c>
      <x:c r="AB163" s="38" t="n">
        <x:v>0</x:v>
      </x:c>
      <x:c r="AC163" s="26" t="str">
        <x:v>Committed / Not Delivered</x:v>
      </x:c>
      <x:c r="AD163" s="26" t="str">
        <x:v>Approval not recorded in response</x:v>
      </x:c>
      <x:c r="AE163" s="27" t="b">
        <x:v>1</x:v>
      </x:c>
      <x:c r="AF163" s="34" t="n">
        <x:v>46218.40608796296</x:v>
      </x:c>
      <x:c r="AG163" s="34"/>
      <x:c r="AH163" s="26" t="str">
        <x:v>Contribution API fields only; original project JSON needed for line-item names/centres/category</x:v>
      </x:c>
      <x:c r="AI163" s="26" t="str"/>
      <x:c r="AJ163" s="26" t="str">
        <x:v>Not Started</x:v>
      </x:c>
      <x:c r="AK163" s="26" t="str"/>
      <x:c r="AL163" s="26" t="str"/>
    </x:row>
    <x:row r="164">
      <x:c r="A164" s="26" t="n">
        <x:v>169</x:v>
      </x:c>
      <x:c r="B164" s="26" t="n">
        <x:v>120</x:v>
      </x:c>
      <x:c r="C164" s="26" t="str">
        <x:v>Kumuram Bheem Asifabad</x:v>
      </x:c>
      <x:c r="D164" s="26" t="str">
        <x:v>Telangana</x:v>
      </x:c>
      <x:c r="E164" s="26" t="n">
        <x:v>10748</x:v>
      </x:c>
      <x:c r="F164" s="26" t="str">
        <x:v>PRJ-2026-0010748</x:v>
      </x:c>
      <x:c r="G164" s="26" t="str">
        <x:v>Water filter </x:v>
      </x:c>
      <x:c r="H164" s="26" t="str">
        <x:v>Mission Saksham Anganwadi &amp; POSHAN 2.0</x:v>
      </x:c>
      <x:c r="I164" s="32" t="n">
        <x:v>46164</x:v>
      </x:c>
      <x:c r="J164" s="32" t="n">
        <x:v>46265</x:v>
      </x:c>
      <x:c r="K164" s="32"/>
      <x:c r="L164" s="26" t="str">
        <x:v>Active: On/After 01-Aug-2026</x:v>
      </x:c>
      <x:c r="M164" s="26" t="str">
        <x:v>Pending Mapping</x:v>
      </x:c>
      <x:c r="N164" s="26" t="str">
        <x:v>Original project JSON not available</x:v>
      </x:c>
      <x:c r="O164" s="26"/>
      <x:c r="P164" s="26" t="str"/>
      <x:c r="Q164" s="26" t="str"/>
      <x:c r="R164" s="26"/>
      <x:c r="S164" s="36"/>
      <x:c r="T164" s="26"/>
      <x:c r="U164" s="26"/>
      <x:c r="V164" s="26"/>
      <x:c r="W164" s="26" t="n">
        <x:v>4</x:v>
      </x:c>
      <x:c r="X164" s="26" t="n">
        <x:v>0</x:v>
      </x:c>
      <x:c r="Y164" s="26" t="n">
        <x:v>8</x:v>
      </x:c>
      <x:c r="Z164" s="26" t="n">
        <x:v>0</x:v>
      </x:c>
      <x:c r="AA164" s="26" t="n">
        <x:v>8</x:v>
      </x:c>
      <x:c r="AB164" s="38" t="n">
        <x:v>0</x:v>
      </x:c>
      <x:c r="AC164" s="26" t="str">
        <x:v>Committed / Not Delivered</x:v>
      </x:c>
      <x:c r="AD164" s="26" t="str">
        <x:v>Approval not recorded in response</x:v>
      </x:c>
      <x:c r="AE164" s="27" t="b">
        <x:v>1</x:v>
      </x:c>
      <x:c r="AF164" s="34" t="n">
        <x:v>46215.35917824074</x:v>
      </x:c>
      <x:c r="AG164" s="34"/>
      <x:c r="AH164" s="26" t="str">
        <x:v>Contribution API fields only; original project JSON needed for line-item names/centres/category</x:v>
      </x:c>
      <x:c r="AI164" s="26" t="str"/>
      <x:c r="AJ164" s="26" t="str">
        <x:v>Not Started</x:v>
      </x:c>
      <x:c r="AK164" s="26" t="str"/>
      <x:c r="AL164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352b2724693447f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20.2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13.130000114440918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Projects with Expected End Date Before 01-Aug-2026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38</x:v>
      </x:c>
      <x:c r="B4" s="26" t="n">
        <x:v>254</x:v>
      </x:c>
      <x:c r="C4" s="26" t="str">
        <x:v>Kumuram Bheem Asifabad</x:v>
      </x:c>
      <x:c r="D4" s="26" t="str">
        <x:v>Telangana</x:v>
      </x:c>
      <x:c r="E4" s="26" t="n">
        <x:v>9928</x:v>
      </x:c>
      <x:c r="F4" s="26" t="str">
        <x:v>PRJ-2026-0009928</x:v>
      </x:c>
      <x:c r="G4" s="26" t="str">
        <x:v>Proposal for upgradation of Anganwadi centre</x:v>
      </x:c>
      <x:c r="H4" s="26" t="str">
        <x:v>Mission Saksham Anganwadi &amp; POSHAN 2.0</x:v>
      </x:c>
      <x:c r="I4" s="32" t="n">
        <x:v>46171</x:v>
      </x:c>
      <x:c r="J4" s="32" t="n">
        <x:v>46203</x:v>
      </x:c>
      <x:c r="K4" s="32"/>
      <x:c r="L4" s="26" t="str">
        <x:v>Exclude: Before 01-Aug-2026</x:v>
      </x:c>
      <x:c r="M4" s="26" t="str">
        <x:v>Pending Mapping</x:v>
      </x:c>
      <x:c r="N4" s="26" t="str">
        <x:v>Original project JSON not available</x:v>
      </x:c>
      <x:c r="O4" s="26"/>
      <x:c r="P4" s="26" t="str"/>
      <x:c r="Q4" s="26" t="str"/>
      <x:c r="R4" s="26"/>
      <x:c r="S4" s="36"/>
      <x:c r="T4" s="26"/>
      <x:c r="U4" s="26"/>
      <x:c r="V4" s="26"/>
      <x:c r="W4" s="26" t="n">
        <x:v>3</x:v>
      </x:c>
      <x:c r="X4" s="26" t="n">
        <x:v>0</x:v>
      </x:c>
      <x:c r="Y4" s="26" t="n">
        <x:v>3</x:v>
      </x:c>
      <x:c r="Z4" s="26" t="n">
        <x:v>0</x:v>
      </x:c>
      <x:c r="AA4" s="26" t="n">
        <x:v>3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46220.00005787037</x:v>
      </x:c>
      <x:c r="AG4" s="34"/>
      <x:c r="AH4" s="26" t="str">
        <x:v>Contribution API fields only; original project JSON needed for line-item names/centres/category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39</x:v>
      </x:c>
      <x:c r="B5" s="26" t="n">
        <x:v>252</x:v>
      </x:c>
      <x:c r="C5" s="26" t="str">
        <x:v>Kumuram Bheem Asifabad</x:v>
      </x:c>
      <x:c r="D5" s="26" t="str">
        <x:v>Telangana</x:v>
      </x:c>
      <x:c r="E5" s="26" t="n">
        <x:v>9968</x:v>
      </x:c>
      <x:c r="F5" s="26" t="str">
        <x:v>PRJ-2026-0009968</x:v>
      </x:c>
      <x:c r="G5" s="26" t="str">
        <x:v>Proposal for upgradation of Anganwadi centre</x:v>
      </x:c>
      <x:c r="H5" s="26" t="str">
        <x:v>Mission Saksham Anganwadi &amp; POSHAN 2.0</x:v>
      </x:c>
      <x:c r="I5" s="32" t="n">
        <x:v>46164</x:v>
      </x:c>
      <x:c r="J5" s="32" t="n">
        <x:v>46203</x:v>
      </x:c>
      <x:c r="K5" s="32"/>
      <x:c r="L5" s="26" t="str">
        <x:v>Exclude: Before 01-Aug-2026</x:v>
      </x:c>
      <x:c r="M5" s="26" t="str">
        <x:v>Pending Mapping</x:v>
      </x:c>
      <x:c r="N5" s="26" t="str">
        <x:v>Original project JSON not available</x:v>
      </x:c>
      <x:c r="O5" s="26"/>
      <x:c r="P5" s="26" t="str"/>
      <x:c r="Q5" s="26" t="str"/>
      <x:c r="R5" s="26"/>
      <x:c r="S5" s="36"/>
      <x:c r="T5" s="26"/>
      <x:c r="U5" s="26"/>
      <x:c r="V5" s="26"/>
      <x:c r="W5" s="26" t="n">
        <x:v>2</x:v>
      </x:c>
      <x:c r="X5" s="26" t="n">
        <x:v>0</x:v>
      </x:c>
      <x:c r="Y5" s="26" t="n">
        <x:v>2</x:v>
      </x:c>
      <x:c r="Z5" s="26" t="n">
        <x:v>0</x:v>
      </x:c>
      <x:c r="AA5" s="26" t="n">
        <x:v>2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46220.0000462963</x:v>
      </x:c>
      <x:c r="AG5" s="34"/>
      <x:c r="AH5" s="26" t="str">
        <x:v>Contribution API fields only; original project JSON needed for line-item names/centres/category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41</x:v>
      </x:c>
      <x:c r="B6" s="26" t="n">
        <x:v>250</x:v>
      </x:c>
      <x:c r="C6" s="26" t="str">
        <x:v>Kumuram Bheem Asifabad</x:v>
      </x:c>
      <x:c r="D6" s="26" t="str">
        <x:v>Telangana</x:v>
      </x:c>
      <x:c r="E6" s="26" t="n">
        <x:v>10004</x:v>
      </x:c>
      <x:c r="F6" s="26" t="str">
        <x:v>PRJ-2026-0010004</x:v>
      </x:c>
      <x:c r="G6" s="26" t="str">
        <x:v>Proposal for upgradation of AWC</x:v>
      </x:c>
      <x:c r="H6" s="26" t="str">
        <x:v>Mission Saksham Anganwadi &amp; POSHAN 2.0</x:v>
      </x:c>
      <x:c r="I6" s="32" t="n">
        <x:v>46164</x:v>
      </x:c>
      <x:c r="J6" s="32" t="n">
        <x:v>46203</x:v>
      </x:c>
      <x:c r="K6" s="32"/>
      <x:c r="L6" s="26" t="str">
        <x:v>Exclude: Before 01-Aug-2026</x:v>
      </x:c>
      <x:c r="M6" s="26" t="str">
        <x:v>Pending Mapping</x:v>
      </x:c>
      <x:c r="N6" s="26" t="str">
        <x:v>Original project JSON not available</x:v>
      </x:c>
      <x:c r="O6" s="26"/>
      <x:c r="P6" s="26" t="str"/>
      <x:c r="Q6" s="26" t="str"/>
      <x:c r="R6" s="26"/>
      <x:c r="S6" s="36"/>
      <x:c r="T6" s="26"/>
      <x:c r="U6" s="26"/>
      <x:c r="V6" s="26"/>
      <x:c r="W6" s="26" t="n">
        <x:v>2</x:v>
      </x:c>
      <x:c r="X6" s="26" t="n">
        <x:v>0</x:v>
      </x:c>
      <x:c r="Y6" s="26" t="n">
        <x:v>2</x:v>
      </x:c>
      <x:c r="Z6" s="26" t="n">
        <x:v>0</x:v>
      </x:c>
      <x:c r="AA6" s="26" t="n">
        <x:v>2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46220.00003472222</x:v>
      </x:c>
      <x:c r="AG6" s="34"/>
      <x:c r="AH6" s="26" t="str">
        <x:v>Contribution API fields only; original project JSON needed for line-item names/centres/category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44</x:v>
      </x:c>
      <x:c r="B7" s="26" t="n">
        <x:v>248</x:v>
      </x:c>
      <x:c r="C7" s="26" t="str">
        <x:v>Kumuram Bheem Asifabad</x:v>
      </x:c>
      <x:c r="D7" s="26" t="str">
        <x:v>Telangana</x:v>
      </x:c>
      <x:c r="E7" s="26" t="n">
        <x:v>10046</x:v>
      </x:c>
      <x:c r="F7" s="26" t="str">
        <x:v>PRJ-2026-0010046</x:v>
      </x:c>
      <x:c r="G7" s="26" t="str">
        <x:v>Proposal for upgradation of AWC</x:v>
      </x:c>
      <x:c r="H7" s="26" t="str">
        <x:v>Mission Saksham Anganwadi &amp; POSHAN 2.0</x:v>
      </x:c>
      <x:c r="I7" s="32" t="n">
        <x:v>46164</x:v>
      </x:c>
      <x:c r="J7" s="32" t="n">
        <x:v>46203</x:v>
      </x:c>
      <x:c r="K7" s="32"/>
      <x:c r="L7" s="26" t="str">
        <x:v>Exclude: Before 01-Aug-2026</x:v>
      </x:c>
      <x:c r="M7" s="26" t="str">
        <x:v>Pending Mapping</x:v>
      </x:c>
      <x:c r="N7" s="26" t="str">
        <x:v>Original project JSON not available</x:v>
      </x:c>
      <x:c r="O7" s="26"/>
      <x:c r="P7" s="26" t="str"/>
      <x:c r="Q7" s="26" t="str"/>
      <x:c r="R7" s="26"/>
      <x:c r="S7" s="36"/>
      <x:c r="T7" s="26"/>
      <x:c r="U7" s="26"/>
      <x:c r="V7" s="26"/>
      <x:c r="W7" s="26" t="n">
        <x:v>4</x:v>
      </x:c>
      <x:c r="X7" s="26" t="n">
        <x:v>0</x:v>
      </x:c>
      <x:c r="Y7" s="26" t="n">
        <x:v>22</x:v>
      </x:c>
      <x:c r="Z7" s="26" t="n">
        <x:v>0</x:v>
      </x:c>
      <x:c r="AA7" s="26" t="n">
        <x:v>22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46220.00001157408</x:v>
      </x:c>
      <x:c r="AG7" s="34"/>
      <x:c r="AH7" s="26" t="str">
        <x:v>Contribution API fields only; original project JSON needed for line-item names/centres/category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47</x:v>
      </x:c>
      <x:c r="B8" s="26" t="n">
        <x:v>245</x:v>
      </x:c>
      <x:c r="C8" s="26" t="str">
        <x:v>Kumuram Bheem Asifabad</x:v>
      </x:c>
      <x:c r="D8" s="26" t="str">
        <x:v>Telangana</x:v>
      </x:c>
      <x:c r="E8" s="26" t="n">
        <x:v>10093</x:v>
      </x:c>
      <x:c r="F8" s="26" t="str">
        <x:v>PRJ-2026-0010093</x:v>
      </x:c>
      <x:c r="G8" s="26" t="str">
        <x:v>Proposal for upgradation of AWC</x:v>
      </x:c>
      <x:c r="H8" s="26" t="str">
        <x:v>Mission Saksham Anganwadi &amp; POSHAN 2.0</x:v>
      </x:c>
      <x:c r="I8" s="32" t="n">
        <x:v>46164</x:v>
      </x:c>
      <x:c r="J8" s="32" t="n">
        <x:v>46203</x:v>
      </x:c>
      <x:c r="K8" s="32"/>
      <x:c r="L8" s="26" t="str">
        <x:v>Exclude: Before 01-Aug-2026</x:v>
      </x:c>
      <x:c r="M8" s="26" t="str">
        <x:v>Pending Mapping</x:v>
      </x:c>
      <x:c r="N8" s="26" t="str">
        <x:v>Original project JSON not available</x:v>
      </x:c>
      <x:c r="O8" s="26"/>
      <x:c r="P8" s="26" t="str"/>
      <x:c r="Q8" s="26" t="str"/>
      <x:c r="R8" s="26"/>
      <x:c r="S8" s="36"/>
      <x:c r="T8" s="26"/>
      <x:c r="U8" s="26"/>
      <x:c r="V8" s="26"/>
      <x:c r="W8" s="26" t="n">
        <x:v>4</x:v>
      </x:c>
      <x:c r="X8" s="26" t="n">
        <x:v>0</x:v>
      </x:c>
      <x:c r="Y8" s="26" t="n">
        <x:v>8</x:v>
      </x:c>
      <x:c r="Z8" s="26" t="n">
        <x:v>0</x:v>
      </x:c>
      <x:c r="AA8" s="26" t="n">
        <x:v>8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46219.99998842592</x:v>
      </x:c>
      <x:c r="AG8" s="34"/>
      <x:c r="AH8" s="26" t="str">
        <x:v>Contribution API fields only; original project JSON needed for line-item names/centres/category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50</x:v>
      </x:c>
      <x:c r="B9" s="26" t="n">
        <x:v>243</x:v>
      </x:c>
      <x:c r="C9" s="26" t="str">
        <x:v>Kumuram Bheem Asifabad</x:v>
      </x:c>
      <x:c r="D9" s="26" t="str">
        <x:v>Telangana</x:v>
      </x:c>
      <x:c r="E9" s="26" t="n">
        <x:v>10135</x:v>
      </x:c>
      <x:c r="F9" s="26" t="str">
        <x:v>PRJ-2026-0010135</x:v>
      </x:c>
      <x:c r="G9" s="26" t="str">
        <x:v>Proposal for upgradation of Anganwadi centre</x:v>
      </x:c>
      <x:c r="H9" s="26" t="str">
        <x:v>Mission Saksham Anganwadi &amp; POSHAN 2.0</x:v>
      </x:c>
      <x:c r="I9" s="32" t="n">
        <x:v>46164</x:v>
      </x:c>
      <x:c r="J9" s="32" t="n">
        <x:v>46234</x:v>
      </x:c>
      <x:c r="K9" s="32"/>
      <x:c r="L9" s="26" t="str">
        <x:v>Exclude: Before 01-Aug-2026</x:v>
      </x:c>
      <x:c r="M9" s="26" t="str">
        <x:v>Pending Mapping</x:v>
      </x:c>
      <x:c r="N9" s="26" t="str">
        <x:v>Original project JSON not available</x:v>
      </x:c>
      <x:c r="O9" s="26"/>
      <x:c r="P9" s="26" t="str"/>
      <x:c r="Q9" s="26" t="str"/>
      <x:c r="R9" s="26"/>
      <x:c r="S9" s="36"/>
      <x:c r="T9" s="26"/>
      <x:c r="U9" s="26"/>
      <x:c r="V9" s="26"/>
      <x:c r="W9" s="26" t="n">
        <x:v>3</x:v>
      </x:c>
      <x:c r="X9" s="26" t="n">
        <x:v>0</x:v>
      </x:c>
      <x:c r="Y9" s="26" t="n">
        <x:v>3</x:v>
      </x:c>
      <x:c r="Z9" s="26" t="n">
        <x:v>0</x:v>
      </x:c>
      <x:c r="AA9" s="26" t="n">
        <x:v>3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46219.99996527778</x:v>
      </x:c>
      <x:c r="AG9" s="34"/>
      <x:c r="AH9" s="26" t="str">
        <x:v>Contribution API fields only; original project JSON needed for line-item names/centres/category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52</x:v>
      </x:c>
      <x:c r="B10" s="26" t="n">
        <x:v>240</x:v>
      </x:c>
      <x:c r="C10" s="26" t="str">
        <x:v>Kumuram Bheem Asifabad</x:v>
      </x:c>
      <x:c r="D10" s="26" t="str">
        <x:v>Telangana</x:v>
      </x:c>
      <x:c r="E10" s="26" t="n">
        <x:v>9205</x:v>
      </x:c>
      <x:c r="F10" s="26" t="str">
        <x:v>PRJ-2026-0009205</x:v>
      </x:c>
      <x:c r="G10" s="26" t="str">
        <x:v>Proposal for upgradation of Anganwadi centre</x:v>
      </x:c>
      <x:c r="H10" s="26" t="str">
        <x:v>Mission Saksham Anganwadi &amp; POSHAN 2.0</x:v>
      </x:c>
      <x:c r="I10" s="32" t="n">
        <x:v>46164</x:v>
      </x:c>
      <x:c r="J10" s="32" t="n">
        <x:v>46203</x:v>
      </x:c>
      <x:c r="K10" s="32"/>
      <x:c r="L10" s="26" t="str">
        <x:v>Exclude: Before 01-Aug-2026</x:v>
      </x:c>
      <x:c r="M10" s="26" t="str">
        <x:v>Pending Mapping</x:v>
      </x:c>
      <x:c r="N10" s="26" t="str">
        <x:v>Original project JSON not available</x:v>
      </x:c>
      <x:c r="O10" s="26"/>
      <x:c r="P10" s="26" t="str"/>
      <x:c r="Q10" s="26" t="str"/>
      <x:c r="R10" s="26"/>
      <x:c r="S10" s="36"/>
      <x:c r="T10" s="26"/>
      <x:c r="U10" s="26"/>
      <x:c r="V10" s="26"/>
      <x:c r="W10" s="26" t="n">
        <x:v>4</x:v>
      </x:c>
      <x:c r="X10" s="26" t="n">
        <x:v>0</x:v>
      </x:c>
      <x:c r="Y10" s="26" t="n">
        <x:v>8</x:v>
      </x:c>
      <x:c r="Z10" s="26" t="n">
        <x:v>0</x:v>
      </x:c>
      <x:c r="AA10" s="26" t="n">
        <x:v>8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46219.856261574074</x:v>
      </x:c>
      <x:c r="AG10" s="34"/>
      <x:c r="AH10" s="26" t="str">
        <x:v>Contribution API fields only; original project JSON needed for line-item names/centres/category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53</x:v>
      </x:c>
      <x:c r="B11" s="26" t="n">
        <x:v>238</x:v>
      </x:c>
      <x:c r="C11" s="26" t="str">
        <x:v>Kumuram Bheem Asifabad</x:v>
      </x:c>
      <x:c r="D11" s="26" t="str">
        <x:v>Telangana</x:v>
      </x:c>
      <x:c r="E11" s="26" t="n">
        <x:v>10228</x:v>
      </x:c>
      <x:c r="F11" s="26" t="str">
        <x:v>PRJ-2026-0010228</x:v>
      </x:c>
      <x:c r="G11" s="26" t="str">
        <x:v>Rain Water Harvesting System : Water Filter Kitchen Construction : Poshan Vatika  kitchen Shelves : Gas stove, regulator : Solar Panel : Civil Repair : Toilet</x:v>
      </x:c>
      <x:c r="H11" s="26" t="str">
        <x:v>Mission Saksham Anganwadi &amp; POSHAN 2.0</x:v>
      </x:c>
      <x:c r="I11" s="32" t="n">
        <x:v>46164</x:v>
      </x:c>
      <x:c r="J11" s="32" t="n">
        <x:v>46164</x:v>
      </x:c>
      <x:c r="K11" s="32"/>
      <x:c r="L11" s="26" t="str">
        <x:v>Exclude: Before 01-Aug-2026</x:v>
      </x:c>
      <x:c r="M11" s="26" t="str">
        <x:v>Pending Mapping</x:v>
      </x:c>
      <x:c r="N11" s="26" t="str">
        <x:v>Original project JSON not available</x:v>
      </x:c>
      <x:c r="O11" s="26"/>
      <x:c r="P11" s="26" t="str"/>
      <x:c r="Q11" s="26" t="str"/>
      <x:c r="R11" s="26"/>
      <x:c r="S11" s="36"/>
      <x:c r="T11" s="26"/>
      <x:c r="U11" s="26"/>
      <x:c r="V11" s="26"/>
      <x:c r="W11" s="26" t="n">
        <x:v>4</x:v>
      </x:c>
      <x:c r="X11" s="26" t="n">
        <x:v>0</x:v>
      </x:c>
      <x:c r="Y11" s="26" t="n">
        <x:v>4</x:v>
      </x:c>
      <x:c r="Z11" s="26" t="n">
        <x:v>0</x:v>
      </x:c>
      <x:c r="AA11" s="26" t="n">
        <x:v>4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46219.85625</x:v>
      </x:c>
      <x:c r="AG11" s="34"/>
      <x:c r="AH11" s="26" t="str">
        <x:v>Contribution API fields only; original project JSON needed for line-item names/centres/category</x:v>
      </x:c>
      <x:c r="AI11" s="26" t="str"/>
      <x:c r="AJ11" s="26" t="str">
        <x:v>Not Started</x:v>
      </x:c>
      <x:c r="AK11" s="26" t="str"/>
      <x:c r="AL11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fa309f3e3b2e468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12.25" hidden="0" customWidth="1"/>
    <x:col min="3" max="3" width="6" hidden="0" customWidth="1"/>
    <x:col min="4" max="4" width="4.5" hidden="0" customWidth="1"/>
    <x:col min="5" max="5" width="8" hidden="0" customWidth="1"/>
    <x:col min="6" max="6" width="9.25" hidden="0" customWidth="1"/>
    <x:col min="7" max="7" width="10.880000114440918" hidden="0" customWidth="1"/>
    <x:col min="8" max="8" width="5.75" hidden="0" customWidth="1"/>
    <x:col min="9" max="9" width="11.630000114440918" hidden="0" customWidth="1"/>
    <x:col min="10" max="10" width="10.75" hidden="0" customWidth="1"/>
    <x:col min="11" max="11" width="10.380000114440918" hidden="0" customWidth="1"/>
    <x:col min="12" max="12" width="8.130000114440918" hidden="0" customWidth="1"/>
    <x:col min="13" max="13" width="13.130000114440918" hidden="0" customWidth="1"/>
    <x:col min="14" max="14" width="11.630000114440918" hidden="0" customWidth="1"/>
    <x:col min="15" max="15" width="10.5" hidden="0" customWidth="1"/>
    <x:col min="16" max="16" width="11.25" hidden="0" customWidth="1"/>
    <x:col min="17" max="17" width="10.630000114440918" hidden="0" customWidth="1"/>
    <x:col min="18" max="18" width="20.3799991607666" hidden="0" customWidth="1"/>
    <x:col min="19" max="19" width="10.880000114440918" hidden="0" customWidth="1"/>
    <x:col min="20" max="20" width="9.25" hidden="0" customWidth="1"/>
    <x:col min="21" max="21" width="14.880000114440918" hidden="0" customWidth="1"/>
    <x:col min="22" max="22" width="15.5" hidden="0" customWidth="1"/>
    <x:col min="23" max="23" width="20.1299991607666" hidden="0" customWidth="1"/>
    <x:col min="24" max="24" width="20.8799991607666" hidden="0" customWidth="1"/>
    <x:col min="25" max="25" width="16.3799991607666" hidden="0" customWidth="1"/>
    <x:col min="26" max="26" width="11" hidden="0" customWidth="1"/>
    <x:col min="27" max="27" width="11.75" hidden="0" customWidth="1"/>
    <x:col min="28" max="28" width="8.630000114440918" hidden="0" customWidth="1"/>
    <x:col min="29" max="29" width="12" hidden="0" customWidth="1"/>
    <x:col min="30" max="30" width="13.130000114440918" hidden="0" customWidth="1"/>
    <x:col min="31" max="31" width="5.25" hidden="0" customWidth="1"/>
    <x:col min="32" max="32" width="19.25" hidden="0" customWidth="1"/>
    <x:col min="33" max="33" width="19.8799991607666" hidden="0" customWidth="1"/>
    <x:col min="34" max="34" width="14.880000114440918" hidden="0" customWidth="1"/>
    <x:col min="35" max="35" width="10.630000114440918" hidden="0" customWidth="1"/>
    <x:col min="36" max="36" width="16.25" hidden="0" customWidth="1"/>
    <x:col min="37" max="37" width="5.75" hidden="0" customWidth="1"/>
    <x:col min="38" max="38" width="13.5" hidden="0" customWidth="1"/>
  </x:cols>
  <x:sheetData>
    <x:row r="1">
      <x:c r="A1" s="5" t="str">
        <x:v>Minor Projects — Based on Highest Available Line-Item Tier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</x:sheetData>
  <x:mergeCells>
    <x:mergeCell ref="A1:A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8.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222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Medium Projects — Based on Highest Available Line-Item Tier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1</x:v>
      </x:c>
      <x:c r="B4" s="26" t="n">
        <x:v>290</x:v>
      </x:c>
      <x:c r="C4" s="26" t="str">
        <x:v>Mulugu</x:v>
      </x:c>
      <x:c r="D4" s="26" t="str">
        <x:v>Telangana</x:v>
      </x:c>
      <x:c r="E4" s="26" t="n">
        <x:v>7797</x:v>
      </x:c>
      <x:c r="F4" s="26" t="str">
        <x:v>PRJ-2026-0007797</x:v>
      </x:c>
      <x:c r="G4" s="26" t="str">
        <x:v>AWC Infrastructure</x:v>
      </x:c>
      <x:c r="H4" s="26" t="str">
        <x:v>Mission Saksham Anganwadi &amp; POSHAN 2.0</x:v>
      </x:c>
      <x:c r="I4" s="32" t="n">
        <x:v>46164</x:v>
      </x:c>
      <x:c r="J4" s="32" t="n">
        <x:v>46348</x:v>
      </x:c>
      <x:c r="K4" s="32"/>
      <x:c r="L4" s="26" t="str">
        <x:v>Active: On/After 01-Aug-2026</x:v>
      </x:c>
      <x:c r="M4" s="26" t="str">
        <x:v>Medium</x:v>
      </x:c>
      <x:c r="N4" s="26" t="str">
        <x:v>ECCE Equipment=Minor; Educational Needs=Minor; Electrical Infrastructure=Medium; Office Needs=Minor</x:v>
      </x:c>
      <x:c r="O4" s="26" t="n">
        <x:v>1</x:v>
      </x:c>
      <x:c r="P4" s="26" t="str">
        <x:v>Puligundam (36701020209)</x:v>
      </x:c>
      <x:c r="Q4" s="26" t="str">
        <x:v>36701020209</x:v>
      </x:c>
      <x:c r="R4" s="26" t="n">
        <x:v>15</x:v>
      </x:c>
      <x:c r="S4" s="36" t="n">
        <x:v>50000</x:v>
      </x:c>
      <x:c r="T4" s="26" t="str">
        <x:v>Gas Stove&amp; Regulator	
Pressure Cooker	
Slides
Kids Chairs	
Fans &amp; Lights
Storage Bins
Egg &amp; Milk Storge Racks
Digital GMD
</x:v>
      </x:c>
      <x:c r="U4" s="26" t="str">
        <x:v>Gas Stove&amp; Regulator	
Pressure Cooker	
Slides
Kids Chairs	
Fans &amp; Lights
Storage Bins
Egg &amp; Milk Storge Racks
Digital GMD
</x:v>
      </x:c>
      <x:c r="V4" s="27" t="b">
        <x:v>1</x:v>
      </x:c>
      <x:c r="W4" s="26" t="n">
        <x:v>5</x:v>
      </x:c>
      <x:c r="X4" s="26" t="n">
        <x:v>0</x:v>
      </x:c>
      <x:c r="Y4" s="26" t="n">
        <x:v>35</x:v>
      </x:c>
      <x:c r="Z4" s="26" t="n">
        <x:v>0</x:v>
      </x:c>
      <x:c r="AA4" s="26" t="n">
        <x:v>35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46220.017800925925</x:v>
      </x:c>
      <x:c r="AG4" s="34"/>
      <x:c r="AH4" s="26" t="str">
        <x:v>Fully enriched from attached Mulugu project JSON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2</x:v>
      </x:c>
      <x:c r="B5" s="26" t="n">
        <x:v>291</x:v>
      </x:c>
      <x:c r="C5" s="26" t="str">
        <x:v>Mulugu</x:v>
      </x:c>
      <x:c r="D5" s="26" t="str">
        <x:v>Telangana</x:v>
      </x:c>
      <x:c r="E5" s="26" t="n">
        <x:v>7735</x:v>
      </x:c>
      <x:c r="F5" s="26" t="str">
        <x:v>PRJ-2026-0007735</x:v>
      </x:c>
      <x:c r="G5" s="26" t="str">
        <x:v>AWC Infrastructure</x:v>
      </x:c>
      <x:c r="H5" s="26" t="str">
        <x:v>Mission Saksham Anganwadi &amp; POSHAN 2.0</x:v>
      </x:c>
      <x:c r="I5" s="32" t="n">
        <x:v>46164</x:v>
      </x:c>
      <x:c r="J5" s="32" t="n">
        <x:v>46348</x:v>
      </x:c>
      <x:c r="K5" s="32"/>
      <x:c r="L5" s="26" t="str">
        <x:v>Active: On/After 01-Aug-2026</x:v>
      </x:c>
      <x:c r="M5" s="26" t="str">
        <x:v>Medium</x:v>
      </x:c>
      <x:c r="N5" s="26" t="str">
        <x:v>Digital Infrastructure=Medium; ECCE Equipment=Minor; Educational Needs=Minor; Electrical Infrastructure=Medium; Health and Safety aids=Minor; Office Needs=Minor</x:v>
      </x:c>
      <x:c r="O5" s="26" t="n">
        <x:v>1</x:v>
      </x:c>
      <x:c r="P5" s="26" t="str">
        <x:v>Chandhruthanda (36701020219)</x:v>
      </x:c>
      <x:c r="Q5" s="26" t="str">
        <x:v>36701020219</x:v>
      </x:c>
      <x:c r="R5" s="26" t="n">
        <x:v>30</x:v>
      </x:c>
      <x:c r="S5" s="36" t="n">
        <x:v>50000</x:v>
      </x:c>
      <x:c r="T5" s="26" t="str">
        <x:v>Water Filter	
Gas Stove&amp; Regulator	
Pressure Cooker	
Slides
Kids Chairs	
Fans &amp; Lights
Storage Bins
Egg &amp; Milk Storge Racks
Digital GMD
</x:v>
      </x:c>
      <x:c r="U5" s="26" t="str">
        <x:v>Water Filter	
Gas Stove&amp; Regulator	
Pressure Cooker	
Slides
Kids Chairs	
Fans &amp; Lights
Storage Bins
Egg &amp; Milk Storge Racks
Digital GMD
</x:v>
      </x:c>
      <x:c r="V5" s="27" t="b">
        <x:v>1</x:v>
      </x:c>
      <x:c r="W5" s="26" t="n">
        <x:v>8</x:v>
      </x:c>
      <x:c r="X5" s="26" t="n">
        <x:v>0</x:v>
      </x:c>
      <x:c r="Y5" s="26" t="n">
        <x:v>30</x:v>
      </x:c>
      <x:c r="Z5" s="26" t="n">
        <x:v>0</x:v>
      </x:c>
      <x:c r="AA5" s="26" t="n">
        <x:v>30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46220.017800925925</x:v>
      </x:c>
      <x:c r="AG5" s="34"/>
      <x:c r="AH5" s="26" t="str">
        <x:v>Fully enriched from attached Mulugu project JSON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3</x:v>
      </x:c>
      <x:c r="B6" s="26" t="n">
        <x:v>288</x:v>
      </x:c>
      <x:c r="C6" s="26" t="str">
        <x:v>Mulugu</x:v>
      </x:c>
      <x:c r="D6" s="26" t="str">
        <x:v>Telangana</x:v>
      </x:c>
      <x:c r="E6" s="26" t="n">
        <x:v>8392</x:v>
      </x:c>
      <x:c r="F6" s="26" t="str">
        <x:v>PRJ-2026-0008392</x:v>
      </x:c>
      <x:c r="G6" s="26" t="str">
        <x:v>AWC Sarangapalli</x:v>
      </x:c>
      <x:c r="H6" s="26" t="str">
        <x:v>Mission Saksham Anganwadi &amp; POSHAN 2.0</x:v>
      </x:c>
      <x:c r="I6" s="32" t="n">
        <x:v>46164</x:v>
      </x:c>
      <x:c r="J6" s="32" t="n">
        <x:v>46348</x:v>
      </x:c>
      <x:c r="K6" s="32"/>
      <x:c r="L6" s="26" t="str">
        <x:v>Active: On/After 01-Aug-2026</x:v>
      </x:c>
      <x:c r="M6" s="26" t="str">
        <x:v>Medium</x:v>
      </x:c>
      <x:c r="N6" s="26" t="str">
        <x:v>ECCE Equipment=Minor; Educational Needs=Minor; Electrical Infrastructure=Medium; Health and Safety aids=Minor; Office Needs=Minor</x:v>
      </x:c>
      <x:c r="O6" s="26" t="n">
        <x:v>1</x:v>
      </x:c>
      <x:c r="P6" s="26" t="str">
        <x:v>Sarangapalli (36701020205)</x:v>
      </x:c>
      <x:c r="Q6" s="26" t="str">
        <x:v>36701020205</x:v>
      </x:c>
      <x:c r="R6" s="26" t="n">
        <x:v>20</x:v>
      </x:c>
      <x:c r="S6" s="36" t="n">
        <x:v>50000</x:v>
      </x:c>
      <x:c r="T6" s="26" t="str">
        <x:v>Civil Repair	
Water Filter	
Gas Stove&amp; Regulator						
Pressure Cooker	
Slides	
Kids Chairs	
Fans &amp; Lights	
Storage Bins	
Egg &amp; Milk Storge Racks	
Digital GMD
</x:v>
      </x:c>
      <x:c r="U6" s="26" t="str">
        <x:v>Civil Repair	
Water Filter	
Gas Stove&amp; Regulator						
Pressure Cooker	
Slides	
Kids Chairs	
Fans &amp; Lights	
Storage Bins	
Egg &amp; Milk Storge Racks	
Digital GMD
</x:v>
      </x:c>
      <x:c r="V6" s="27" t="b">
        <x:v>1</x:v>
      </x:c>
      <x:c r="W6" s="26" t="n">
        <x:v>8</x:v>
      </x:c>
      <x:c r="X6" s="26" t="n">
        <x:v>0</x:v>
      </x:c>
      <x:c r="Y6" s="26" t="n">
        <x:v>25</x:v>
      </x:c>
      <x:c r="Z6" s="26" t="n">
        <x:v>0</x:v>
      </x:c>
      <x:c r="AA6" s="26" t="n">
        <x:v>25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46220.01778935185</x:v>
      </x:c>
      <x:c r="AG6" s="34"/>
      <x:c r="AH6" s="26" t="str">
        <x:v>Fully enriched from attached Mulugu project JSON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4</x:v>
      </x:c>
      <x:c r="B7" s="26" t="n">
        <x:v>289</x:v>
      </x:c>
      <x:c r="C7" s="26" t="str">
        <x:v>Mulugu</x:v>
      </x:c>
      <x:c r="D7" s="26" t="str">
        <x:v>Telangana</x:v>
      </x:c>
      <x:c r="E7" s="26" t="n">
        <x:v>8135</x:v>
      </x:c>
      <x:c r="F7" s="26" t="str">
        <x:v>PRJ-2026-0008135</x:v>
      </x:c>
      <x:c r="G7" s="26" t="str">
        <x:v>AWC VENKATESHWARLAPALLI</x:v>
      </x:c>
      <x:c r="H7" s="26" t="str">
        <x:v>Mission Saksham Anganwadi &amp; POSHAN 2.0</x:v>
      </x:c>
      <x:c r="I7" s="32" t="n">
        <x:v>46164</x:v>
      </x:c>
      <x:c r="J7" s="32" t="n">
        <x:v>46348</x:v>
      </x:c>
      <x:c r="K7" s="32"/>
      <x:c r="L7" s="26" t="str">
        <x:v>Active: On/After 01-Aug-2026</x:v>
      </x:c>
      <x:c r="M7" s="26" t="str">
        <x:v>Medium</x:v>
      </x:c>
      <x:c r="N7" s="26" t="str">
        <x:v>ECCE Equipment=Minor; Educational Needs=Minor; Electrical Infrastructure=Medium; Office Needs=Minor</x:v>
      </x:c>
      <x:c r="O7" s="26" t="n">
        <x:v>1</x:v>
      </x:c>
      <x:c r="P7" s="26" t="str">
        <x:v>VENKATESHWARLAPALLI (Mini) (36701020201)</x:v>
      </x:c>
      <x:c r="Q7" s="26" t="str">
        <x:v>36701020201</x:v>
      </x:c>
      <x:c r="R7" s="26" t="n">
        <x:v>15</x:v>
      </x:c>
      <x:c r="S7" s="36" t="n">
        <x:v>50000</x:v>
      </x:c>
      <x:c r="T7" s="26" t="str">
        <x:v>Water Filter	
Gas Stove&amp; Regulator						
Pressure Cooker	
Slides	
Kids Chairs	
Fans &amp; Lights	
Storage Bins	
Egg &amp; Milk Storge Racks	
Digital GMD
</x:v>
      </x:c>
      <x:c r="U7" s="26" t="str">
        <x:v>Water Filter	
Gas Stove&amp; Regulator						
Pressure Cooker	
Slides	
Kids Chairs	
Fans &amp; Lights	
Storage Bins	
Egg &amp; Milk Storge Racks	
Digital GMD
</x:v>
      </x:c>
      <x:c r="V7" s="27" t="b">
        <x:v>1</x:v>
      </x:c>
      <x:c r="W7" s="26" t="n">
        <x:v>7</x:v>
      </x:c>
      <x:c r="X7" s="26" t="n">
        <x:v>0</x:v>
      </x:c>
      <x:c r="Y7" s="26" t="n">
        <x:v>42</x:v>
      </x:c>
      <x:c r="Z7" s="26" t="n">
        <x:v>0</x:v>
      </x:c>
      <x:c r="AA7" s="26" t="n">
        <x:v>42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46220.01778935185</x:v>
      </x:c>
      <x:c r="AG7" s="34"/>
      <x:c r="AH7" s="26" t="str">
        <x:v>Fully enriched from attached Mulugu project JSON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5</x:v>
      </x:c>
      <x:c r="B8" s="26" t="n">
        <x:v>286</x:v>
      </x:c>
      <x:c r="C8" s="26" t="str">
        <x:v>Mulugu</x:v>
      </x:c>
      <x:c r="D8" s="26" t="str">
        <x:v>Telangana</x:v>
      </x:c>
      <x:c r="E8" s="26" t="n">
        <x:v>8796</x:v>
      </x:c>
      <x:c r="F8" s="26" t="str">
        <x:v>PRJ-2026-0008796</x:v>
      </x:c>
      <x:c r="G8" s="26" t="str">
        <x:v>AWC Kodeshalakunta</x:v>
      </x:c>
      <x:c r="H8" s="26" t="str">
        <x:v>Mission Saksham Anganwadi &amp; POSHAN 2.0</x:v>
      </x:c>
      <x:c r="I8" s="32" t="n">
        <x:v>46164</x:v>
      </x:c>
      <x:c r="J8" s="32" t="n">
        <x:v>46348</x:v>
      </x:c>
      <x:c r="K8" s="32"/>
      <x:c r="L8" s="26" t="str">
        <x:v>Active: On/After 01-Aug-2026</x:v>
      </x:c>
      <x:c r="M8" s="26" t="str">
        <x:v>Medium</x:v>
      </x:c>
      <x:c r="N8" s="26" t="str">
        <x:v>ECCE Equipment=Minor; Educational Needs=Minor; Electrical Infrastructure=Medium; Health and Safety aids=Minor; Office Needs=Minor</x:v>
      </x:c>
      <x:c r="O8" s="26" t="n">
        <x:v>1</x:v>
      </x:c>
      <x:c r="P8" s="26" t="str">
        <x:v>Kodeshalakunta (36701020214)</x:v>
      </x:c>
      <x:c r="Q8" s="26" t="str">
        <x:v>36701020214</x:v>
      </x:c>
      <x:c r="R8" s="26" t="n">
        <x:v>11</x:v>
      </x:c>
      <x:c r="S8" s="36" t="n">
        <x:v>50000</x:v>
      </x:c>
      <x:c r="T8" s="26" t="str">
        <x:v>Water Filter	
Gas Stove&amp; Regulator						
Pressure Cooker	
Slides	
Kids Chairs	
Fans &amp; Lights	
Storage Bins	
Egg &amp; Milk Storge Racks	
Digital GMD
</x:v>
      </x:c>
      <x:c r="U8" s="26" t="str">
        <x:v>Water Filter	
Gas Stove&amp; Regulator						
Pressure Cooker	
Slides	
Kids Chairs	
Fans &amp; Lights	
Storage Bins	
Egg &amp; Milk Storge Racks	
Digital GMD
</x:v>
      </x:c>
      <x:c r="V8" s="27" t="b">
        <x:v>1</x:v>
      </x:c>
      <x:c r="W8" s="26" t="n">
        <x:v>8</x:v>
      </x:c>
      <x:c r="X8" s="26" t="n">
        <x:v>0</x:v>
      </x:c>
      <x:c r="Y8" s="26" t="n">
        <x:v>36</x:v>
      </x:c>
      <x:c r="Z8" s="26" t="n">
        <x:v>0</x:v>
      </x:c>
      <x:c r="AA8" s="26" t="n">
        <x:v>36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46220.01777777778</x:v>
      </x:c>
      <x:c r="AG8" s="34"/>
      <x:c r="AH8" s="26" t="str">
        <x:v>Fully enriched from attached Mulugu project JSON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6</x:v>
      </x:c>
      <x:c r="B9" s="26" t="n">
        <x:v>287</x:v>
      </x:c>
      <x:c r="C9" s="26" t="str">
        <x:v>Mulugu</x:v>
      </x:c>
      <x:c r="D9" s="26" t="str">
        <x:v>Telangana</x:v>
      </x:c>
      <x:c r="E9" s="26" t="n">
        <x:v>8670</x:v>
      </x:c>
      <x:c r="F9" s="26" t="str">
        <x:v>PRJ-2026-0008670</x:v>
      </x:c>
      <x:c r="G9" s="26" t="str">
        <x:v>AWC Mansingh thanda</x:v>
      </x:c>
      <x:c r="H9" s="26" t="str">
        <x:v>Mission Saksham Anganwadi &amp; POSHAN 2.0</x:v>
      </x:c>
      <x:c r="I9" s="32" t="n">
        <x:v>46164</x:v>
      </x:c>
      <x:c r="J9" s="32" t="n">
        <x:v>46348</x:v>
      </x:c>
      <x:c r="K9" s="32"/>
      <x:c r="L9" s="26" t="str">
        <x:v>Active: On/After 01-Aug-2026</x:v>
      </x:c>
      <x:c r="M9" s="26" t="str">
        <x:v>Medium</x:v>
      </x:c>
      <x:c r="N9" s="26" t="str">
        <x:v>ECCE Equipment=Minor; Educational Needs=Minor; Electrical Infrastructure=Medium; Health and Safety aids=Minor; Office Needs=Minor</x:v>
      </x:c>
      <x:c r="O9" s="26" t="n">
        <x:v>1</x:v>
      </x:c>
      <x:c r="P9" s="26" t="str">
        <x:v>Mansingh thanda (36701020213)</x:v>
      </x:c>
      <x:c r="Q9" s="26" t="str">
        <x:v>36701020213</x:v>
      </x:c>
      <x:c r="R9" s="26" t="n">
        <x:v>47</x:v>
      </x:c>
      <x:c r="S9" s="36" t="n">
        <x:v>50000</x:v>
      </x:c>
      <x:c r="T9" s="26" t="str">
        <x:v>Water Filter	
Gas Stove&amp; Regulator						
Pressure Cooker	
Slides	
Kids Chairs	
Fans &amp; Lights	
Storage Bins	
Egg &amp; Milk Storge Racks	
Digital GMD
</x:v>
      </x:c>
      <x:c r="U9" s="26" t="str">
        <x:v>Water Filter	
Gas Stove&amp; Regulator						
Pressure Cooker	
Slides	
Kids Chairs	
Fans &amp; Lights	
Storage Bins	
Egg &amp; Milk Storge Racks	
Digital GMD
</x:v>
      </x:c>
      <x:c r="V9" s="27" t="b">
        <x:v>1</x:v>
      </x:c>
      <x:c r="W9" s="26" t="n">
        <x:v>8</x:v>
      </x:c>
      <x:c r="X9" s="26" t="n">
        <x:v>0</x:v>
      </x:c>
      <x:c r="Y9" s="26" t="n">
        <x:v>38</x:v>
      </x:c>
      <x:c r="Z9" s="26" t="n">
        <x:v>0</x:v>
      </x:c>
      <x:c r="AA9" s="26" t="n">
        <x:v>38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46220.01777777778</x:v>
      </x:c>
      <x:c r="AG9" s="34"/>
      <x:c r="AH9" s="26" t="str">
        <x:v>Fully enriched from attached Mulugu project JSON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7</x:v>
      </x:c>
      <x:c r="B10" s="26" t="n">
        <x:v>284</x:v>
      </x:c>
      <x:c r="C10" s="26" t="str">
        <x:v>Mulugu</x:v>
      </x:c>
      <x:c r="D10" s="26" t="str">
        <x:v>Telangana</x:v>
      </x:c>
      <x:c r="E10" s="26" t="n">
        <x:v>10211</x:v>
      </x:c>
      <x:c r="F10" s="26" t="str">
        <x:v>PRJ-2026-0010211</x:v>
      </x:c>
      <x:c r="G10" s="26" t="str">
        <x:v>AWC Chinnagunturpalli -1 </x:v>
      </x:c>
      <x:c r="H10" s="26" t="str">
        <x:v>Mission Saksham Anganwadi &amp; POSHAN 2.0</x:v>
      </x:c>
      <x:c r="I10" s="32" t="n">
        <x:v>46164</x:v>
      </x:c>
      <x:c r="J10" s="32" t="n">
        <x:v>46348</x:v>
      </x:c>
      <x:c r="K10" s="32"/>
      <x:c r="L10" s="26" t="str">
        <x:v>Active: On/After 01-Aug-2026</x:v>
      </x:c>
      <x:c r="M10" s="26" t="str">
        <x:v>Medium</x:v>
      </x:c>
      <x:c r="N10" s="26" t="str">
        <x:v>ECCE Equipment=Minor; Educational Needs=Minor; Electrical Infrastructure=Medium; Health and Safety aids=Minor; Office Needs=Minor</x:v>
      </x:c>
      <x:c r="O10" s="26" t="n">
        <x:v>1</x:v>
      </x:c>
      <x:c r="P10" s="26" t="str">
        <x:v>Chinnagunturpalli -1 (36701020218)</x:v>
      </x:c>
      <x:c r="Q10" s="26" t="str">
        <x:v>36701020218</x:v>
      </x:c>
      <x:c r="R10" s="26" t="n">
        <x:v>12</x:v>
      </x:c>
      <x:c r="S10" s="36" t="n">
        <x:v>50000</x:v>
      </x:c>
      <x:c r="T10" s="26" t="str">
        <x:v>Water Filter	
Gas Stove&amp; Regulator						
Pressure Cooker	
Slides	
Kids Chairs	
Fans &amp; Lights	
Storage Bins	
Egg &amp; Milk Storge Racks	
Digital GMD
</x:v>
      </x:c>
      <x:c r="U10" s="26" t="str">
        <x:v>Water Filter	
Gas Stove&amp; Regulator						
Pressure Cooker	
Slides	
Kids Chairs	
Fans &amp; Lights	
Storage Bins	
Egg &amp; Milk Storge Racks	
Digital GMD
</x:v>
      </x:c>
      <x:c r="V10" s="27" t="b">
        <x:v>1</x:v>
      </x:c>
      <x:c r="W10" s="26" t="n">
        <x:v>9</x:v>
      </x:c>
      <x:c r="X10" s="26" t="n">
        <x:v>0</x:v>
      </x:c>
      <x:c r="Y10" s="26" t="n">
        <x:v>40</x:v>
      </x:c>
      <x:c r="Z10" s="26" t="n">
        <x:v>0</x:v>
      </x:c>
      <x:c r="AA10" s="26" t="n">
        <x:v>40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46220.0177662037</x:v>
      </x:c>
      <x:c r="AG10" s="34"/>
      <x:c r="AH10" s="26" t="str">
        <x:v>Fully enriched from attached Mulugu project JSON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8</x:v>
      </x:c>
      <x:c r="B11" s="26" t="n">
        <x:v>285</x:v>
      </x:c>
      <x:c r="C11" s="26" t="str">
        <x:v>Mulugu</x:v>
      </x:c>
      <x:c r="D11" s="26" t="str">
        <x:v>Telangana</x:v>
      </x:c>
      <x:c r="E11" s="26" t="n">
        <x:v>9008</x:v>
      </x:c>
      <x:c r="F11" s="26" t="str">
        <x:v>PRJ-2026-0009008</x:v>
      </x:c>
      <x:c r="G11" s="26" t="str">
        <x:v>AWC Pandikunta - II</x:v>
      </x:c>
      <x:c r="H11" s="26" t="str">
        <x:v>Mission Saksham Anganwadi &amp; POSHAN 2.0</x:v>
      </x:c>
      <x:c r="I11" s="32" t="n">
        <x:v>46164</x:v>
      </x:c>
      <x:c r="J11" s="32" t="n">
        <x:v>46348</x:v>
      </x:c>
      <x:c r="K11" s="32"/>
      <x:c r="L11" s="26" t="str">
        <x:v>Active: On/After 01-Aug-2026</x:v>
      </x:c>
      <x:c r="M11" s="26" t="str">
        <x:v>Medium</x:v>
      </x:c>
      <x:c r="N11" s="26" t="str">
        <x:v>ECCE Equipment=Minor; Educational Needs=Minor; Electrical Infrastructure=Medium; Health and Safety aids=Minor; Office Needs=Minor</x:v>
      </x:c>
      <x:c r="O11" s="26" t="n">
        <x:v>1</x:v>
      </x:c>
      <x:c r="P11" s="26" t="str">
        <x:v>Pandikunta - II (36701020210)</x:v>
      </x:c>
      <x:c r="Q11" s="26" t="str">
        <x:v>36701020210</x:v>
      </x:c>
      <x:c r="R11" s="26" t="n">
        <x:v>53</x:v>
      </x:c>
      <x:c r="S11" s="36" t="n">
        <x:v>50000</x:v>
      </x:c>
      <x:c r="T11" s="26" t="str">
        <x:v>Water Filter	
Gas Stove&amp; Regulator						
Pressure Cooker	
Slides	
Kids Chairs	
Fans &amp; Lights	
Storage Bins	
Egg &amp; Milk Storge Racks	
Digital GMD
</x:v>
      </x:c>
      <x:c r="U11" s="26" t="str">
        <x:v>Water Filter	
Gas Stove&amp; Regulator						
Pressure Cooker	
Slides	
Kids Chairs	
Fans &amp; Lights	
Storage Bins	
Egg &amp; Milk Storge Racks	
Digital GMD
</x:v>
      </x:c>
      <x:c r="V11" s="27" t="b">
        <x:v>1</x:v>
      </x:c>
      <x:c r="W11" s="26" t="n">
        <x:v>9</x:v>
      </x:c>
      <x:c r="X11" s="26" t="n">
        <x:v>0</x:v>
      </x:c>
      <x:c r="Y11" s="26" t="n">
        <x:v>45</x:v>
      </x:c>
      <x:c r="Z11" s="26" t="n">
        <x:v>0</x:v>
      </x:c>
      <x:c r="AA11" s="26" t="n">
        <x:v>45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46220.0177662037</x:v>
      </x:c>
      <x:c r="AG11" s="34"/>
      <x:c r="AH11" s="26" t="str">
        <x:v>Fully enriched from attached Mulugu project JSON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9</x:v>
      </x:c>
      <x:c r="B12" s="26" t="n">
        <x:v>283</x:v>
      </x:c>
      <x:c r="C12" s="26" t="str">
        <x:v>Mulugu</x:v>
      </x:c>
      <x:c r="D12" s="26" t="str">
        <x:v>Telangana</x:v>
      </x:c>
      <x:c r="E12" s="26" t="n">
        <x:v>10287</x:v>
      </x:c>
      <x:c r="F12" s="26" t="str">
        <x:v>PRJ-2026-0010287</x:v>
      </x:c>
      <x:c r="G12" s="26" t="str">
        <x:v>AWC Jaggannapet</x:v>
      </x:c>
      <x:c r="H12" s="26" t="str">
        <x:v>Mission Saksham Anganwadi &amp; POSHAN 2.0</x:v>
      </x:c>
      <x:c r="I12" s="32" t="n">
        <x:v>46164</x:v>
      </x:c>
      <x:c r="J12" s="32" t="n">
        <x:v>46348</x:v>
      </x:c>
      <x:c r="K12" s="32"/>
      <x:c r="L12" s="26" t="str">
        <x:v>Active: On/After 01-Aug-2026</x:v>
      </x:c>
      <x:c r="M12" s="26" t="str">
        <x:v>Medium</x:v>
      </x:c>
      <x:c r="N12" s="26" t="str">
        <x:v>ECCE Equipment=Minor; Educational Needs=Minor; Electrical Infrastructure=Medium; Health and Safety aids=Minor; Office Needs=Minor</x:v>
      </x:c>
      <x:c r="O12" s="26" t="n">
        <x:v>1</x:v>
      </x:c>
      <x:c r="P12" s="26" t="str">
        <x:v>Jaggannapet (36701020215)</x:v>
      </x:c>
      <x:c r="Q12" s="26" t="str">
        <x:v>36701020215</x:v>
      </x:c>
      <x:c r="R12" s="26" t="n">
        <x:v>41</x:v>
      </x:c>
      <x:c r="S12" s="36" t="n">
        <x:v>50000</x:v>
      </x:c>
      <x:c r="T12" s="26" t="str">
        <x:v>Water Filter	Gas Stove&amp; Regulator						Pressure Cooker	Slides	Kids Chairs	Fans &amp; Lights	Storage Bins	Egg &amp; Milk Storge Racks	Digital GMD
</x:v>
      </x:c>
      <x:c r="U12" s="26" t="str">
        <x:v>Water Filter	Gas Stove&amp; Regulator						Pressure Cooker	Slides	Kids Chairs	Fans &amp; Lights	Storage Bins	Egg &amp; Milk Storge Racks	Digital GMD
</x:v>
      </x:c>
      <x:c r="V12" s="27" t="b">
        <x:v>1</x:v>
      </x:c>
      <x:c r="W12" s="26" t="n">
        <x:v>7</x:v>
      </x:c>
      <x:c r="X12" s="26" t="n">
        <x:v>0</x:v>
      </x:c>
      <x:c r="Y12" s="26" t="n">
        <x:v>21</x:v>
      </x:c>
      <x:c r="Z12" s="26" t="n">
        <x:v>0</x:v>
      </x:c>
      <x:c r="AA12" s="26" t="n">
        <x:v>21</x:v>
      </x:c>
      <x:c r="AB12" s="38" t="n"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46220.01775462963</x:v>
      </x:c>
      <x:c r="AG12" s="34"/>
      <x:c r="AH12" s="26" t="str">
        <x:v>Fully enriched from attached Mulugu project JSON</x:v>
      </x:c>
      <x:c r="AI12" s="26" t="str"/>
      <x:c r="AJ12" s="26" t="str">
        <x:v>Not Started</x:v>
      </x:c>
      <x:c r="AK12" s="26" t="str"/>
      <x:c r="AL12" s="26" t="str"/>
    </x:row>
    <x:row r="13">
      <x:c r="A13" s="26" t="n">
        <x:v>10</x:v>
      </x:c>
      <x:c r="B13" s="26" t="n">
        <x:v>281</x:v>
      </x:c>
      <x:c r="C13" s="26" t="str">
        <x:v>Mulugu</x:v>
      </x:c>
      <x:c r="D13" s="26" t="str">
        <x:v>Telangana</x:v>
      </x:c>
      <x:c r="E13" s="26" t="n">
        <x:v>10430</x:v>
      </x:c>
      <x:c r="F13" s="26" t="str">
        <x:v>PRJ-2026-0010430</x:v>
      </x:c>
      <x:c r="G13" s="26" t="str">
        <x:v>AWC Ramsing Thanda</x:v>
      </x:c>
      <x:c r="H13" s="26" t="str">
        <x:v>Mission Saksham Anganwadi &amp; POSHAN 2.0</x:v>
      </x:c>
      <x:c r="I13" s="32" t="n">
        <x:v>46164</x:v>
      </x:c>
      <x:c r="J13" s="32" t="n">
        <x:v>46348</x:v>
      </x:c>
      <x:c r="K13" s="32"/>
      <x:c r="L13" s="26" t="str">
        <x:v>Active: On/After 01-Aug-2026</x:v>
      </x:c>
      <x:c r="M13" s="26" t="str">
        <x:v>Medium</x:v>
      </x:c>
      <x:c r="N13" s="26" t="str">
        <x:v>ECCE Equipment=Minor; Educational Needs=Minor; Electrical Infrastructure=Medium; Health and Safety aids=Minor; Office Needs=Minor</x:v>
      </x:c>
      <x:c r="O13" s="26" t="n">
        <x:v>1</x:v>
      </x:c>
      <x:c r="P13" s="26" t="str">
        <x:v>RAMSING THANDA  (Mini) (36701020207)</x:v>
      </x:c>
      <x:c r="Q13" s="26" t="str">
        <x:v>36701020207</x:v>
      </x:c>
      <x:c r="R13" s="26" t="n">
        <x:v>18</x:v>
      </x:c>
      <x:c r="S13" s="36" t="n">
        <x:v>50000</x:v>
      </x:c>
      <x:c r="T13" s="26" t="str">
        <x:v>Water Filter	
Gas Stove&amp; Regulator						
Pressure Cooker	
Slides	
Kids Chairs	
Fans &amp; Lights	
Storage Bins	
Egg &amp; Milk Storge Racks	
Digital GMD
</x:v>
      </x:c>
      <x:c r="U13" s="26" t="str">
        <x:v>Water Filter	
Gas Stove&amp; Regulator						
Pressure Cooker	
Slides	
Kids Chairs	
Fans &amp; Lights	
Storage Bins	
Egg &amp; Milk Storge Racks	
Digital GMD</x:v>
      </x:c>
      <x:c r="V13" s="27" t="b">
        <x:v>1</x:v>
      </x:c>
      <x:c r="W13" s="26" t="n">
        <x:v>7</x:v>
      </x:c>
      <x:c r="X13" s="26" t="n">
        <x:v>0</x:v>
      </x:c>
      <x:c r="Y13" s="26" t="n">
        <x:v>37</x:v>
      </x:c>
      <x:c r="Z13" s="26" t="n">
        <x:v>0</x:v>
      </x:c>
      <x:c r="AA13" s="26" t="n">
        <x:v>37</x:v>
      </x:c>
      <x:c r="AB13" s="38" t="n">
        <x:v>0</x:v>
      </x:c>
      <x:c r="AC13" s="26" t="str">
        <x:v>Committed / Not Delivered</x:v>
      </x:c>
      <x:c r="AD13" s="26" t="str">
        <x:v>Approval not recorded in response</x:v>
      </x:c>
      <x:c r="AE13" s="27" t="b">
        <x:v>1</x:v>
      </x:c>
      <x:c r="AF13" s="34" t="n">
        <x:v>46220.017743055556</x:v>
      </x:c>
      <x:c r="AG13" s="34"/>
      <x:c r="AH13" s="26" t="str">
        <x:v>Fully enriched from attached Mulugu project JSON</x:v>
      </x:c>
      <x:c r="AI13" s="26" t="str"/>
      <x:c r="AJ13" s="26" t="str">
        <x:v>Not Started</x:v>
      </x:c>
      <x:c r="AK13" s="26" t="str"/>
      <x:c r="AL13" s="26" t="str"/>
    </x:row>
    <x:row r="14">
      <x:c r="A14" s="26" t="n">
        <x:v>11</x:v>
      </x:c>
      <x:c r="B14" s="26" t="n">
        <x:v>282</x:v>
      </x:c>
      <x:c r="C14" s="26" t="str">
        <x:v>Mulugu</x:v>
      </x:c>
      <x:c r="D14" s="26" t="str">
        <x:v>Telangana</x:v>
      </x:c>
      <x:c r="E14" s="26" t="n">
        <x:v>10329</x:v>
      </x:c>
      <x:c r="F14" s="26" t="str">
        <x:v>PRJ-2026-0010329</x:v>
      </x:c>
      <x:c r="G14" s="26" t="str">
        <x:v>AWC Gurthuruthanda</x:v>
      </x:c>
      <x:c r="H14" s="26" t="str">
        <x:v>Mission Saksham Anganwadi &amp; POSHAN 2.0</x:v>
      </x:c>
      <x:c r="I14" s="32" t="n">
        <x:v>46164</x:v>
      </x:c>
      <x:c r="J14" s="32" t="n">
        <x:v>46348</x:v>
      </x:c>
      <x:c r="K14" s="32"/>
      <x:c r="L14" s="26" t="str">
        <x:v>Active: On/After 01-Aug-2026</x:v>
      </x:c>
      <x:c r="M14" s="26" t="str">
        <x:v>Medium</x:v>
      </x:c>
      <x:c r="N14" s="26" t="str">
        <x:v>ECCE Equipment=Minor; Educational Needs=Minor; Electrical Infrastructure=Medium; Health and Safety aids=Minor; Office Needs=Minor</x:v>
      </x:c>
      <x:c r="O14" s="26" t="n">
        <x:v>1</x:v>
      </x:c>
      <x:c r="P14" s="26" t="str">
        <x:v>Gurthuruthanda (36701020216)</x:v>
      </x:c>
      <x:c r="Q14" s="26" t="str">
        <x:v>36701020216</x:v>
      </x:c>
      <x:c r="R14" s="26" t="n">
        <x:v>42</x:v>
      </x:c>
      <x:c r="S14" s="36" t="n">
        <x:v>50000</x:v>
      </x:c>
      <x:c r="T14" s="26" t="str">
        <x:v>Civil Repair	Water Filter	Gas Stove&amp; Regulator						Pressure Cooker	Slides	Kids Chairs	Fans &amp; Lights	Storage Bins	Egg &amp; Milk Storge Racks	Digital GMD
</x:v>
      </x:c>
      <x:c r="U14" s="26" t="str">
        <x:v>Civil Repair	Water Filter	Gas Stove&amp; Regulator						Pressure Cooker	Slides	Kids Chairs	Fans &amp; Lights	Storage Bins	Egg &amp; Milk Storge Racks	Digital GMD
</x:v>
      </x:c>
      <x:c r="V14" s="27" t="b">
        <x:v>1</x:v>
      </x:c>
      <x:c r="W14" s="26" t="n">
        <x:v>7</x:v>
      </x:c>
      <x:c r="X14" s="26" t="n">
        <x:v>0</x:v>
      </x:c>
      <x:c r="Y14" s="26" t="n">
        <x:v>34</x:v>
      </x:c>
      <x:c r="Z14" s="26" t="n">
        <x:v>0</x:v>
      </x:c>
      <x:c r="AA14" s="26" t="n">
        <x:v>34</x:v>
      </x:c>
      <x:c r="AB14" s="38" t="n">
        <x:v>0</x:v>
      </x:c>
      <x:c r="AC14" s="26" t="str">
        <x:v>Committed / Not Delivered</x:v>
      </x:c>
      <x:c r="AD14" s="26" t="str">
        <x:v>Approval not recorded in response</x:v>
      </x:c>
      <x:c r="AE14" s="27" t="b">
        <x:v>1</x:v>
      </x:c>
      <x:c r="AF14" s="34" t="n">
        <x:v>46220.017743055556</x:v>
      </x:c>
      <x:c r="AG14" s="34"/>
      <x:c r="AH14" s="26" t="str">
        <x:v>Fully enriched from attached Mulugu project JSON</x:v>
      </x:c>
      <x:c r="AI14" s="26" t="str"/>
      <x:c r="AJ14" s="26" t="str">
        <x:v>Not Started</x:v>
      </x:c>
      <x:c r="AK14" s="26" t="str"/>
      <x:c r="AL14" s="26" t="str"/>
    </x:row>
    <x:row r="15">
      <x:c r="A15" s="26" t="n">
        <x:v>12</x:v>
      </x:c>
      <x:c r="B15" s="26" t="n">
        <x:v>280</x:v>
      </x:c>
      <x:c r="C15" s="26" t="str">
        <x:v>Mulugu</x:v>
      </x:c>
      <x:c r="D15" s="26" t="str">
        <x:v>Telangana</x:v>
      </x:c>
      <x:c r="E15" s="26" t="n">
        <x:v>10539</x:v>
      </x:c>
      <x:c r="F15" s="26" t="str">
        <x:v>PRJ-2026-0010539</x:v>
      </x:c>
      <x:c r="G15" s="26" t="str">
        <x:v>AWC Annampalli</x:v>
      </x:c>
      <x:c r="H15" s="26" t="str">
        <x:v>Mission Saksham Anganwadi &amp; POSHAN 2.0</x:v>
      </x:c>
      <x:c r="I15" s="32" t="n">
        <x:v>46164</x:v>
      </x:c>
      <x:c r="J15" s="32" t="n">
        <x:v>46348</x:v>
      </x:c>
      <x:c r="K15" s="32"/>
      <x:c r="L15" s="26" t="str">
        <x:v>Active: On/After 01-Aug-2026</x:v>
      </x:c>
      <x:c r="M15" s="26" t="str">
        <x:v>Medium</x:v>
      </x:c>
      <x:c r="N15" s="26" t="str">
        <x:v>ECCE Equipment=Minor; Educational Needs=Minor; Electrical Infrastructure=Medium; Health and Safety aids=Minor; Office Needs=Minor</x:v>
      </x:c>
      <x:c r="O15" s="26" t="n">
        <x:v>1</x:v>
      </x:c>
      <x:c r="P15" s="26" t="str">
        <x:v>ANNAMPALLI (36701020222)</x:v>
      </x:c>
      <x:c r="Q15" s="26" t="str">
        <x:v>36701020222</x:v>
      </x:c>
      <x:c r="R15" s="26" t="n">
        <x:v>30</x:v>
      </x:c>
      <x:c r="S15" s="36" t="n">
        <x:v>50000</x:v>
      </x:c>
      <x:c r="T15" s="26" t="str">
        <x:v>Water Filter	
Gas Stove&amp; Regulator						
Pressure Cooker	
Slides	
Kids Chairs	
Fans &amp; Lights	
Storage Bins	
Egg &amp; Milk Storge Racks	
Digital GMD</x:v>
      </x:c>
      <x:c r="U15" s="26" t="str">
        <x:v>Water Filter	
Gas Stove&amp; Regulator						
Pressure Cooker	
Slides	
Kids Chairs	
Fans &amp; Lights	
Storage Bins	
Egg &amp; Milk Storge Racks	
Digital GMD</x:v>
      </x:c>
      <x:c r="V15" s="27" t="b">
        <x:v>1</x:v>
      </x:c>
      <x:c r="W15" s="26" t="n">
        <x:v>7</x:v>
      </x:c>
      <x:c r="X15" s="26" t="n">
        <x:v>0</x:v>
      </x:c>
      <x:c r="Y15" s="26" t="n">
        <x:v>29</x:v>
      </x:c>
      <x:c r="Z15" s="26" t="n">
        <x:v>0</x:v>
      </x:c>
      <x:c r="AA15" s="26" t="n">
        <x:v>29</x:v>
      </x:c>
      <x:c r="AB15" s="38" t="n">
        <x:v>0</x:v>
      </x:c>
      <x:c r="AC15" s="26" t="str">
        <x:v>Committed / Not Delivered</x:v>
      </x:c>
      <x:c r="AD15" s="26" t="str">
        <x:v>Approval not recorded in response</x:v>
      </x:c>
      <x:c r="AE15" s="27" t="b">
        <x:v>1</x:v>
      </x:c>
      <x:c r="AF15" s="34" t="n">
        <x:v>46220.01773148148</x:v>
      </x:c>
      <x:c r="AG15" s="34"/>
      <x:c r="AH15" s="26" t="str">
        <x:v>Fully enriched from attached Mulugu project JSON</x:v>
      </x:c>
      <x:c r="AI15" s="26" t="str"/>
      <x:c r="AJ15" s="26" t="str">
        <x:v>Not Started</x:v>
      </x:c>
      <x:c r="AK15" s="26" t="str"/>
      <x:c r="AL15" s="26" t="str"/>
    </x:row>
    <x:row r="16">
      <x:c r="A16" s="26" t="n">
        <x:v>13</x:v>
      </x:c>
      <x:c r="B16" s="26" t="n">
        <x:v>279</x:v>
      </x:c>
      <x:c r="C16" s="26" t="str">
        <x:v>Mulugu</x:v>
      </x:c>
      <x:c r="D16" s="26" t="str">
        <x:v>Telangana</x:v>
      </x:c>
      <x:c r="E16" s="26" t="n">
        <x:v>10589</x:v>
      </x:c>
      <x:c r="F16" s="26" t="str">
        <x:v>PRJ-2026-0010589</x:v>
      </x:c>
      <x:c r="G16" s="26" t="str">
        <x:v>AWC Pandikunta I</x:v>
      </x:c>
      <x:c r="H16" s="26" t="str">
        <x:v>Mission Saksham Anganwadi &amp; POSHAN 2.0</x:v>
      </x:c>
      <x:c r="I16" s="32" t="n">
        <x:v>46164</x:v>
      </x:c>
      <x:c r="J16" s="32" t="n">
        <x:v>46348</x:v>
      </x:c>
      <x:c r="K16" s="32"/>
      <x:c r="L16" s="26" t="str">
        <x:v>Active: On/After 01-Aug-2026</x:v>
      </x:c>
      <x:c r="M16" s="26" t="str">
        <x:v>Medium</x:v>
      </x:c>
      <x:c r="N16" s="26" t="str">
        <x:v>ECCE Equipment=Minor; Educational Needs=Minor; Electrical Infrastructure=Medium; Health and Safety aids=Minor; Office Needs=Minor</x:v>
      </x:c>
      <x:c r="O16" s="26" t="n">
        <x:v>1</x:v>
      </x:c>
      <x:c r="P16" s="26" t="str">
        <x:v>Pandikunta - I (36701020211)</x:v>
      </x:c>
      <x:c r="Q16" s="26" t="str">
        <x:v>36701020211</x:v>
      </x:c>
      <x:c r="R16" s="26" t="n">
        <x:v>59</x:v>
      </x:c>
      <x:c r="S16" s="36" t="n">
        <x:v>50000</x:v>
      </x:c>
      <x:c r="T16" s="26" t="str">
        <x:v>Water Filter	
Gas Stove&amp; Regulator						
Pressure Cooker	
Slides	
Kids Chairs	
Fans &amp; Lights	
Storage Bins	
Egg &amp; Milk Storge Racks	
Digital GMD</x:v>
      </x:c>
      <x:c r="U16" s="26" t="str">
        <x:v>Water Filter	
Gas Stove&amp; Regulator						
Pressure Cooker	
Slides	
Kids Chairs	
Fans &amp; Lights	
Storage Bins	
Egg &amp; Milk Storge Racks	
Digital GMD</x:v>
      </x:c>
      <x:c r="V16" s="27" t="b">
        <x:v>1</x:v>
      </x:c>
      <x:c r="W16" s="26" t="n">
        <x:v>8</x:v>
      </x:c>
      <x:c r="X16" s="26" t="n">
        <x:v>0</x:v>
      </x:c>
      <x:c r="Y16" s="26" t="n">
        <x:v>43</x:v>
      </x:c>
      <x:c r="Z16" s="26" t="n">
        <x:v>0</x:v>
      </x:c>
      <x:c r="AA16" s="26" t="n">
        <x:v>43</x:v>
      </x:c>
      <x:c r="AB16" s="38" t="n">
        <x:v>0</x:v>
      </x:c>
      <x:c r="AC16" s="26" t="str">
        <x:v>Committed / Not Delivered</x:v>
      </x:c>
      <x:c r="AD16" s="26" t="str">
        <x:v>Approval not recorded in response</x:v>
      </x:c>
      <x:c r="AE16" s="27" t="b">
        <x:v>1</x:v>
      </x:c>
      <x:c r="AF16" s="34" t="n">
        <x:v>46220.01724537037</x:v>
      </x:c>
      <x:c r="AG16" s="34"/>
      <x:c r="AH16" s="26" t="str">
        <x:v>Fully enriched from attached Mulugu project JSON</x:v>
      </x:c>
      <x:c r="AI16" s="26" t="str"/>
      <x:c r="AJ16" s="26" t="str">
        <x:v>Not Started</x:v>
      </x:c>
      <x:c r="AK16" s="26" t="str"/>
      <x:c r="AL16" s="26" t="str"/>
    </x:row>
    <x:row r="17">
      <x:c r="A17" s="26" t="n">
        <x:v>14</x:v>
      </x:c>
      <x:c r="B17" s="26" t="n">
        <x:v>277</x:v>
      </x:c>
      <x:c r="C17" s="26" t="str">
        <x:v>Mulugu</x:v>
      </x:c>
      <x:c r="D17" s="26" t="str">
        <x:v>Telangana</x:v>
      </x:c>
      <x:c r="E17" s="26" t="n">
        <x:v>10671</x:v>
      </x:c>
      <x:c r="F17" s="26" t="str">
        <x:v>PRJ-2026-0010671</x:v>
      </x:c>
      <x:c r="G17" s="26" t="str">
        <x:v>AWC </x:v>
      </x:c>
      <x:c r="H17" s="26" t="str">
        <x:v>Mission Saksham Anganwadi &amp; POSHAN 2.0</x:v>
      </x:c>
      <x:c r="I17" s="32" t="n">
        <x:v>46164</x:v>
      </x:c>
      <x:c r="J17" s="32" t="n">
        <x:v>46348</x:v>
      </x:c>
      <x:c r="K17" s="32"/>
      <x:c r="L17" s="26" t="str">
        <x:v>Active: On/After 01-Aug-2026</x:v>
      </x:c>
      <x:c r="M17" s="26" t="str">
        <x:v>Medium</x:v>
      </x:c>
      <x:c r="N17" s="26" t="str">
        <x:v>ECCE Equipment=Minor; Educational Needs=Minor; Electrical Infrastructure=Medium; Health and Safety aids=Minor; Office Needs=Minor</x:v>
      </x:c>
      <x:c r="O17" s="26" t="n">
        <x:v>1</x:v>
      </x:c>
      <x:c r="P17" s="26" t="str">
        <x:v>Shivathanda (36701020204)</x:v>
      </x:c>
      <x:c r="Q17" s="26" t="str">
        <x:v>36701020204</x:v>
      </x:c>
      <x:c r="R17" s="26" t="n">
        <x:v>20</x:v>
      </x:c>
      <x:c r="S17" s="36" t="n">
        <x:v>50000</x:v>
      </x:c>
      <x:c r="T17" s="26" t="str">
        <x:v>Water Filter	
Gas Stove&amp; Regulator						
Pressure Cooker	
Slides	
Kids Chairs	
Fans &amp; Lights	
Storage Bins	
Egg &amp; Milk Storge Racks	
Digital GMD</x:v>
      </x:c>
      <x:c r="U17" s="26" t="str">
        <x:v>Water Filter	
Gas Stove&amp; Regulator						
Pressure Cooker	
Slides	
Kids Chairs	
Fans &amp; Lights	
Storage Bins	
Egg &amp; Milk Storge Racks	
Digital GMD</x:v>
      </x:c>
      <x:c r="V17" s="27" t="b">
        <x:v>1</x:v>
      </x:c>
      <x:c r="W17" s="26" t="n">
        <x:v>7</x:v>
      </x:c>
      <x:c r="X17" s="26" t="n">
        <x:v>0</x:v>
      </x:c>
      <x:c r="Y17" s="26" t="n">
        <x:v>35</x:v>
      </x:c>
      <x:c r="Z17" s="26" t="n">
        <x:v>0</x:v>
      </x:c>
      <x:c r="AA17" s="26" t="n">
        <x:v>35</x:v>
      </x:c>
      <x:c r="AB17" s="38" t="n">
        <x:v>0</x:v>
      </x:c>
      <x:c r="AC17" s="26" t="str">
        <x:v>Committed / Not Delivered</x:v>
      </x:c>
      <x:c r="AD17" s="26" t="str">
        <x:v>Approval not recorded in response</x:v>
      </x:c>
      <x:c r="AE17" s="27" t="b">
        <x:v>1</x:v>
      </x:c>
      <x:c r="AF17" s="34" t="n">
        <x:v>46220.017233796294</x:v>
      </x:c>
      <x:c r="AG17" s="34"/>
      <x:c r="AH17" s="26" t="str">
        <x:v>Fully enriched from attached Mulugu project JSON</x:v>
      </x:c>
      <x:c r="AI17" s="26" t="str"/>
      <x:c r="AJ17" s="26" t="str">
        <x:v>Not Started</x:v>
      </x:c>
      <x:c r="AK17" s="26" t="str"/>
      <x:c r="AL17" s="26" t="str"/>
    </x:row>
    <x:row r="18">
      <x:c r="A18" s="26" t="n">
        <x:v>15</x:v>
      </x:c>
      <x:c r="B18" s="26" t="n">
        <x:v>278</x:v>
      </x:c>
      <x:c r="C18" s="26" t="str">
        <x:v>Mulugu</x:v>
      </x:c>
      <x:c r="D18" s="26" t="str">
        <x:v>Telangana</x:v>
      </x:c>
      <x:c r="E18" s="26" t="n">
        <x:v>10633</x:v>
      </x:c>
      <x:c r="F18" s="26" t="str">
        <x:v>PRJ-2026-0010633</x:v>
      </x:c>
      <x:c r="G18" s="26" t="str">
        <x:v>AWC Sreeramulapalli</x:v>
      </x:c>
      <x:c r="H18" s="26" t="str">
        <x:v>Mission Saksham Anganwadi &amp; POSHAN 2.0</x:v>
      </x:c>
      <x:c r="I18" s="32" t="n">
        <x:v>46164</x:v>
      </x:c>
      <x:c r="J18" s="32" t="n">
        <x:v>46348</x:v>
      </x:c>
      <x:c r="K18" s="32"/>
      <x:c r="L18" s="26" t="str">
        <x:v>Active: On/After 01-Aug-2026</x:v>
      </x:c>
      <x:c r="M18" s="26" t="str">
        <x:v>Medium</x:v>
      </x:c>
      <x:c r="N18" s="26" t="str">
        <x:v>ECCE Equipment=Minor; Educational Needs=Minor; Electrical Infrastructure=Medium; Health and Safety aids=Minor; Office Needs=Minor</x:v>
      </x:c>
      <x:c r="O18" s="26" t="n">
        <x:v>1</x:v>
      </x:c>
      <x:c r="P18" s="26" t="str">
        <x:v>Sreeramulapalli (36687040422)</x:v>
      </x:c>
      <x:c r="Q18" s="26" t="str">
        <x:v>36687040422</x:v>
      </x:c>
      <x:c r="R18" s="26" t="n">
        <x:v>84</x:v>
      </x:c>
      <x:c r="S18" s="36" t="n">
        <x:v>50000</x:v>
      </x:c>
      <x:c r="T18" s="26" t="str">
        <x:v>Water Filter	
Gas Stove&amp; Regulator						
Pressure Cooker	
Slides	
Kids Chairs	
Fans &amp; Lights	
Storage Bins	
Egg &amp; Milk Storge Racks	
Digital GMD</x:v>
      </x:c>
      <x:c r="U18" s="26" t="str">
        <x:v>Water Filter	
Gas Stove&amp; Regulator						
Pressure Cooker	
Slides	
Kids Chairs	
Fans &amp; Lights	
Storage Bins	
Egg &amp; Milk Storge Racks	
Digital GMD</x:v>
      </x:c>
      <x:c r="V18" s="27" t="b">
        <x:v>1</x:v>
      </x:c>
      <x:c r="W18" s="26" t="n">
        <x:v>9</x:v>
      </x:c>
      <x:c r="X18" s="26" t="n">
        <x:v>0</x:v>
      </x:c>
      <x:c r="Y18" s="26" t="n">
        <x:v>61</x:v>
      </x:c>
      <x:c r="Z18" s="26" t="n">
        <x:v>0</x:v>
      </x:c>
      <x:c r="AA18" s="26" t="n">
        <x:v>61</x:v>
      </x:c>
      <x:c r="AB18" s="38" t="n">
        <x:v>0</x:v>
      </x:c>
      <x:c r="AC18" s="26" t="str">
        <x:v>Committed / Not Delivered</x:v>
      </x:c>
      <x:c r="AD18" s="26" t="str">
        <x:v>Approval not recorded in response</x:v>
      </x:c>
      <x:c r="AE18" s="27" t="b">
        <x:v>1</x:v>
      </x:c>
      <x:c r="AF18" s="34" t="n">
        <x:v>46220.017233796294</x:v>
      </x:c>
      <x:c r="AG18" s="34"/>
      <x:c r="AH18" s="26" t="str">
        <x:v>Fully enriched from attached Mulugu project JSON</x:v>
      </x:c>
      <x:c r="AI18" s="26" t="str"/>
      <x:c r="AJ18" s="26" t="str">
        <x:v>Not Started</x:v>
      </x:c>
      <x:c r="AK18" s="26" t="str"/>
      <x:c r="AL18" s="26" t="str"/>
    </x:row>
    <x:row r="19">
      <x:c r="A19" s="26" t="n">
        <x:v>16</x:v>
      </x:c>
      <x:c r="B19" s="26" t="n">
        <x:v>275</x:v>
      </x:c>
      <x:c r="C19" s="26" t="str">
        <x:v>Mulugu</x:v>
      </x:c>
      <x:c r="D19" s="26" t="str">
        <x:v>Telangana</x:v>
      </x:c>
      <x:c r="E19" s="26" t="n">
        <x:v>10774</x:v>
      </x:c>
      <x:c r="F19" s="26" t="str">
        <x:v>PRJ-2026-0010774</x:v>
      </x:c>
      <x:c r="G19" s="26" t="str">
        <x:v>AWC Chinnagunturupalli 2</x:v>
      </x:c>
      <x:c r="H19" s="26" t="str">
        <x:v>Mission Saksham Anganwadi &amp; POSHAN 2.0</x:v>
      </x:c>
      <x:c r="I19" s="32" t="n">
        <x:v>46164</x:v>
      </x:c>
      <x:c r="J19" s="32" t="n">
        <x:v>46348</x:v>
      </x:c>
      <x:c r="K19" s="32"/>
      <x:c r="L19" s="26" t="str">
        <x:v>Active: On/After 01-Aug-2026</x:v>
      </x:c>
      <x:c r="M19" s="26" t="str">
        <x:v>Medium</x:v>
      </x:c>
      <x:c r="N19" s="26" t="str">
        <x:v>ECCE Equipment=Minor; Educational Needs=Minor; Electrical Infrastructure=Medium; Health and Safety aids=Minor; Office Needs=Minor</x:v>
      </x:c>
      <x:c r="O19" s="26" t="n">
        <x:v>1</x:v>
      </x:c>
      <x:c r="P19" s="26" t="str">
        <x:v>Chinnagunturpalli -2 (36701020217)</x:v>
      </x:c>
      <x:c r="Q19" s="26" t="str">
        <x:v>36701020217</x:v>
      </x:c>
      <x:c r="R19" s="26" t="n">
        <x:v>27</x:v>
      </x:c>
      <x:c r="S19" s="36" t="n">
        <x:v>50000</x:v>
      </x:c>
      <x:c r="T19" s="26" t="str">
        <x:v>Water Filter	
Gas Stove&amp; Regulator						
Pressure Cooker	
Slides	
Kids Chairs	
Fans &amp; Lights	
Storage Bins	
Egg &amp; Milk Storge Racks	
Digital GMD</x:v>
      </x:c>
      <x:c r="U19" s="26" t="str">
        <x:v>Water Filter	
Gas Stove&amp; Regulator						
Pressure Cooker	
Slides	
Kids Chairs	
Fans &amp; Lights	
Storage Bins	
Egg &amp; Milk Storge Racks	
Digital GMD</x:v>
      </x:c>
      <x:c r="V19" s="27" t="b">
        <x:v>1</x:v>
      </x:c>
      <x:c r="W19" s="26" t="n">
        <x:v>7</x:v>
      </x:c>
      <x:c r="X19" s="26" t="n">
        <x:v>0</x:v>
      </x:c>
      <x:c r="Y19" s="26" t="n">
        <x:v>36</x:v>
      </x:c>
      <x:c r="Z19" s="26" t="n">
        <x:v>0</x:v>
      </x:c>
      <x:c r="AA19" s="26" t="n">
        <x:v>36</x:v>
      </x:c>
      <x:c r="AB19" s="38" t="n">
        <x:v>0</x:v>
      </x:c>
      <x:c r="AC19" s="26" t="str">
        <x:v>Committed / Not Delivered</x:v>
      </x:c>
      <x:c r="AD19" s="26" t="str">
        <x:v>Approval not recorded in response</x:v>
      </x:c>
      <x:c r="AE19" s="27" t="b">
        <x:v>1</x:v>
      </x:c>
      <x:c r="AF19" s="34" t="n">
        <x:v>46220.017222222225</x:v>
      </x:c>
      <x:c r="AG19" s="34"/>
      <x:c r="AH19" s="26" t="str">
        <x:v>Fully enriched from attached Mulugu project JSON</x:v>
      </x:c>
      <x:c r="AI19" s="26" t="str"/>
      <x:c r="AJ19" s="26" t="str">
        <x:v>Not Started</x:v>
      </x:c>
      <x:c r="AK19" s="26" t="str"/>
      <x:c r="AL19" s="26" t="str"/>
    </x:row>
    <x:row r="20">
      <x:c r="A20" s="26" t="n">
        <x:v>17</x:v>
      </x:c>
      <x:c r="B20" s="26" t="n">
        <x:v>276</x:v>
      </x:c>
      <x:c r="C20" s="26" t="str">
        <x:v>Mulugu</x:v>
      </x:c>
      <x:c r="D20" s="26" t="str">
        <x:v>Telangana</x:v>
      </x:c>
      <x:c r="E20" s="26" t="n">
        <x:v>10716</x:v>
      </x:c>
      <x:c r="F20" s="26" t="str">
        <x:v>PRJ-2026-0010716</x:v>
      </x:c>
      <x:c r="G20" s="26" t="str">
        <x:v>AWC Ramihnagarthanda</x:v>
      </x:c>
      <x:c r="H20" s="26" t="str">
        <x:v>Mission Saksham Anganwadi &amp; POSHAN 2.0</x:v>
      </x:c>
      <x:c r="I20" s="32" t="n">
        <x:v>46164</x:v>
      </x:c>
      <x:c r="J20" s="32" t="n">
        <x:v>46348</x:v>
      </x:c>
      <x:c r="K20" s="32"/>
      <x:c r="L20" s="26" t="str">
        <x:v>Active: On/After 01-Aug-2026</x:v>
      </x:c>
      <x:c r="M20" s="26" t="str">
        <x:v>Medium</x:v>
      </x:c>
      <x:c r="N20" s="26" t="str">
        <x:v>ECCE Equipment=Minor; Educational Needs=Minor; Electrical Infrastructure=Medium; Health and Safety aids=Minor; Office Needs=Minor</x:v>
      </x:c>
      <x:c r="O20" s="26" t="n">
        <x:v>1</x:v>
      </x:c>
      <x:c r="P20" s="26" t="str">
        <x:v>RAHIMNAGARTHANDA  (Mini) (36701020208)</x:v>
      </x:c>
      <x:c r="Q20" s="26" t="str">
        <x:v>36701020208</x:v>
      </x:c>
      <x:c r="R20" s="26" t="n">
        <x:v>24</x:v>
      </x:c>
      <x:c r="S20" s="36" t="n">
        <x:v>50000</x:v>
      </x:c>
      <x:c r="T20" s="26" t="str">
        <x:v>Water Filter	
Gas Stove&amp; Regulator						
Pressure Cooker	
Slides	
Kids Chairs	
Fans &amp; Lights	
Storage Bins	
Egg &amp; Milk Storge Racks	
Digital GMD</x:v>
      </x:c>
      <x:c r="U20" s="26" t="str">
        <x:v>Water Filter	
Gas Stove&amp; Regulator						
Pressure Cooker	
Slides	
Kids Chairs	
Fans &amp; Lights	
Storage Bins	
Egg &amp; Milk Storge Racks	
Digital GMD</x:v>
      </x:c>
      <x:c r="V20" s="27" t="b">
        <x:v>1</x:v>
      </x:c>
      <x:c r="W20" s="26" t="n">
        <x:v>7</x:v>
      </x:c>
      <x:c r="X20" s="26" t="n">
        <x:v>0</x:v>
      </x:c>
      <x:c r="Y20" s="26" t="n">
        <x:v>37</x:v>
      </x:c>
      <x:c r="Z20" s="26" t="n">
        <x:v>0</x:v>
      </x:c>
      <x:c r="AA20" s="26" t="n">
        <x:v>37</x:v>
      </x:c>
      <x:c r="AB20" s="38" t="n">
        <x:v>0</x:v>
      </x:c>
      <x:c r="AC20" s="26" t="str">
        <x:v>Committed / Not Delivered</x:v>
      </x:c>
      <x:c r="AD20" s="26" t="str">
        <x:v>Approval not recorded in response</x:v>
      </x:c>
      <x:c r="AE20" s="27" t="b">
        <x:v>1</x:v>
      </x:c>
      <x:c r="AF20" s="34" t="n">
        <x:v>46220.017222222225</x:v>
      </x:c>
      <x:c r="AG20" s="34"/>
      <x:c r="AH20" s="26" t="str">
        <x:v>Fully enriched from attached Mulugu project JSON</x:v>
      </x:c>
      <x:c r="AI20" s="26" t="str"/>
      <x:c r="AJ20" s="26" t="str">
        <x:v>Not Started</x:v>
      </x:c>
      <x:c r="AK20" s="26" t="str"/>
      <x:c r="AL20" s="26" t="str"/>
    </x:row>
    <x:row r="21">
      <x:c r="A21" s="26" t="n">
        <x:v>18</x:v>
      </x:c>
      <x:c r="B21" s="26" t="n">
        <x:v>273</x:v>
      </x:c>
      <x:c r="C21" s="26" t="str">
        <x:v>Mulugu</x:v>
      </x:c>
      <x:c r="D21" s="26" t="str">
        <x:v>Telangana</x:v>
      </x:c>
      <x:c r="E21" s="26" t="n">
        <x:v>11291</x:v>
      </x:c>
      <x:c r="F21" s="26" t="str">
        <x:v>PRJ-2026-0011291</x:v>
      </x:c>
      <x:c r="G21" s="26" t="str">
        <x:v>AWC Narsingapur</x:v>
      </x:c>
      <x:c r="H21" s="26" t="str">
        <x:v>Mission Saksham Anganwadi &amp; POSHAN 2.0</x:v>
      </x:c>
      <x:c r="I21" s="32" t="n">
        <x:v>46164</x:v>
      </x:c>
      <x:c r="J21" s="32" t="n">
        <x:v>46348</x:v>
      </x:c>
      <x:c r="K21" s="32"/>
      <x:c r="L21" s="26" t="str">
        <x:v>Active: On/After 01-Aug-2026</x:v>
      </x:c>
      <x:c r="M21" s="26" t="str">
        <x:v>Medium</x:v>
      </x:c>
      <x:c r="N21" s="26" t="str">
        <x:v>ECCE Equipment=Minor; Educational Needs=Minor; Electrical Infrastructure=Medium; Health and Safety aids=Minor; Office Needs=Minor</x:v>
      </x:c>
      <x:c r="O21" s="26" t="n">
        <x:v>1</x:v>
      </x:c>
      <x:c r="P21" s="26" t="str">
        <x:v>Narsingapur (36701020614)</x:v>
      </x:c>
      <x:c r="Q21" s="26" t="str">
        <x:v>36701020614</x:v>
      </x:c>
      <x:c r="R21" s="26" t="n">
        <x:v>49</x:v>
      </x:c>
      <x:c r="S21" s="36" t="n">
        <x:v>50000</x:v>
      </x:c>
      <x:c r="T21" s="26" t="str">
        <x:v>Water Filter	
Gas Stove&amp; Regulator
Pressure Cooker	
Slides	
Kids Chairs	
Fans &amp; Lights	
Storage Bins	
Egg &amp; Milk Storge Racks	
Digital GMD
</x:v>
      </x:c>
      <x:c r="U21" s="26" t="str">
        <x:v>Water Filter	
Gas Stove&amp; Regulator
Pressure Cooker	
Slides	
Kids Chairs	
Fans &amp; Lights	
Storage Bins	
Egg &amp; Milk Storge Racks	
Digital GMD
</x:v>
      </x:c>
      <x:c r="V21" s="27" t="b">
        <x:v>1</x:v>
      </x:c>
      <x:c r="W21" s="26" t="n">
        <x:v>7</x:v>
      </x:c>
      <x:c r="X21" s="26" t="n">
        <x:v>0</x:v>
      </x:c>
      <x:c r="Y21" s="26" t="n">
        <x:v>37</x:v>
      </x:c>
      <x:c r="Z21" s="26" t="n">
        <x:v>0</x:v>
      </x:c>
      <x:c r="AA21" s="26" t="n">
        <x:v>37</x:v>
      </x:c>
      <x:c r="AB21" s="38" t="n">
        <x:v>0</x:v>
      </x:c>
      <x:c r="AC21" s="26" t="str">
        <x:v>Committed / Not Delivered</x:v>
      </x:c>
      <x:c r="AD21" s="26" t="str">
        <x:v>Approval not recorded in response</x:v>
      </x:c>
      <x:c r="AE21" s="27" t="b">
        <x:v>1</x:v>
      </x:c>
      <x:c r="AF21" s="34" t="n">
        <x:v>46220.01721064815</x:v>
      </x:c>
      <x:c r="AG21" s="34"/>
      <x:c r="AH21" s="26" t="str">
        <x:v>Fully enriched from attached Mulugu project JSON</x:v>
      </x:c>
      <x:c r="AI21" s="26" t="str"/>
      <x:c r="AJ21" s="26" t="str">
        <x:v>Not Started</x:v>
      </x:c>
      <x:c r="AK21" s="26" t="str"/>
      <x:c r="AL21" s="26" t="str"/>
    </x:row>
    <x:row r="22">
      <x:c r="A22" s="26" t="n">
        <x:v>19</x:v>
      </x:c>
      <x:c r="B22" s="26" t="n">
        <x:v>274</x:v>
      </x:c>
      <x:c r="C22" s="26" t="str">
        <x:v>Mulugu</x:v>
      </x:c>
      <x:c r="D22" s="26" t="str">
        <x:v>Telangana</x:v>
      </x:c>
      <x:c r="E22" s="26" t="n">
        <x:v>10963</x:v>
      </x:c>
      <x:c r="F22" s="26" t="str">
        <x:v>PRJ-2026-0010963</x:v>
      </x:c>
      <x:c r="G22" s="26" t="str">
        <x:v>AWC Andugulamani</x:v>
      </x:c>
      <x:c r="H22" s="26" t="str">
        <x:v>Mission Saksham Anganwadi &amp; POSHAN 2.0</x:v>
      </x:c>
      <x:c r="I22" s="32" t="n">
        <x:v>46164</x:v>
      </x:c>
      <x:c r="J22" s="32" t="n">
        <x:v>46348</x:v>
      </x:c>
      <x:c r="K22" s="32"/>
      <x:c r="L22" s="26" t="str">
        <x:v>Active: On/After 01-Aug-2026</x:v>
      </x:c>
      <x:c r="M22" s="26" t="str">
        <x:v>Medium</x:v>
      </x:c>
      <x:c r="N22" s="26" t="str">
        <x:v>ECCE Equipment=Minor; Educational Needs=Minor; Electrical Infrastructure=Medium; Health and Safety aids=Minor; Office Needs=Minor</x:v>
      </x:c>
      <x:c r="O22" s="26" t="n">
        <x:v>1</x:v>
      </x:c>
      <x:c r="P22" s="26" t="str">
        <x:v>Andugulamani (36701020625)</x:v>
      </x:c>
      <x:c r="Q22" s="26" t="str">
        <x:v>36701020625</x:v>
      </x:c>
      <x:c r="R22" s="26" t="n">
        <x:v>51</x:v>
      </x:c>
      <x:c r="S22" s="36" t="n">
        <x:v>50000</x:v>
      </x:c>
      <x:c r="T22" s="26" t="str">
        <x:v>Water Filter	
Gas Stove&amp; Regulator
Pressure Cooker	
Slides	
Kids Chairs	
Fans &amp; Lights	
Storage Bins	
Egg &amp; Milk Storge Racks	
Digital GMD
</x:v>
      </x:c>
      <x:c r="U22" s="26" t="str">
        <x:v>Water Filter	
Gas Stove&amp; Regulator
Pressure Cooker	
Slides	
Kids Chairs	
Fans &amp; Lights	
Storage Bins	
Egg &amp; Milk Storge Racks	
Digital GMD
</x:v>
      </x:c>
      <x:c r="V22" s="27" t="b">
        <x:v>1</x:v>
      </x:c>
      <x:c r="W22" s="26" t="n">
        <x:v>8</x:v>
      </x:c>
      <x:c r="X22" s="26" t="n">
        <x:v>0</x:v>
      </x:c>
      <x:c r="Y22" s="26" t="n">
        <x:v>38</x:v>
      </x:c>
      <x:c r="Z22" s="26" t="n">
        <x:v>0</x:v>
      </x:c>
      <x:c r="AA22" s="26" t="n">
        <x:v>38</x:v>
      </x:c>
      <x:c r="AB22" s="38" t="n">
        <x:v>0</x:v>
      </x:c>
      <x:c r="AC22" s="26" t="str">
        <x:v>Committed / Not Delivered</x:v>
      </x:c>
      <x:c r="AD22" s="26" t="str">
        <x:v>Approval not recorded in response</x:v>
      </x:c>
      <x:c r="AE22" s="27" t="b">
        <x:v>1</x:v>
      </x:c>
      <x:c r="AF22" s="34" t="n">
        <x:v>46220.01721064815</x:v>
      </x:c>
      <x:c r="AG22" s="34"/>
      <x:c r="AH22" s="26" t="str">
        <x:v>Fully enriched from attached Mulugu project JSON</x:v>
      </x:c>
      <x:c r="AI22" s="26" t="str"/>
      <x:c r="AJ22" s="26" t="str">
        <x:v>Not Started</x:v>
      </x:c>
      <x:c r="AK22" s="26" t="str"/>
      <x:c r="AL22" s="26" t="str"/>
    </x:row>
    <x:row r="23">
      <x:c r="A23" s="26" t="n">
        <x:v>20</x:v>
      </x:c>
      <x:c r="B23" s="26" t="n">
        <x:v>271</x:v>
      </x:c>
      <x:c r="C23" s="26" t="str">
        <x:v>Mulugu</x:v>
      </x:c>
      <x:c r="D23" s="26" t="str">
        <x:v>Telangana</x:v>
      </x:c>
      <x:c r="E23" s="26" t="n">
        <x:v>11328</x:v>
      </x:c>
      <x:c r="F23" s="26" t="str">
        <x:v>PRJ-2026-0011328</x:v>
      </x:c>
      <x:c r="G23" s="26" t="str">
        <x:v>AWC Lingapur</x:v>
      </x:c>
      <x:c r="H23" s="26" t="str">
        <x:v>Mission Saksham Anganwadi &amp; POSHAN 2.0</x:v>
      </x:c>
      <x:c r="I23" s="32" t="n">
        <x:v>46164</x:v>
      </x:c>
      <x:c r="J23" s="32" t="n">
        <x:v>46348</x:v>
      </x:c>
      <x:c r="K23" s="32"/>
      <x:c r="L23" s="26" t="str">
        <x:v>Active: On/After 01-Aug-2026</x:v>
      </x:c>
      <x:c r="M23" s="26" t="str">
        <x:v>Medium</x:v>
      </x:c>
      <x:c r="N23" s="26" t="str">
        <x:v>ECCE Equipment=Minor; Educational Needs=Minor; Electrical Infrastructure=Medium; Health and Safety aids=Minor; Office Needs=Minor</x:v>
      </x:c>
      <x:c r="O23" s="26" t="n">
        <x:v>1</x:v>
      </x:c>
      <x:c r="P23" s="26" t="str">
        <x:v>Lingapur (36701020618)</x:v>
      </x:c>
      <x:c r="Q23" s="26" t="str">
        <x:v>36701020618</x:v>
      </x:c>
      <x:c r="R23" s="26" t="n">
        <x:v>35</x:v>
      </x:c>
      <x:c r="S23" s="36" t="n">
        <x:v>50000</x:v>
      </x:c>
      <x:c r="T23" s="26" t="str">
        <x:v>Water Filter	
Gas Stove&amp; Regulator
Pressure Cooker	
Slides	
Kids Chairs	
Fans &amp; Lights	
Storage Bins	
Egg &amp; Milk Storge Racks	
Digital GMD
</x:v>
      </x:c>
      <x:c r="U23" s="26" t="str">
        <x:v>Water Filter	
Gas Stove&amp; Regulator
Pressure Cooker	
Slides	
Kids Chairs	
Fans &amp; Lights	
Storage Bins	
Egg &amp; Milk Storge Racks	
Digital GMD
</x:v>
      </x:c>
      <x:c r="V23" s="27" t="b">
        <x:v>1</x:v>
      </x:c>
      <x:c r="W23" s="26" t="n">
        <x:v>7</x:v>
      </x:c>
      <x:c r="X23" s="26" t="n">
        <x:v>0</x:v>
      </x:c>
      <x:c r="Y23" s="26" t="n">
        <x:v>37</x:v>
      </x:c>
      <x:c r="Z23" s="26" t="n">
        <x:v>0</x:v>
      </x:c>
      <x:c r="AA23" s="26" t="n">
        <x:v>37</x:v>
      </x:c>
      <x:c r="AB23" s="38" t="n">
        <x:v>0</x:v>
      </x:c>
      <x:c r="AC23" s="26" t="str">
        <x:v>Committed / Not Delivered</x:v>
      </x:c>
      <x:c r="AD23" s="26" t="str">
        <x:v>Approval not recorded in response</x:v>
      </x:c>
      <x:c r="AE23" s="27" t="b">
        <x:v>1</x:v>
      </x:c>
      <x:c r="AF23" s="34" t="n">
        <x:v>46220.01719907407</x:v>
      </x:c>
      <x:c r="AG23" s="34"/>
      <x:c r="AH23" s="26" t="str">
        <x:v>Fully enriched from attached Mulugu project JSON</x:v>
      </x:c>
      <x:c r="AI23" s="26" t="str"/>
      <x:c r="AJ23" s="26" t="str">
        <x:v>Not Started</x:v>
      </x:c>
      <x:c r="AK23" s="26" t="str"/>
      <x:c r="AL23" s="26" t="str"/>
    </x:row>
    <x:row r="24">
      <x:c r="A24" s="26" t="n">
        <x:v>21</x:v>
      </x:c>
      <x:c r="B24" s="26" t="n">
        <x:v>272</x:v>
      </x:c>
      <x:c r="C24" s="26" t="str">
        <x:v>Mulugu</x:v>
      </x:c>
      <x:c r="D24" s="26" t="str">
        <x:v>Telangana</x:v>
      </x:c>
      <x:c r="E24" s="26" t="n">
        <x:v>11378</x:v>
      </x:c>
      <x:c r="F24" s="26" t="str">
        <x:v>PRJ-2026-0011378</x:v>
      </x:c>
      <x:c r="G24" s="26" t="str">
        <x:v>Muppanapally-I.</x:v>
      </x:c>
      <x:c r="H24" s="26" t="str">
        <x:v>Mission Saksham Anganwadi &amp; POSHAN 2.0</x:v>
      </x:c>
      <x:c r="I24" s="32" t="n">
        <x:v>46164</x:v>
      </x:c>
      <x:c r="J24" s="32" t="n">
        <x:v>46347</x:v>
      </x:c>
      <x:c r="K24" s="32"/>
      <x:c r="L24" s="26" t="str">
        <x:v>Active: On/After 01-Aug-2026</x:v>
      </x:c>
      <x:c r="M24" s="26" t="str">
        <x:v>Medium</x:v>
      </x:c>
      <x:c r="N24" s="26" t="str">
        <x:v>ECCE Equipment=Minor; Educational Needs=Minor; Electrical Infrastructure=Medium; Health and Safety aids=Minor</x:v>
      </x:c>
      <x:c r="O24" s="26" t="n">
        <x:v>1</x:v>
      </x:c>
      <x:c r="P24" s="26" t="str">
        <x:v>Muppanapally - I (36701010509)</x:v>
      </x:c>
      <x:c r="Q24" s="26" t="str">
        <x:v>36701010509</x:v>
      </x:c>
      <x:c r="R24" s="26" t="n">
        <x:v>16</x:v>
      </x:c>
      <x:c r="S24" s="36" t="n">
        <x:v>50000</x:v>
      </x:c>
      <x:c r="T24" s="26" t="str">
        <x:v>Gas double burners and regulators, Milk storage bins, Fans, Digital CMD, Baby Scales</x:v>
      </x:c>
      <x:c r="U24" s="26" t="str">
        <x:v>Improved hygiene, child-friendly environment, enhanced early childhood learning, safe drinking water access, better nutrition awareness and improved attendance of children at Anganwadi Centres</x:v>
      </x:c>
      <x:c r="V24" s="27" t="b">
        <x:v>1</x:v>
      </x:c>
      <x:c r="W24" s="26" t="n">
        <x:v>6</x:v>
      </x:c>
      <x:c r="X24" s="26" t="n">
        <x:v>0</x:v>
      </x:c>
      <x:c r="Y24" s="26" t="n">
        <x:v>53</x:v>
      </x:c>
      <x:c r="Z24" s="26" t="n">
        <x:v>0</x:v>
      </x:c>
      <x:c r="AA24" s="26" t="n">
        <x:v>53</x:v>
      </x:c>
      <x:c r="AB24" s="38" t="n">
        <x:v>0</x:v>
      </x:c>
      <x:c r="AC24" s="26" t="str">
        <x:v>Committed / Not Delivered</x:v>
      </x:c>
      <x:c r="AD24" s="26" t="str">
        <x:v>Approval not recorded in response</x:v>
      </x:c>
      <x:c r="AE24" s="27" t="b">
        <x:v>1</x:v>
      </x:c>
      <x:c r="AF24" s="34" t="n">
        <x:v>46220.01719907407</x:v>
      </x:c>
      <x:c r="AG24" s="34"/>
      <x:c r="AH24" s="26" t="str">
        <x:v>Fully enriched from attached Mulugu project JSON</x:v>
      </x:c>
      <x:c r="AI24" s="26" t="str"/>
      <x:c r="AJ24" s="26" t="str">
        <x:v>Not Started</x:v>
      </x:c>
      <x:c r="AK24" s="26" t="str"/>
      <x:c r="AL24" s="26" t="str"/>
    </x:row>
    <x:row r="25">
      <x:c r="A25" s="26" t="n">
        <x:v>22</x:v>
      </x:c>
      <x:c r="B25" s="26" t="n">
        <x:v>269</x:v>
      </x:c>
      <x:c r="C25" s="26" t="str">
        <x:v>Mulugu</x:v>
      </x:c>
      <x:c r="D25" s="26" t="str">
        <x:v>Telangana</x:v>
      </x:c>
      <x:c r="E25" s="26" t="n">
        <x:v>11743</x:v>
      </x:c>
      <x:c r="F25" s="26" t="str">
        <x:v>PRJ-2026-0011743</x:v>
      </x:c>
      <x:c r="G25" s="26" t="str">
        <x:v>AWC Thimmapur I</x:v>
      </x:c>
      <x:c r="H25" s="26" t="str">
        <x:v>Mission Saksham Anganwadi &amp; POSHAN 2.0</x:v>
      </x:c>
      <x:c r="I25" s="32" t="n">
        <x:v>46164</x:v>
      </x:c>
      <x:c r="J25" s="32" t="n">
        <x:v>46348</x:v>
      </x:c>
      <x:c r="K25" s="32"/>
      <x:c r="L25" s="26" t="str">
        <x:v>Active: On/After 01-Aug-2026</x:v>
      </x:c>
      <x:c r="M25" s="26" t="str">
        <x:v>Medium</x:v>
      </x:c>
      <x:c r="N25" s="26" t="str">
        <x:v>ECCE Equipment=Minor; Educational Needs=Minor; Electrical Infrastructure=Medium; Health and Safety aids=Minor; Office Needs=Minor</x:v>
      </x:c>
      <x:c r="O25" s="26" t="n">
        <x:v>1</x:v>
      </x:c>
      <x:c r="P25" s="26" t="str">
        <x:v>Thimmapur-1 (36701020608)</x:v>
      </x:c>
      <x:c r="Q25" s="26" t="str">
        <x:v>36701020608</x:v>
      </x:c>
      <x:c r="R25" s="26" t="n">
        <x:v>26</x:v>
      </x:c>
      <x:c r="S25" s="36" t="n">
        <x:v>50000</x:v>
      </x:c>
      <x:c r="T25" s="26" t="str">
        <x:v>Water Filter	
Gas Stove&amp; Regulator
Pressure Cooker	
Slides	
Kids Chairs	
Fans &amp; Lights	
Storage Bins	
Egg &amp; Milk Storge Racks	
Digital GMD
</x:v>
      </x:c>
      <x:c r="U25" s="26" t="str">
        <x:v>Water Filter	
Gas Stove&amp; Regulator
Pressure Cooker	
Slides	
Kids Chairs	
Fans &amp; Lights	
Storage Bins	
Egg &amp; Milk Storge Racks	
Digital GMD
</x:v>
      </x:c>
      <x:c r="V25" s="27" t="b">
        <x:v>1</x:v>
      </x:c>
      <x:c r="W25" s="26" t="n">
        <x:v>7</x:v>
      </x:c>
      <x:c r="X25" s="26" t="n">
        <x:v>0</x:v>
      </x:c>
      <x:c r="Y25" s="26" t="n">
        <x:v>36</x:v>
      </x:c>
      <x:c r="Z25" s="26" t="n">
        <x:v>0</x:v>
      </x:c>
      <x:c r="AA25" s="26" t="n">
        <x:v>36</x:v>
      </x:c>
      <x:c r="AB25" s="38" t="n">
        <x:v>0</x:v>
      </x:c>
      <x:c r="AC25" s="26" t="str">
        <x:v>Committed / Not Delivered</x:v>
      </x:c>
      <x:c r="AD25" s="26" t="str">
        <x:v>Approval not recorded in response</x:v>
      </x:c>
      <x:c r="AE25" s="27" t="b">
        <x:v>1</x:v>
      </x:c>
      <x:c r="AF25" s="34" t="n">
        <x:v>46220.0171875</x:v>
      </x:c>
      <x:c r="AG25" s="34"/>
      <x:c r="AH25" s="26" t="str">
        <x:v>Fully enriched from attached Mulugu project JSON</x:v>
      </x:c>
      <x:c r="AI25" s="26" t="str"/>
      <x:c r="AJ25" s="26" t="str">
        <x:v>Not Started</x:v>
      </x:c>
      <x:c r="AK25" s="26" t="str"/>
      <x:c r="AL25" s="26" t="str"/>
    </x:row>
    <x:row r="26">
      <x:c r="A26" s="26" t="n">
        <x:v>23</x:v>
      </x:c>
      <x:c r="B26" s="26" t="n">
        <x:v>270</x:v>
      </x:c>
      <x:c r="C26" s="26" t="str">
        <x:v>Mulugu</x:v>
      </x:c>
      <x:c r="D26" s="26" t="str">
        <x:v>Telangana</x:v>
      </x:c>
      <x:c r="E26" s="26" t="n">
        <x:v>11421</x:v>
      </x:c>
      <x:c r="F26" s="26" t="str">
        <x:v>PRJ-2026-0011421</x:v>
      </x:c>
      <x:c r="G26" s="26" t="str">
        <x:v>AWC YellareddyPalli</x:v>
      </x:c>
      <x:c r="H26" s="26" t="str">
        <x:v>Mission Saksham Anganwadi &amp; POSHAN 2.0</x:v>
      </x:c>
      <x:c r="I26" s="32" t="n">
        <x:v>46164</x:v>
      </x:c>
      <x:c r="J26" s="32" t="n">
        <x:v>46348</x:v>
      </x:c>
      <x:c r="K26" s="32"/>
      <x:c r="L26" s="26" t="str">
        <x:v>Active: On/After 01-Aug-2026</x:v>
      </x:c>
      <x:c r="M26" s="26" t="str">
        <x:v>Medium</x:v>
      </x:c>
      <x:c r="N26" s="26" t="str">
        <x:v>ECCE Equipment=Minor; Educational Needs=Minor; Electrical Infrastructure=Medium; Health and Safety aids=Minor; Office Needs=Minor</x:v>
      </x:c>
      <x:c r="O26" s="26" t="n">
        <x:v>1</x:v>
      </x:c>
      <x:c r="P26" s="26" t="str">
        <x:v>Yellareddypalli (36701020601)</x:v>
      </x:c>
      <x:c r="Q26" s="26" t="str">
        <x:v>36701020601</x:v>
      </x:c>
      <x:c r="R26" s="26" t="n">
        <x:v>50</x:v>
      </x:c>
      <x:c r="S26" s="36" t="n">
        <x:v>50000</x:v>
      </x:c>
      <x:c r="T26" s="26" t="str">
        <x:v>Water Filter	
Gas Stove&amp; Regulator
Pressure Cooker	
Slides	
Kids Chairs	
Fans &amp; Lights	
Storage Bins	
Egg &amp; Milk Storge Racks	
Digital GMD
</x:v>
      </x:c>
      <x:c r="U26" s="26" t="str">
        <x:v>Water Filter	
Gas Stove&amp; Regulator
Pressure Cooker	
Slides	
Kids Chairs	
Fans &amp; Lights	
Storage Bins	
Egg &amp; Milk Storge Racks	
Digital GMD
</x:v>
      </x:c>
      <x:c r="V26" s="27" t="b">
        <x:v>1</x:v>
      </x:c>
      <x:c r="W26" s="26" t="n">
        <x:v>7</x:v>
      </x:c>
      <x:c r="X26" s="26" t="n">
        <x:v>0</x:v>
      </x:c>
      <x:c r="Y26" s="26" t="n">
        <x:v>36</x:v>
      </x:c>
      <x:c r="Z26" s="26" t="n">
        <x:v>0</x:v>
      </x:c>
      <x:c r="AA26" s="26" t="n">
        <x:v>36</x:v>
      </x:c>
      <x:c r="AB26" s="38" t="n">
        <x:v>0</x:v>
      </x:c>
      <x:c r="AC26" s="26" t="str">
        <x:v>Committed / Not Delivered</x:v>
      </x:c>
      <x:c r="AD26" s="26" t="str">
        <x:v>Approval not recorded in response</x:v>
      </x:c>
      <x:c r="AE26" s="27" t="b">
        <x:v>1</x:v>
      </x:c>
      <x:c r="AF26" s="34" t="n">
        <x:v>46220.0171875</x:v>
      </x:c>
      <x:c r="AG26" s="34"/>
      <x:c r="AH26" s="26" t="str">
        <x:v>Fully enriched from attached Mulugu project JSON</x:v>
      </x:c>
      <x:c r="AI26" s="26" t="str"/>
      <x:c r="AJ26" s="26" t="str">
        <x:v>Not Started</x:v>
      </x:c>
      <x:c r="AK26" s="26" t="str"/>
      <x:c r="AL26" s="26" t="str"/>
    </x:row>
    <x:row r="27">
      <x:c r="A27" s="26" t="n">
        <x:v>24</x:v>
      </x:c>
      <x:c r="B27" s="26" t="n">
        <x:v>268</x:v>
      </x:c>
      <x:c r="C27" s="26" t="str">
        <x:v>Mulugu</x:v>
      </x:c>
      <x:c r="D27" s="26" t="str">
        <x:v>Telangana</x:v>
      </x:c>
      <x:c r="E27" s="26" t="n">
        <x:v>11841</x:v>
      </x:c>
      <x:c r="F27" s="26" t="str">
        <x:v>PRJ-2026-0011841</x:v>
      </x:c>
      <x:c r="G27" s="26" t="str">
        <x:v>AWC  Lambadipally</x:v>
      </x:c>
      <x:c r="H27" s="26" t="str">
        <x:v>Mission Saksham Anganwadi &amp; POSHAN 2.0</x:v>
      </x:c>
      <x:c r="I27" s="32" t="n">
        <x:v>46164</x:v>
      </x:c>
      <x:c r="J27" s="32" t="n">
        <x:v>46348</x:v>
      </x:c>
      <x:c r="K27" s="32"/>
      <x:c r="L27" s="26" t="str">
        <x:v>Active: On/After 01-Aug-2026</x:v>
      </x:c>
      <x:c r="M27" s="26" t="str">
        <x:v>Medium</x:v>
      </x:c>
      <x:c r="N27" s="26" t="str">
        <x:v>ECCE Equipment=Minor; Electrical Infrastructure=Medium; Health and Safety aids=Minor; Office Needs=Minor</x:v>
      </x:c>
      <x:c r="O27" s="26" t="n">
        <x:v>1</x:v>
      </x:c>
      <x:c r="P27" s="26" t="str">
        <x:v>Lambadpally (36701020620)</x:v>
      </x:c>
      <x:c r="Q27" s="26" t="str">
        <x:v>36701020620</x:v>
      </x:c>
      <x:c r="R27" s="26" t="n">
        <x:v>48</x:v>
      </x:c>
      <x:c r="S27" s="36" t="n">
        <x:v>50000</x:v>
      </x:c>
      <x:c r="T27" s="26" t="str">
        <x:v>Water Filter	
Gas Stove&amp; Regulator
Pressure Cooker	
Slides	
Kids Chairs	
Fans &amp; Lights	
Storage Bins	
Egg &amp; Milk Storge Racks	
Digital GMD
</x:v>
      </x:c>
      <x:c r="U27" s="26" t="str">
        <x:v>Water Filter	
Gas Stove&amp; Regulator
Pressure Cooker	
Slides	
Kids Chairs	
Fans &amp; Lights	
Storage Bins	
Egg &amp; Milk Storge Racks	
Digital GMD
</x:v>
      </x:c>
      <x:c r="V27" s="27" t="b">
        <x:v>1</x:v>
      </x:c>
      <x:c r="W27" s="26" t="n">
        <x:v>6</x:v>
      </x:c>
      <x:c r="X27" s="26" t="n">
        <x:v>0</x:v>
      </x:c>
      <x:c r="Y27" s="26" t="n">
        <x:v>27</x:v>
      </x:c>
      <x:c r="Z27" s="26" t="n">
        <x:v>0</x:v>
      </x:c>
      <x:c r="AA27" s="26" t="n">
        <x:v>27</x:v>
      </x:c>
      <x:c r="AB27" s="38" t="n">
        <x:v>0</x:v>
      </x:c>
      <x:c r="AC27" s="26" t="str">
        <x:v>Committed / Not Delivered</x:v>
      </x:c>
      <x:c r="AD27" s="26" t="str">
        <x:v>Approval not recorded in response</x:v>
      </x:c>
      <x:c r="AE27" s="27" t="b">
        <x:v>1</x:v>
      </x:c>
      <x:c r="AF27" s="34" t="n">
        <x:v>46220.017175925925</x:v>
      </x:c>
      <x:c r="AG27" s="34"/>
      <x:c r="AH27" s="26" t="str">
        <x:v>Fully enriched from attached Mulugu project JSON</x:v>
      </x:c>
      <x:c r="AI27" s="26" t="str"/>
      <x:c r="AJ27" s="26" t="str">
        <x:v>Not Started</x:v>
      </x:c>
      <x:c r="AK27" s="26" t="str"/>
      <x:c r="AL27" s="26" t="str"/>
    </x:row>
    <x:row r="28">
      <x:c r="A28" s="26" t="n">
        <x:v>25</x:v>
      </x:c>
      <x:c r="B28" s="26" t="n">
        <x:v>266</x:v>
      </x:c>
      <x:c r="C28" s="26" t="str">
        <x:v>Mulugu</x:v>
      </x:c>
      <x:c r="D28" s="26" t="str">
        <x:v>Telangana</x:v>
      </x:c>
      <x:c r="E28" s="26" t="n">
        <x:v>13054</x:v>
      </x:c>
      <x:c r="F28" s="26" t="str">
        <x:v>PRJ-2026-0013054</x:v>
      </x:c>
      <x:c r="G28" s="26" t="str">
        <x:v>AWC Infrastructure</x:v>
      </x:c>
      <x:c r="H28" s="26" t="str">
        <x:v>Mission Saksham Anganwadi &amp; POSHAN 2.0</x:v>
      </x:c>
      <x:c r="I28" s="32" t="n">
        <x:v>46165</x:v>
      </x:c>
      <x:c r="J28" s="32" t="n">
        <x:v>46349</x:v>
      </x:c>
      <x:c r="K28" s="32"/>
      <x:c r="L28" s="26" t="str">
        <x:v>Active: On/After 01-Aug-2026</x:v>
      </x:c>
      <x:c r="M28" s="26" t="str">
        <x:v>Medium</x:v>
      </x:c>
      <x:c r="N28" s="26" t="str">
        <x:v>Digital Infrastructure=Medium; Health and Safety aids=Minor</x:v>
      </x:c>
      <x:c r="O28" s="26" t="n">
        <x:v>1</x:v>
      </x:c>
      <x:c r="P28" s="26" t="str">
        <x:v>Churchipeta (Mini) (36701040619)</x:v>
      </x:c>
      <x:c r="Q28" s="26" t="str">
        <x:v>36701040619</x:v>
      </x:c>
      <x:c r="R28" s="26" t="n">
        <x:v>21</x:v>
      </x:c>
      <x:c r="S28" s="36" t="n">
        <x:v>50000</x:v>
      </x:c>
      <x:c r="T28" s="26" t="str">
        <x:v>Gas stove, regulator 	Water Filter			Digital GMD	Rain Water Harvesting System	Poshan Vatika
</x:v>
      </x:c>
      <x:c r="U28" s="26" t="str">
        <x:v>Gas stove, regulator 	Water Filter			Digital GMD	Rain Water Harvesting System	Poshan Vatika
</x:v>
      </x:c>
      <x:c r="V28" s="27" t="b">
        <x:v>0</x:v>
      </x:c>
      <x:c r="W28" s="26" t="n">
        <x:v>2</x:v>
      </x:c>
      <x:c r="X28" s="26" t="n">
        <x:v>0</x:v>
      </x:c>
      <x:c r="Y28" s="26" t="n">
        <x:v>2</x:v>
      </x:c>
      <x:c r="Z28" s="26" t="n">
        <x:v>0</x:v>
      </x:c>
      <x:c r="AA28" s="26" t="n">
        <x:v>2</x:v>
      </x:c>
      <x:c r="AB28" s="38" t="n">
        <x:v>0</x:v>
      </x:c>
      <x:c r="AC28" s="26" t="str">
        <x:v>Committed / Not Delivered</x:v>
      </x:c>
      <x:c r="AD28" s="26" t="str">
        <x:v>Approval not recorded in response</x:v>
      </x:c>
      <x:c r="AE28" s="27" t="b">
        <x:v>1</x:v>
      </x:c>
      <x:c r="AF28" s="34" t="n">
        <x:v>46220.017164351855</x:v>
      </x:c>
      <x:c r="AG28" s="34"/>
      <x:c r="AH28" s="26" t="str">
        <x:v>Fully enriched from attached Mulugu project JSON</x:v>
      </x:c>
      <x:c r="AI28" s="26" t="str"/>
      <x:c r="AJ28" s="26" t="str">
        <x:v>Not Started</x:v>
      </x:c>
      <x:c r="AK28" s="26" t="str"/>
      <x:c r="AL28" s="26" t="str"/>
    </x:row>
    <x:row r="29">
      <x:c r="A29" s="26" t="n">
        <x:v>29</x:v>
      </x:c>
      <x:c r="B29" s="26" t="n">
        <x:v>263</x:v>
      </x:c>
      <x:c r="C29" s="26" t="str">
        <x:v>Mulugu</x:v>
      </x:c>
      <x:c r="D29" s="26" t="str">
        <x:v>Telangana</x:v>
      </x:c>
      <x:c r="E29" s="26" t="n">
        <x:v>13084</x:v>
      </x:c>
      <x:c r="F29" s="26" t="str">
        <x:v>PRJ-2026-0013084</x:v>
      </x:c>
      <x:c r="G29" s="26" t="str">
        <x:v>AWC Porkapally</x:v>
      </x:c>
      <x:c r="H29" s="26" t="str">
        <x:v>Mission Saksham Anganwadi &amp; POSHAN 2.0</x:v>
      </x:c>
      <x:c r="I29" s="32" t="n">
        <x:v>46165</x:v>
      </x:c>
      <x:c r="J29" s="32" t="n">
        <x:v>46349</x:v>
      </x:c>
      <x:c r="K29" s="32"/>
      <x:c r="L29" s="26" t="str">
        <x:v>Active: On/After 01-Aug-2026</x:v>
      </x:c>
      <x:c r="M29" s="26" t="str">
        <x:v>Medium</x:v>
      </x:c>
      <x:c r="N29" s="26" t="str">
        <x:v>ECCE Equipment=Minor; Educational Needs=Minor; Electrical Infrastructure=Medium; Health and Safety aids=Minor; Office Needs=Minor</x:v>
      </x:c>
      <x:c r="O29" s="26" t="n">
        <x:v>1</x:v>
      </x:c>
      <x:c r="P29" s="26" t="str">
        <x:v>Porkapally (36701020611)</x:v>
      </x:c>
      <x:c r="Q29" s="26" t="str">
        <x:v>36701020611</x:v>
      </x:c>
      <x:c r="R29" s="26" t="n">
        <x:v>50</x:v>
      </x:c>
      <x:c r="S29" s="36" t="n">
        <x:v>50000</x:v>
      </x:c>
      <x:c r="T29" s="26" t="str">
        <x:v>Water Filter Gas Stove&amp; Regulator Pressure Cooker Slides Kids Chairs Fans &amp; Lights Storage Bins Egg &amp; Milk Storge Racks Digital GMD</x:v>
      </x:c>
      <x:c r="U29" s="26" t="str">
        <x:v>Water Filter Gas Stove&amp; Regulator Pressure Cooker Slides Kids Chairs Fans &amp; Lights Storage Bins Egg &amp; Milk Storge Racks Digital GMD</x:v>
      </x:c>
      <x:c r="V29" s="27" t="b">
        <x:v>1</x:v>
      </x:c>
      <x:c r="W29" s="26" t="n">
        <x:v>8</x:v>
      </x:c>
      <x:c r="X29" s="26" t="n">
        <x:v>0</x:v>
      </x:c>
      <x:c r="Y29" s="26" t="n">
        <x:v>38</x:v>
      </x:c>
      <x:c r="Z29" s="26" t="n">
        <x:v>0</x:v>
      </x:c>
      <x:c r="AA29" s="26" t="n">
        <x:v>38</x:v>
      </x:c>
      <x:c r="AB29" s="38" t="n">
        <x:v>0</x:v>
      </x:c>
      <x:c r="AC29" s="26" t="str">
        <x:v>Committed / Not Delivered</x:v>
      </x:c>
      <x:c r="AD29" s="26" t="str">
        <x:v>Approval not recorded in response</x:v>
      </x:c>
      <x:c r="AE29" s="27" t="b">
        <x:v>1</x:v>
      </x:c>
      <x:c r="AF29" s="34" t="n">
        <x:v>46220.0171412037</x:v>
      </x:c>
      <x:c r="AG29" s="34"/>
      <x:c r="AH29" s="26" t="str">
        <x:v>Fully enriched from attached Mulugu project JSON</x:v>
      </x:c>
      <x:c r="AI29" s="26" t="str"/>
      <x:c r="AJ29" s="26" t="str">
        <x:v>Not Started</x:v>
      </x:c>
      <x:c r="AK29" s="26" t="str"/>
      <x:c r="AL29" s="26" t="str"/>
    </x:row>
    <x:row r="30">
      <x:c r="A30" s="26" t="n">
        <x:v>30</x:v>
      </x:c>
      <x:c r="B30" s="26" t="n">
        <x:v>262</x:v>
      </x:c>
      <x:c r="C30" s="26" t="str">
        <x:v>Mulugu</x:v>
      </x:c>
      <x:c r="D30" s="26" t="str">
        <x:v>Telangana</x:v>
      </x:c>
      <x:c r="E30" s="26" t="n">
        <x:v>13573</x:v>
      </x:c>
      <x:c r="F30" s="26" t="str">
        <x:v>PRJ-2026-0013573</x:v>
      </x:c>
      <x:c r="G30" s="26" t="str">
        <x:v>Egg &amp; Milk Storge Racks</x:v>
      </x:c>
      <x:c r="H30" s="26" t="str">
        <x:v>Mission Saksham Anganwadi &amp; POSHAN 2.0</x:v>
      </x:c>
      <x:c r="I30" s="32" t="n">
        <x:v>46175</x:v>
      </x:c>
      <x:c r="J30" s="32" t="n">
        <x:v>46358</x:v>
      </x:c>
      <x:c r="K30" s="32"/>
      <x:c r="L30" s="26" t="str">
        <x:v>Active: On/After 01-Aug-2026</x:v>
      </x:c>
      <x:c r="M30" s="26" t="str">
        <x:v>Medium</x:v>
      </x:c>
      <x:c r="N30" s="26" t="str">
        <x:v>ECCE Equipment=Minor; Electrical Infrastructure=Medium; Health and Safety aids=Minor; Office Needs=Minor</x:v>
      </x:c>
      <x:c r="O30" s="26" t="n">
        <x:v>1</x:v>
      </x:c>
      <x:c r="P30" s="26" t="str">
        <x:v>Weavers Colony (36701020401)</x:v>
      </x:c>
      <x:c r="Q30" s="26" t="str">
        <x:v>36701020401</x:v>
      </x:c>
      <x:c r="R30" s="26" t="n">
        <x:v>10</x:v>
      </x:c>
      <x:c r="S30" s="36" t="n">
        <x:v>50000</x:v>
      </x:c>
      <x:c r="T30" s="26" t="str">
        <x:v>Egg &amp; Milk Storge Racks
</x:v>
      </x:c>
      <x:c r="U30" s="26" t="str">
        <x:v>Egg &amp; Milk Storge Racks
</x:v>
      </x:c>
      <x:c r="V30" s="27" t="b">
        <x:v>1</x:v>
      </x:c>
      <x:c r="W30" s="26" t="n">
        <x:v>6</x:v>
      </x:c>
      <x:c r="X30" s="26" t="n">
        <x:v>0</x:v>
      </x:c>
      <x:c r="Y30" s="26" t="n">
        <x:v>26</x:v>
      </x:c>
      <x:c r="Z30" s="26" t="n">
        <x:v>0</x:v>
      </x:c>
      <x:c r="AA30" s="26" t="n">
        <x:v>26</x:v>
      </x:c>
      <x:c r="AB30" s="38" t="n">
        <x:v>0</x:v>
      </x:c>
      <x:c r="AC30" s="26" t="str">
        <x:v>Committed / Not Delivered</x:v>
      </x:c>
      <x:c r="AD30" s="26" t="str">
        <x:v>Approval not recorded in response</x:v>
      </x:c>
      <x:c r="AE30" s="27" t="b">
        <x:v>1</x:v>
      </x:c>
      <x:c r="AF30" s="34" t="n">
        <x:v>46220.01712962963</x:v>
      </x:c>
      <x:c r="AG30" s="34"/>
      <x:c r="AH30" s="26" t="str">
        <x:v>Fully enriched from attached Mulugu project JSON</x:v>
      </x:c>
      <x:c r="AI30" s="26" t="str"/>
      <x:c r="AJ30" s="26" t="str">
        <x:v>Not Started</x:v>
      </x:c>
      <x:c r="AK30" s="26" t="str"/>
      <x:c r="AL30" s="26" t="str"/>
    </x:row>
    <x:row r="31">
      <x:c r="A31" s="26" t="n">
        <x:v>89</x:v>
      </x:c>
      <x:c r="B31" s="26" t="n">
        <x:v>202</x:v>
      </x:c>
      <x:c r="C31" s="26" t="str">
        <x:v>Mulugu</x:v>
      </x:c>
      <x:c r="D31" s="26" t="str">
        <x:v>Telangana</x:v>
      </x:c>
      <x:c r="E31" s="26" t="n">
        <x:v>11186</x:v>
      </x:c>
      <x:c r="F31" s="26" t="str">
        <x:v>PRJ-2026-0011186</x:v>
      </x:c>
      <x:c r="G31" s="26" t="str">
        <x:v>AWC Venkatapur II</x:v>
      </x:c>
      <x:c r="H31" s="26" t="str">
        <x:v>Mission Saksham Anganwadi &amp; POSHAN 2.0</x:v>
      </x:c>
      <x:c r="I31" s="32" t="n">
        <x:v>46164</x:v>
      </x:c>
      <x:c r="J31" s="32" t="n">
        <x:v>46348</x:v>
      </x:c>
      <x:c r="K31" s="32"/>
      <x:c r="L31" s="26" t="str">
        <x:v>Active: On/After 01-Aug-2026</x:v>
      </x:c>
      <x:c r="M31" s="26" t="str">
        <x:v>Medium</x:v>
      </x:c>
      <x:c r="N31" s="26" t="str">
        <x:v>ECCE Equipment=Minor; Educational Needs=Minor; Electrical Infrastructure=Medium; Health and Safety aids=Minor; Office Needs=Minor</x:v>
      </x:c>
      <x:c r="O31" s="26" t="n">
        <x:v>1</x:v>
      </x:c>
      <x:c r="P31" s="26" t="str">
        <x:v>Venkatapur - II (36701020605)</x:v>
      </x:c>
      <x:c r="Q31" s="26" t="str">
        <x:v>36701020605</x:v>
      </x:c>
      <x:c r="R31" s="26" t="n">
        <x:v>102</x:v>
      </x:c>
      <x:c r="S31" s="36" t="n">
        <x:v>50000</x:v>
      </x:c>
      <x:c r="T31" s="26" t="str">
        <x:v>Water Filter	
Gas Stove&amp; Regulator
Pressure Cooker	
Slides	
Kids Chairs	
Fans &amp; Lights	
Storage Bins	
Egg &amp; Milk Storge Racks	
Digital GMD
</x:v>
      </x:c>
      <x:c r="U31" s="26" t="str">
        <x:v>Water Filter	
Gas Stove&amp; Regulator
Pressure Cooker	
Slides	
Kids Chairs	
Fans &amp; Lights	
Storage Bins	
Egg &amp; Milk Storge Racks	
Digital GMD
</x:v>
      </x:c>
      <x:c r="V31" s="27" t="b">
        <x:v>1</x:v>
      </x:c>
      <x:c r="W31" s="26" t="n">
        <x:v>7</x:v>
      </x:c>
      <x:c r="X31" s="26" t="n">
        <x:v>0</x:v>
      </x:c>
      <x:c r="Y31" s="26" t="n">
        <x:v>39</x:v>
      </x:c>
      <x:c r="Z31" s="26" t="n">
        <x:v>0</x:v>
      </x:c>
      <x:c r="AA31" s="26" t="n">
        <x:v>39</x:v>
      </x:c>
      <x:c r="AB31" s="38" t="n">
        <x:v>0</x:v>
      </x:c>
      <x:c r="AC31" s="26" t="str">
        <x:v>Committed / Not Delivered</x:v>
      </x:c>
      <x:c r="AD31" s="26" t="str">
        <x:v>Approval not recorded in response</x:v>
      </x:c>
      <x:c r="AE31" s="27" t="b">
        <x:v>1</x:v>
      </x:c>
      <x:c r="AF31" s="34" t="n">
        <x:v>46219.729675925926</x:v>
      </x:c>
      <x:c r="AG31" s="34"/>
      <x:c r="AH31" s="26" t="str">
        <x:v>Fully enriched from attached Mulugu project JSON</x:v>
      </x:c>
      <x:c r="AI31" s="26" t="str"/>
      <x:c r="AJ31" s="26" t="str">
        <x:v>Not Started</x:v>
      </x:c>
      <x:c r="AK31" s="26" t="str"/>
      <x:c r="AL31" s="26" t="str"/>
    </x:row>
    <x:row r="32">
      <x:c r="A32" s="26" t="n">
        <x:v>90</x:v>
      </x:c>
      <x:c r="B32" s="26" t="n">
        <x:v>203</x:v>
      </x:c>
      <x:c r="C32" s="26" t="str">
        <x:v>Mulugu</x:v>
      </x:c>
      <x:c r="D32" s="26" t="str">
        <x:v>Telangana</x:v>
      </x:c>
      <x:c r="E32" s="26" t="n">
        <x:v>11139</x:v>
      </x:c>
      <x:c r="F32" s="26" t="str">
        <x:v>PRJ-2026-0011139</x:v>
      </x:c>
      <x:c r="G32" s="26" t="str">
        <x:v>AWC Venkatapur II BC Colony</x:v>
      </x:c>
      <x:c r="H32" s="26" t="str">
        <x:v>Mission Saksham Anganwadi &amp; POSHAN 2.0</x:v>
      </x:c>
      <x:c r="I32" s="32" t="n">
        <x:v>46164</x:v>
      </x:c>
      <x:c r="J32" s="32" t="n">
        <x:v>46348</x:v>
      </x:c>
      <x:c r="K32" s="32"/>
      <x:c r="L32" s="26" t="str">
        <x:v>Active: On/After 01-Aug-2026</x:v>
      </x:c>
      <x:c r="M32" s="26" t="str">
        <x:v>Medium</x:v>
      </x:c>
      <x:c r="N32" s="26" t="str">
        <x:v>ECCE Equipment=Minor; Educational Needs=Minor; Electrical Infrastructure=Medium; Health and Safety aids=Minor; Office Needs=Minor</x:v>
      </x:c>
      <x:c r="O32" s="26" t="n">
        <x:v>1</x:v>
      </x:c>
      <x:c r="P32" s="26" t="str">
        <x:v>Venkatapur II (Bc col (36701020602)</x:v>
      </x:c>
      <x:c r="Q32" s="26" t="str">
        <x:v>36701020602</x:v>
      </x:c>
      <x:c r="R32" s="26" t="n">
        <x:v>48</x:v>
      </x:c>
      <x:c r="S32" s="36" t="n">
        <x:v>50000</x:v>
      </x:c>
      <x:c r="T32" s="26" t="str">
        <x:v>Water Filter	
Gas Stove&amp; Regulator
Pressure Cooker	
Slides	
Kids Chairs	
Fans &amp; Lights	
Storage Bins	
Egg &amp; Milk Storge Racks	
Digital GMD
</x:v>
      </x:c>
      <x:c r="U32" s="26" t="str">
        <x:v>Water Filter	
Gas Stove&amp; Regulator
Pressure Cooker	
Slides	
Kids Chairs	
Fans &amp; Lights	
Storage Bins	
Egg &amp; Milk Storge Racks	
Digital GMD
</x:v>
      </x:c>
      <x:c r="V32" s="27" t="b">
        <x:v>1</x:v>
      </x:c>
      <x:c r="W32" s="26" t="n">
        <x:v>8</x:v>
      </x:c>
      <x:c r="X32" s="26" t="n">
        <x:v>0</x:v>
      </x:c>
      <x:c r="Y32" s="26" t="n">
        <x:v>39</x:v>
      </x:c>
      <x:c r="Z32" s="26" t="n">
        <x:v>0</x:v>
      </x:c>
      <x:c r="AA32" s="26" t="n">
        <x:v>39</x:v>
      </x:c>
      <x:c r="AB32" s="38" t="n">
        <x:v>0</x:v>
      </x:c>
      <x:c r="AC32" s="26" t="str">
        <x:v>Committed / Not Delivered</x:v>
      </x:c>
      <x:c r="AD32" s="26" t="str">
        <x:v>Approval not recorded in response</x:v>
      </x:c>
      <x:c r="AE32" s="27" t="b">
        <x:v>1</x:v>
      </x:c>
      <x:c r="AF32" s="34" t="n">
        <x:v>46219.729675925926</x:v>
      </x:c>
      <x:c r="AG32" s="34"/>
      <x:c r="AH32" s="26" t="str">
        <x:v>Fully enriched from attached Mulugu project JSON</x:v>
      </x:c>
      <x:c r="AI32" s="26" t="str"/>
      <x:c r="AJ32" s="26" t="str">
        <x:v>Not Started</x:v>
      </x:c>
      <x:c r="AK32" s="26" t="str"/>
      <x:c r="AL32" s="26" t="str"/>
    </x:row>
    <x:row r="33">
      <x:c r="A33" s="26" t="n">
        <x:v>91</x:v>
      </x:c>
      <x:c r="B33" s="26" t="n">
        <x:v>199</x:v>
      </x:c>
      <x:c r="C33" s="26" t="str">
        <x:v>Mulugu</x:v>
      </x:c>
      <x:c r="D33" s="26" t="str">
        <x:v>Telangana</x:v>
      </x:c>
      <x:c r="E33" s="26" t="n">
        <x:v>13081</x:v>
      </x:c>
      <x:c r="F33" s="26" t="str">
        <x:v>PRJ-2026-0013081</x:v>
      </x:c>
      <x:c r="G33" s="26" t="str">
        <x:v>AWC Venkatapur III</x:v>
      </x:c>
      <x:c r="H33" s="26" t="str">
        <x:v>Mission Saksham Anganwadi &amp; POSHAN 2.0</x:v>
      </x:c>
      <x:c r="I33" s="32" t="n">
        <x:v>46165</x:v>
      </x:c>
      <x:c r="J33" s="32" t="n">
        <x:v>46349</x:v>
      </x:c>
      <x:c r="K33" s="32"/>
      <x:c r="L33" s="26" t="str">
        <x:v>Active: On/After 01-Aug-2026</x:v>
      </x:c>
      <x:c r="M33" s="26" t="str">
        <x:v>Medium</x:v>
      </x:c>
      <x:c r="N33" s="26" t="str">
        <x:v>ECCE Equipment=Minor; Educational Needs=Minor; Electrical Infrastructure=Medium; Health and Safety aids=Minor; Office Needs=Minor</x:v>
      </x:c>
      <x:c r="O33" s="26" t="n">
        <x:v>1</x:v>
      </x:c>
      <x:c r="P33" s="26" t="str">
        <x:v>Venkatapur - III (36701020604)</x:v>
      </x:c>
      <x:c r="Q33" s="26" t="str">
        <x:v>36701020604</x:v>
      </x:c>
      <x:c r="R33" s="26" t="n">
        <x:v>60</x:v>
      </x:c>
      <x:c r="S33" s="36" t="n">
        <x:v>50000</x:v>
      </x:c>
      <x:c r="T33" s="26" t="str">
        <x:v>Water Filter Gas Stove&amp; Regulator Pressure Cooker Slides Kids Chairs Fans &amp; Lights Storage Bins Egg &amp; Milk Storge Racks Digital GMD</x:v>
      </x:c>
      <x:c r="U33" s="26" t="str">
        <x:v>Water Filter Gas Stove&amp; Regulator Pressure Cooker Slides Kids Chairs Fans &amp; Lights Storage Bins Egg &amp; Milk Storge Racks Digital GMD</x:v>
      </x:c>
      <x:c r="V33" s="27" t="b">
        <x:v>1</x:v>
      </x:c>
      <x:c r="W33" s="26" t="n">
        <x:v>7</x:v>
      </x:c>
      <x:c r="X33" s="26" t="n">
        <x:v>0</x:v>
      </x:c>
      <x:c r="Y33" s="26" t="n">
        <x:v>32</x:v>
      </x:c>
      <x:c r="Z33" s="26" t="n">
        <x:v>0</x:v>
      </x:c>
      <x:c r="AA33" s="26" t="n">
        <x:v>32</x:v>
      </x:c>
      <x:c r="AB33" s="38" t="n">
        <x:v>0</x:v>
      </x:c>
      <x:c r="AC33" s="26" t="str">
        <x:v>Committed / Not Delivered</x:v>
      </x:c>
      <x:c r="AD33" s="26" t="str">
        <x:v>Approval not recorded in response</x:v>
      </x:c>
      <x:c r="AE33" s="27" t="b">
        <x:v>1</x:v>
      </x:c>
      <x:c r="AF33" s="34" t="n">
        <x:v>46219.72966435185</x:v>
      </x:c>
      <x:c r="AG33" s="34"/>
      <x:c r="AH33" s="26" t="str">
        <x:v>Fully enriched from attached Mulugu project JSON</x:v>
      </x:c>
      <x:c r="AI33" s="26" t="str"/>
      <x:c r="AJ33" s="26" t="str">
        <x:v>Not Started</x:v>
      </x:c>
      <x:c r="AK33" s="26" t="str"/>
      <x:c r="AL33" s="26" t="str"/>
    </x:row>
    <x:row r="34">
      <x:c r="A34" s="26" t="n">
        <x:v>92</x:v>
      </x:c>
      <x:c r="B34" s="26" t="n">
        <x:v>200</x:v>
      </x:c>
      <x:c r="C34" s="26" t="str">
        <x:v>Mulugu</x:v>
      </x:c>
      <x:c r="D34" s="26" t="str">
        <x:v>Telangana</x:v>
      </x:c>
      <x:c r="E34" s="26" t="n">
        <x:v>11460</x:v>
      </x:c>
      <x:c r="F34" s="26" t="str">
        <x:v>PRJ-2026-0011460</x:v>
      </x:c>
      <x:c r="G34" s="26" t="str">
        <x:v>AWC Venkatapur I</x:v>
      </x:c>
      <x:c r="H34" s="26" t="str">
        <x:v>Mission Saksham Anganwadi &amp; POSHAN 2.0</x:v>
      </x:c>
      <x:c r="I34" s="32" t="n">
        <x:v>46164</x:v>
      </x:c>
      <x:c r="J34" s="32" t="n">
        <x:v>46348</x:v>
      </x:c>
      <x:c r="K34" s="32"/>
      <x:c r="L34" s="26" t="str">
        <x:v>Active: On/After 01-Aug-2026</x:v>
      </x:c>
      <x:c r="M34" s="26" t="str">
        <x:v>Medium</x:v>
      </x:c>
      <x:c r="N34" s="26" t="str">
        <x:v>ECCE Equipment=Minor; Educational Needs=Minor; Electrical Infrastructure=Medium; Health and Safety aids=Minor; Office Needs=Minor</x:v>
      </x:c>
      <x:c r="O34" s="26" t="n">
        <x:v>1</x:v>
      </x:c>
      <x:c r="P34" s="26" t="str">
        <x:v>Venkatapur - I (36701020606)</x:v>
      </x:c>
      <x:c r="Q34" s="26" t="str">
        <x:v>36701020606</x:v>
      </x:c>
      <x:c r="R34" s="26" t="n">
        <x:v>110</x:v>
      </x:c>
      <x:c r="S34" s="36" t="n">
        <x:v>50000</x:v>
      </x:c>
      <x:c r="T34" s="26" t="str">
        <x:v>Water Filter	
Gas Stove&amp; Regulator
Pressure Cooker	
Slides	
Kids Chairs	
Fans &amp; Lights	
Storage Bins	
Egg &amp; Milk Storge Racks	
Digital GMD
</x:v>
      </x:c>
      <x:c r="U34" s="26" t="str">
        <x:v>Water Filter	
Gas Stove&amp; Regulator
Pressure Cooker	
Slides	
Kids Chairs	
Fans &amp; Lights	
Storage Bins	
Egg &amp; Milk Storge Racks	
Digital GMD
</x:v>
      </x:c>
      <x:c r="V34" s="27" t="b">
        <x:v>1</x:v>
      </x:c>
      <x:c r="W34" s="26" t="n">
        <x:v>7</x:v>
      </x:c>
      <x:c r="X34" s="26" t="n">
        <x:v>0</x:v>
      </x:c>
      <x:c r="Y34" s="26" t="n">
        <x:v>37</x:v>
      </x:c>
      <x:c r="Z34" s="26" t="n">
        <x:v>0</x:v>
      </x:c>
      <x:c r="AA34" s="26" t="n">
        <x:v>37</x:v>
      </x:c>
      <x:c r="AB34" s="38" t="n">
        <x:v>0</x:v>
      </x:c>
      <x:c r="AC34" s="26" t="str">
        <x:v>Committed / Not Delivered</x:v>
      </x:c>
      <x:c r="AD34" s="26" t="str">
        <x:v>Approval not recorded in response</x:v>
      </x:c>
      <x:c r="AE34" s="27" t="b">
        <x:v>1</x:v>
      </x:c>
      <x:c r="AF34" s="34" t="n">
        <x:v>46219.72966435185</x:v>
      </x:c>
      <x:c r="AG34" s="34"/>
      <x:c r="AH34" s="26" t="str">
        <x:v>Fully enriched from attached Mulugu project JSON</x:v>
      </x:c>
      <x:c r="AI34" s="26" t="str"/>
      <x:c r="AJ34" s="26" t="str">
        <x:v>Not Started</x:v>
      </x:c>
      <x:c r="AK34" s="26" t="str"/>
      <x:c r="AL34" s="26" t="str"/>
    </x:row>
    <x:row r="35">
      <x:c r="A35" s="26" t="n">
        <x:v>93</x:v>
      </x:c>
      <x:c r="B35" s="26" t="n">
        <x:v>201</x:v>
      </x:c>
      <x:c r="C35" s="26" t="str">
        <x:v>Mulugu</x:v>
      </x:c>
      <x:c r="D35" s="26" t="str">
        <x:v>Telangana</x:v>
      </x:c>
      <x:c r="E35" s="26" t="n">
        <x:v>11386</x:v>
      </x:c>
      <x:c r="F35" s="26" t="str">
        <x:v>PRJ-2026-0011386</x:v>
      </x:c>
      <x:c r="G35" s="26" t="str">
        <x:v>AWC Venkatapur IV</x:v>
      </x:c>
      <x:c r="H35" s="26" t="str">
        <x:v>Mission Saksham Anganwadi &amp; POSHAN 2.0</x:v>
      </x:c>
      <x:c r="I35" s="32" t="n">
        <x:v>46164</x:v>
      </x:c>
      <x:c r="J35" s="32" t="n">
        <x:v>46348</x:v>
      </x:c>
      <x:c r="K35" s="32"/>
      <x:c r="L35" s="26" t="str">
        <x:v>Active: On/After 01-Aug-2026</x:v>
      </x:c>
      <x:c r="M35" s="26" t="str">
        <x:v>Medium</x:v>
      </x:c>
      <x:c r="N35" s="26" t="str">
        <x:v>ECCE Equipment=Minor; Educational Needs=Minor; Electrical Infrastructure=Medium; Health and Safety aids=Minor; Office Needs=Minor</x:v>
      </x:c>
      <x:c r="O35" s="26" t="n">
        <x:v>1</x:v>
      </x:c>
      <x:c r="P35" s="26" t="str">
        <x:v>Venkatapur - IV (36701020603)</x:v>
      </x:c>
      <x:c r="Q35" s="26" t="str">
        <x:v>36701020603</x:v>
      </x:c>
      <x:c r="R35" s="26" t="n">
        <x:v>107</x:v>
      </x:c>
      <x:c r="S35" s="36" t="n">
        <x:v>50000</x:v>
      </x:c>
      <x:c r="T35" s="26" t="str">
        <x:v>Water Filter	
Gas Stove&amp; Regulator
Pressure Cooker	
Slides	
Kids Chairs	
Fans &amp; Lights	
Storage Bins	
Egg &amp; Milk Storge Racks	
Digital GMD
</x:v>
      </x:c>
      <x:c r="U35" s="26" t="str">
        <x:v>Water Filter	
Gas Stove&amp; Regulator
Pressure Cooker	
Slides	
Kids Chairs	
Fans &amp; Lights	
Storage Bins	
Egg &amp; Milk Storge Racks	
Digital GMD
</x:v>
      </x:c>
      <x:c r="V35" s="27" t="b">
        <x:v>1</x:v>
      </x:c>
      <x:c r="W35" s="26" t="n">
        <x:v>8</x:v>
      </x:c>
      <x:c r="X35" s="26" t="n">
        <x:v>0</x:v>
      </x:c>
      <x:c r="Y35" s="26" t="n">
        <x:v>32</x:v>
      </x:c>
      <x:c r="Z35" s="26" t="n">
        <x:v>0</x:v>
      </x:c>
      <x:c r="AA35" s="26" t="n">
        <x:v>32</x:v>
      </x:c>
      <x:c r="AB35" s="38" t="n">
        <x:v>0</x:v>
      </x:c>
      <x:c r="AC35" s="26" t="str">
        <x:v>Committed / Not Delivered</x:v>
      </x:c>
      <x:c r="AD35" s="26" t="str">
        <x:v>Approval not recorded in response</x:v>
      </x:c>
      <x:c r="AE35" s="27" t="b">
        <x:v>1</x:v>
      </x:c>
      <x:c r="AF35" s="34" t="n">
        <x:v>46219.72966435185</x:v>
      </x:c>
      <x:c r="AG35" s="34"/>
      <x:c r="AH35" s="26" t="str">
        <x:v>Fully enriched from attached Mulugu project JSON</x:v>
      </x:c>
      <x:c r="AI35" s="26" t="str"/>
      <x:c r="AJ35" s="26" t="str">
        <x:v>Not Started</x:v>
      </x:c>
      <x:c r="AK35" s="26" t="str"/>
      <x:c r="AL35" s="26" t="str"/>
    </x:row>
    <x:row r="36">
      <x:c r="A36" s="26" t="n">
        <x:v>94</x:v>
      </x:c>
      <x:c r="B36" s="26" t="n">
        <x:v>196</x:v>
      </x:c>
      <x:c r="C36" s="26" t="str">
        <x:v>Mulugu</x:v>
      </x:c>
      <x:c r="D36" s="26" t="str">
        <x:v>Telangana</x:v>
      </x:c>
      <x:c r="E36" s="26" t="n">
        <x:v>13112</x:v>
      </x:c>
      <x:c r="F36" s="26" t="str">
        <x:v>PRJ-2026-0013112</x:v>
      </x:c>
      <x:c r="G36" s="26" t="str">
        <x:v>AWC Laxmidevipeta</x:v>
      </x:c>
      <x:c r="H36" s="26" t="str">
        <x:v>Mission Saksham Anganwadi &amp; POSHAN 2.0</x:v>
      </x:c>
      <x:c r="I36" s="32" t="n">
        <x:v>46165</x:v>
      </x:c>
      <x:c r="J36" s="32" t="n">
        <x:v>46349</x:v>
      </x:c>
      <x:c r="K36" s="32"/>
      <x:c r="L36" s="26" t="str">
        <x:v>Active: On/After 01-Aug-2026</x:v>
      </x:c>
      <x:c r="M36" s="26" t="str">
        <x:v>Medium</x:v>
      </x:c>
      <x:c r="N36" s="26" t="str">
        <x:v>ECCE Equipment=Minor; Educational Needs=Minor; Electrical Infrastructure=Medium; Health and Safety aids=Minor; Office Needs=Minor</x:v>
      </x:c>
      <x:c r="O36" s="26" t="n">
        <x:v>1</x:v>
      </x:c>
      <x:c r="P36" s="26" t="str">
        <x:v>Laxmidevpet (36701020619)</x:v>
      </x:c>
      <x:c r="Q36" s="26" t="str">
        <x:v>36701020619</x:v>
      </x:c>
      <x:c r="R36" s="26" t="n">
        <x:v>75</x:v>
      </x:c>
      <x:c r="S36" s="36" t="n">
        <x:v>50000</x:v>
      </x:c>
      <x:c r="T36" s="26" t="str">
        <x:v>Water Filter Gas Stove&amp; Regulator Pressure Cooker Slides Kids Chairs Fans &amp; Lights Storage Bins Egg &amp; Milk Storge Racks Digital GMD</x:v>
      </x:c>
      <x:c r="U36" s="26" t="str">
        <x:v>Water Filter Gas Stove&amp; Regulator Pressure Cooker Slides Kids Chairs Fans &amp; Lights Storage Bins Egg &amp; Milk Storge Racks Digital GMD</x:v>
      </x:c>
      <x:c r="V36" s="27" t="b">
        <x:v>1</x:v>
      </x:c>
      <x:c r="W36" s="26" t="n">
        <x:v>7</x:v>
      </x:c>
      <x:c r="X36" s="26" t="n">
        <x:v>0</x:v>
      </x:c>
      <x:c r="Y36" s="26" t="n">
        <x:v>37</x:v>
      </x:c>
      <x:c r="Z36" s="26" t="n">
        <x:v>0</x:v>
      </x:c>
      <x:c r="AA36" s="26" t="n">
        <x:v>37</x:v>
      </x:c>
      <x:c r="AB36" s="38" t="n">
        <x:v>0</x:v>
      </x:c>
      <x:c r="AC36" s="26" t="str">
        <x:v>Committed / Not Delivered</x:v>
      </x:c>
      <x:c r="AD36" s="26" t="str">
        <x:v>Approval not recorded in response</x:v>
      </x:c>
      <x:c r="AE36" s="27" t="b">
        <x:v>1</x:v>
      </x:c>
      <x:c r="AF36" s="34" t="n">
        <x:v>46219.72965277778</x:v>
      </x:c>
      <x:c r="AG36" s="34"/>
      <x:c r="AH36" s="26" t="str">
        <x:v>Fully enriched from attached Mulugu project JSON</x:v>
      </x:c>
      <x:c r="AI36" s="26" t="str"/>
      <x:c r="AJ36" s="26" t="str">
        <x:v>Not Started</x:v>
      </x:c>
      <x:c r="AK36" s="26" t="str"/>
      <x:c r="AL36" s="26" t="str"/>
    </x:row>
    <x:row r="37">
      <x:c r="A37" s="26" t="n">
        <x:v>95</x:v>
      </x:c>
      <x:c r="B37" s="26" t="n">
        <x:v>197</x:v>
      </x:c>
      <x:c r="C37" s="26" t="str">
        <x:v>Mulugu</x:v>
      </x:c>
      <x:c r="D37" s="26" t="str">
        <x:v>Telangana</x:v>
      </x:c>
      <x:c r="E37" s="26" t="n">
        <x:v>13091</x:v>
      </x:c>
      <x:c r="F37" s="26" t="str">
        <x:v>PRJ-2026-0013091</x:v>
      </x:c>
      <x:c r="G37" s="26" t="str">
        <x:v>AWC Gamponipally</x:v>
      </x:c>
      <x:c r="H37" s="26" t="str">
        <x:v>Mission Saksham Anganwadi &amp; POSHAN 2.0</x:v>
      </x:c>
      <x:c r="I37" s="32" t="n">
        <x:v>46165</x:v>
      </x:c>
      <x:c r="J37" s="32" t="n">
        <x:v>46349</x:v>
      </x:c>
      <x:c r="K37" s="32"/>
      <x:c r="L37" s="26" t="str">
        <x:v>Active: On/After 01-Aug-2026</x:v>
      </x:c>
      <x:c r="M37" s="26" t="str">
        <x:v>Medium</x:v>
      </x:c>
      <x:c r="N37" s="26" t="str">
        <x:v>ECCE Equipment=Minor; Educational Needs=Minor; Electrical Infrastructure=Medium; Health and Safety aids=Minor; Office Needs=Minor</x:v>
      </x:c>
      <x:c r="O37" s="26" t="n">
        <x:v>1</x:v>
      </x:c>
      <x:c r="P37" s="26" t="str">
        <x:v>Gamponipally(Mini) (36701020623)</x:v>
      </x:c>
      <x:c r="Q37" s="26" t="str">
        <x:v>36701020623</x:v>
      </x:c>
      <x:c r="R37" s="26" t="n">
        <x:v>14</x:v>
      </x:c>
      <x:c r="S37" s="36" t="n">
        <x:v>50000</x:v>
      </x:c>
      <x:c r="T37" s="26" t="str">
        <x:v>Water Filter Gas Stove&amp; Regulator Pressure Cooker Slides Kids Chairs Fans &amp; Lights Storage Bins Egg &amp; Milk Storge Racks Digital GMD</x:v>
      </x:c>
      <x:c r="U37" s="26" t="str">
        <x:v>Water Filter Gas Stove&amp; Regulator Pressure Cooker Slides Kids Chairs Fans &amp; Lights Storage Bins Egg &amp; Milk Storge Racks Digital GMD</x:v>
      </x:c>
      <x:c r="V37" s="27" t="b">
        <x:v>1</x:v>
      </x:c>
      <x:c r="W37" s="26" t="n">
        <x:v>7</x:v>
      </x:c>
      <x:c r="X37" s="26" t="n">
        <x:v>0</x:v>
      </x:c>
      <x:c r="Y37" s="26" t="n">
        <x:v>37</x:v>
      </x:c>
      <x:c r="Z37" s="26" t="n">
        <x:v>0</x:v>
      </x:c>
      <x:c r="AA37" s="26" t="n">
        <x:v>37</x:v>
      </x:c>
      <x:c r="AB37" s="38" t="n">
        <x:v>0</x:v>
      </x:c>
      <x:c r="AC37" s="26" t="str">
        <x:v>Committed / Not Delivered</x:v>
      </x:c>
      <x:c r="AD37" s="26" t="str">
        <x:v>Approval not recorded in response</x:v>
      </x:c>
      <x:c r="AE37" s="27" t="b">
        <x:v>1</x:v>
      </x:c>
      <x:c r="AF37" s="34" t="n">
        <x:v>46219.72965277778</x:v>
      </x:c>
      <x:c r="AG37" s="34"/>
      <x:c r="AH37" s="26" t="str">
        <x:v>Fully enriched from attached Mulugu project JSON</x:v>
      </x:c>
      <x:c r="AI37" s="26" t="str"/>
      <x:c r="AJ37" s="26" t="str">
        <x:v>Not Started</x:v>
      </x:c>
      <x:c r="AK37" s="26" t="str"/>
      <x:c r="AL37" s="26" t="str"/>
    </x:row>
    <x:row r="38">
      <x:c r="A38" s="26" t="n">
        <x:v>96</x:v>
      </x:c>
      <x:c r="B38" s="26" t="n">
        <x:v>198</x:v>
      </x:c>
      <x:c r="C38" s="26" t="str">
        <x:v>Mulugu</x:v>
      </x:c>
      <x:c r="D38" s="26" t="str">
        <x:v>Telangana</x:v>
      </x:c>
      <x:c r="E38" s="26" t="n">
        <x:v>13087</x:v>
      </x:c>
      <x:c r="F38" s="26" t="str">
        <x:v>PRJ-2026-0013087</x:v>
      </x:c>
      <x:c r="G38" s="26" t="str">
        <x:v>AWC Burugupeta</x:v>
      </x:c>
      <x:c r="H38" s="26" t="str">
        <x:v>Mission Saksham Anganwadi &amp; POSHAN 2.0</x:v>
      </x:c>
      <x:c r="I38" s="32" t="n">
        <x:v>46165</x:v>
      </x:c>
      <x:c r="J38" s="32" t="n">
        <x:v>46349</x:v>
      </x:c>
      <x:c r="K38" s="32"/>
      <x:c r="L38" s="26" t="str">
        <x:v>Active: On/After 01-Aug-2026</x:v>
      </x:c>
      <x:c r="M38" s="26" t="str">
        <x:v>Medium</x:v>
      </x:c>
      <x:c r="N38" s="26" t="str">
        <x:v>ECCE Equipment=Minor; Educational Needs=Minor; Electrical Infrastructure=Medium; Health and Safety aids=Minor; Office Needs=Minor</x:v>
      </x:c>
      <x:c r="O38" s="26" t="n">
        <x:v>1</x:v>
      </x:c>
      <x:c r="P38" s="26" t="str">
        <x:v>Burugupeta (36701020624)</x:v>
      </x:c>
      <x:c r="Q38" s="26" t="str">
        <x:v>36701020624</x:v>
      </x:c>
      <x:c r="R38" s="26" t="n">
        <x:v>70</x:v>
      </x:c>
      <x:c r="S38" s="36" t="n">
        <x:v>50000</x:v>
      </x:c>
      <x:c r="T38" s="26" t="str">
        <x:v>Water Filter Gas Stove&amp; Regulator Pressure Cooker Slides Kids Chairs Fans &amp; Lights Storage Bins Egg &amp; Milk Storge Racks Digital GMD</x:v>
      </x:c>
      <x:c r="U38" s="26" t="str">
        <x:v>Water Filter Gas Stove&amp; Regulator Pressure Cooker Slides Kids Chairs Fans &amp; Lights Storage Bins Egg &amp; Milk Storge Racks Digital GMD</x:v>
      </x:c>
      <x:c r="V38" s="27" t="b">
        <x:v>1</x:v>
      </x:c>
      <x:c r="W38" s="26" t="n">
        <x:v>7</x:v>
      </x:c>
      <x:c r="X38" s="26" t="n">
        <x:v>0</x:v>
      </x:c>
      <x:c r="Y38" s="26" t="n">
        <x:v>37</x:v>
      </x:c>
      <x:c r="Z38" s="26" t="n">
        <x:v>0</x:v>
      </x:c>
      <x:c r="AA38" s="26" t="n">
        <x:v>37</x:v>
      </x:c>
      <x:c r="AB38" s="38" t="n">
        <x:v>0</x:v>
      </x:c>
      <x:c r="AC38" s="26" t="str">
        <x:v>Committed / Not Delivered</x:v>
      </x:c>
      <x:c r="AD38" s="26" t="str">
        <x:v>Approval not recorded in response</x:v>
      </x:c>
      <x:c r="AE38" s="27" t="b">
        <x:v>1</x:v>
      </x:c>
      <x:c r="AF38" s="34" t="n">
        <x:v>46219.72965277778</x:v>
      </x:c>
      <x:c r="AG38" s="34"/>
      <x:c r="AH38" s="26" t="str">
        <x:v>Fully enriched from attached Mulugu project JSON</x:v>
      </x:c>
      <x:c r="AI38" s="26" t="str"/>
      <x:c r="AJ38" s="26" t="str">
        <x:v>Not Started</x:v>
      </x:c>
      <x:c r="AK38" s="26" t="str"/>
      <x:c r="AL38" s="26" t="str"/>
    </x:row>
    <x:row r="39">
      <x:c r="A39" s="26" t="n">
        <x:v>97</x:v>
      </x:c>
      <x:c r="B39" s="26" t="n">
        <x:v>193</x:v>
      </x:c>
      <x:c r="C39" s="26" t="str">
        <x:v>Mulugu</x:v>
      </x:c>
      <x:c r="D39" s="26" t="str">
        <x:v>Telangana</x:v>
      </x:c>
      <x:c r="E39" s="26" t="n">
        <x:v>15963</x:v>
      </x:c>
      <x:c r="F39" s="26" t="str">
        <x:v>PRJ-2026-0015963</x:v>
      </x:c>
      <x:c r="G39" s="26" t="str">
        <x:v>AWC Venkatapur Sector</x:v>
      </x:c>
      <x:c r="H39" s="26" t="str">
        <x:v>Mission Saksham Anganwadi &amp; POSHAN 2.0</x:v>
      </x:c>
      <x:c r="I39" s="32" t="n">
        <x:v>46169</x:v>
      </x:c>
      <x:c r="J39" s="32" t="n">
        <x:v>46353</x:v>
      </x:c>
      <x:c r="K39" s="32"/>
      <x:c r="L39" s="26" t="str">
        <x:v>Active: On/After 01-Aug-2026</x:v>
      </x:c>
      <x:c r="M39" s="26" t="str">
        <x:v>Medium</x:v>
      </x:c>
      <x:c r="N39" s="26" t="str">
        <x:v>ECCE Equipment=Minor; Educational Needs=Minor; Electrical Infrastructure=Medium; Health and Safety aids=Minor; Office Needs=Minor</x:v>
      </x:c>
      <x:c r="O39" s="26" t="n">
        <x:v>9</x:v>
      </x:c>
      <x:c r="P39" s="26" t="str">
        <x:v>Veerala thanda (36701020607); OLD LAXMIDEVPETA (Mini) (36701020613); Jawaharnagar (36701020622); Rajeshwarraopalli (36701020610); Nallagunta - II (36701020616); Nallagunta - III (36701020615); Nallagunta - I (36701020617); Patwaripalli (36701020612); RAMAKRISTAPUR (Mini) (36701020609)</x:v>
      </x:c>
      <x:c r="Q39" s="26" t="str">
        <x:v>36701020607; 36701020613; 36701020622; 36701020610; 36701020616; 36701020615; 36701020617; 36701020612; 36701020609</x:v>
      </x:c>
      <x:c r="R39" s="26" t="n">
        <x:v>1005</x:v>
      </x:c>
      <x:c r="S39" s="36" t="n">
        <x:v>50000</x:v>
      </x:c>
      <x:c r="T39" s="26" t="str">
        <x:v>Water Filter	Gas Stove&amp; Regulator						Pressure Cooker	Slides	Kids Chairs	Fans &amp; Lights	Storage Bins	Egg &amp; Milk Storge Racks	Digital GMD
</x:v>
      </x:c>
      <x:c r="U39" s="26" t="str">
        <x:v>Water Filter	Gas Stove&amp; Regulator						Pressure Cooker	Slides	Kids Chairs	Fans &amp; Lights	Storage Bins	Egg &amp; Milk Storge Racks	Digital GMD
</x:v>
      </x:c>
      <x:c r="V39" s="27" t="b">
        <x:v>1</x:v>
      </x:c>
      <x:c r="W39" s="26" t="n">
        <x:v>7</x:v>
      </x:c>
      <x:c r="X39" s="26" t="n">
        <x:v>0</x:v>
      </x:c>
      <x:c r="Y39" s="26" t="n">
        <x:v>33</x:v>
      </x:c>
      <x:c r="Z39" s="26" t="n">
        <x:v>0</x:v>
      </x:c>
      <x:c r="AA39" s="26" t="n">
        <x:v>33</x:v>
      </x:c>
      <x:c r="AB39" s="38" t="n">
        <x:v>0</x:v>
      </x:c>
      <x:c r="AC39" s="26" t="str">
        <x:v>Committed / Not Delivered</x:v>
      </x:c>
      <x:c r="AD39" s="26" t="str">
        <x:v>Approval not recorded in response</x:v>
      </x:c>
      <x:c r="AE39" s="27" t="b">
        <x:v>1</x:v>
      </x:c>
      <x:c r="AF39" s="34" t="n">
        <x:v>46219.7296412037</x:v>
      </x:c>
      <x:c r="AG39" s="34"/>
      <x:c r="AH39" s="26" t="str">
        <x:v>Fully enriched from attached Mulugu project JSON</x:v>
      </x:c>
      <x:c r="AI39" s="26" t="str"/>
      <x:c r="AJ39" s="26" t="str">
        <x:v>Not Started</x:v>
      </x:c>
      <x:c r="AK39" s="26" t="str"/>
      <x:c r="AL39" s="26" t="str"/>
    </x:row>
    <x:row r="40">
      <x:c r="A40" s="26" t="n">
        <x:v>98</x:v>
      </x:c>
      <x:c r="B40" s="26" t="n">
        <x:v>194</x:v>
      </x:c>
      <x:c r="C40" s="26" t="str">
        <x:v>Mulugu</x:v>
      </x:c>
      <x:c r="D40" s="26" t="str">
        <x:v>Telangana</x:v>
      </x:c>
      <x:c r="E40" s="26" t="n">
        <x:v>13542</x:v>
      </x:c>
      <x:c r="F40" s="26" t="str">
        <x:v>PRJ-2026-0013542</x:v>
      </x:c>
      <x:c r="G40" s="26" t="str">
        <x:v>Egg &amp; Milk Storge Racks</x:v>
      </x:c>
      <x:c r="H40" s="26" t="str">
        <x:v>Mission Saksham Anganwadi &amp; POSHAN 2.0</x:v>
      </x:c>
      <x:c r="I40" s="32" t="n">
        <x:v>46175</x:v>
      </x:c>
      <x:c r="J40" s="32" t="n">
        <x:v>46358</x:v>
      </x:c>
      <x:c r="K40" s="32"/>
      <x:c r="L40" s="26" t="str">
        <x:v>Active: On/After 01-Aug-2026</x:v>
      </x:c>
      <x:c r="M40" s="26" t="str">
        <x:v>Medium</x:v>
      </x:c>
      <x:c r="N40" s="26" t="str">
        <x:v>ECCE Equipment=Minor; Educational Needs=Minor; Electrical Infrastructure=Medium; Health and Safety aids=Minor; Office Needs=Minor</x:v>
      </x:c>
      <x:c r="O40" s="26" t="n">
        <x:v>20</x:v>
      </x:c>
      <x:c r="P40" s="26" t="str">
        <x:v>Bank Colony (36701020423); CHINTHAKUNTA (Mini) (36701020422); Chinthalapalli (36701020421); Devagiripatnam-I (36701020420); Devagiripatnamthanda (36701020418); Gadigadda (36701020417); Gollawada (36701020416); Madanapalli - I (36701020414); Madanapalli - II (36701020413); Madanapalli - III (36701020412); Madhavaraopalli (36701020411); Mulugu (36701020410); Palasabpalli (36701020409); Pathipalli - I (36701020408); Pathipalli - II (36701020407); Potlapur (36701020406); Premnagar (36701020405); Rangaraopalli (36701020404); S C Colony (36701020403); S T Colony (36701020402)</x:v>
      </x:c>
      <x:c r="Q40" s="26" t="str">
        <x:v>36701020423; 36701020422; 36701020421; 36701020420; 36701020418; 36701020417; 36701020416; 36701020414; 36701020413; 36701020412; 36701020411; 36701020410; 36701020409; 36701020408; 36701020407; 36701020406; 36701020405; 36701020404; 36701020403; 36701020402</x:v>
      </x:c>
      <x:c r="R40" s="26" t="n">
        <x:v>160</x:v>
      </x:c>
      <x:c r="S40" s="36" t="n">
        <x:v>50000</x:v>
      </x:c>
      <x:c r="T40" s="26" t="str">
        <x:v>Egg &amp; Milk Storge Racks</x:v>
      </x:c>
      <x:c r="U40" s="26" t="str">
        <x:v>Egg &amp; Milk Storge Racks</x:v>
      </x:c>
      <x:c r="V40" s="27" t="b">
        <x:v>1</x:v>
      </x:c>
      <x:c r="W40" s="26" t="n">
        <x:v>7</x:v>
      </x:c>
      <x:c r="X40" s="26" t="n">
        <x:v>0</x:v>
      </x:c>
      <x:c r="Y40" s="26" t="n">
        <x:v>401</x:v>
      </x:c>
      <x:c r="Z40" s="26" t="n">
        <x:v>0</x:v>
      </x:c>
      <x:c r="AA40" s="26" t="n">
        <x:v>401</x:v>
      </x:c>
      <x:c r="AB40" s="38" t="n">
        <x:v>0</x:v>
      </x:c>
      <x:c r="AC40" s="26" t="str">
        <x:v>Committed / Not Delivered</x:v>
      </x:c>
      <x:c r="AD40" s="26" t="str">
        <x:v>Approval not recorded in response</x:v>
      </x:c>
      <x:c r="AE40" s="27" t="b">
        <x:v>1</x:v>
      </x:c>
      <x:c r="AF40" s="34" t="n">
        <x:v>46219.7296412037</x:v>
      </x:c>
      <x:c r="AG40" s="34"/>
      <x:c r="AH40" s="26" t="str">
        <x:v>Fully enriched from attached Mulugu project JSON</x:v>
      </x:c>
      <x:c r="AI40" s="26" t="str"/>
      <x:c r="AJ40" s="26" t="str">
        <x:v>Not Started</x:v>
      </x:c>
      <x:c r="AK40" s="26" t="str"/>
      <x:c r="AL40" s="26" t="str"/>
    </x:row>
    <x:row r="41">
      <x:c r="A41" s="26" t="n">
        <x:v>99</x:v>
      </x:c>
      <x:c r="B41" s="26" t="n">
        <x:v>195</x:v>
      </x:c>
      <x:c r="C41" s="26" t="str">
        <x:v>Mulugu</x:v>
      </x:c>
      <x:c r="D41" s="26" t="str">
        <x:v>Telangana</x:v>
      </x:c>
      <x:c r="E41" s="26" t="n">
        <x:v>13276</x:v>
      </x:c>
      <x:c r="F41" s="26" t="str">
        <x:v>PRJ-2026-0013276</x:v>
      </x:c>
      <x:c r="G41" s="26" t="str">
        <x:v>Egg &amp; Milk Storge Racks</x:v>
      </x:c>
      <x:c r="H41" s="26" t="str">
        <x:v>Mission Saksham Anganwadi &amp; POSHAN 2.0</x:v>
      </x:c>
      <x:c r="I41" s="32" t="n">
        <x:v>46175</x:v>
      </x:c>
      <x:c r="J41" s="32" t="n">
        <x:v>46358</x:v>
      </x:c>
      <x:c r="K41" s="32"/>
      <x:c r="L41" s="26" t="str">
        <x:v>Active: On/After 01-Aug-2026</x:v>
      </x:c>
      <x:c r="M41" s="26" t="str">
        <x:v>Medium</x:v>
      </x:c>
      <x:c r="N41" s="26" t="str">
        <x:v>ECCE Equipment=Minor; Educational Needs=Minor; Electrical Infrastructure=Medium; Health and Safety aids=Minor; Office Needs=Minor</x:v>
      </x:c>
      <x:c r="O41" s="26" t="n">
        <x:v>12</x:v>
      </x:c>
      <x:c r="P41" s="26" t="str">
        <x:v>Barigalonipalli (36701020123); Incherla - I (36701020121); Incherla - II (36701020120); Jangalapalli - I (36701020118); Jangalapalli - II (36701020117); Jangalapalli - IV (36701020115); Jangalapalli - V (36701020114); Kasimdevpet - I (36701020112); Kasimdevpet - II (36701020111); PANCHOTHKULAPALLI (36701020108); Ramaiahpalli (36701020104); Ramnagarthanda (Mini) (36701020103)</x:v>
      </x:c>
      <x:c r="Q41" s="26" t="str">
        <x:v>36701020123; 36701020121; 36701020120; 36701020118; 36701020117; 36701020115; 36701020114; 36701020112; 36701020111; 36701020108; 36701020104; 36701020103</x:v>
      </x:c>
      <x:c r="R41" s="26" t="n">
        <x:v>150</x:v>
      </x:c>
      <x:c r="S41" s="36" t="n">
        <x:v>50000</x:v>
      </x:c>
      <x:c r="T41" s="26" t="str">
        <x:v>Egg &amp; Milk Storge Racks
</x:v>
      </x:c>
      <x:c r="U41" s="26" t="str">
        <x:v>Egg &amp; Milk Storge Racks</x:v>
      </x:c>
      <x:c r="V41" s="27" t="b">
        <x:v>1</x:v>
      </x:c>
      <x:c r="W41" s="26" t="n">
        <x:v>6</x:v>
      </x:c>
      <x:c r="X41" s="26" t="n">
        <x:v>0</x:v>
      </x:c>
      <x:c r="Y41" s="26" t="n">
        <x:v>181</x:v>
      </x:c>
      <x:c r="Z41" s="26" t="n">
        <x:v>0</x:v>
      </x:c>
      <x:c r="AA41" s="26" t="n">
        <x:v>181</x:v>
      </x:c>
      <x:c r="AB41" s="38" t="n">
        <x:v>0</x:v>
      </x:c>
      <x:c r="AC41" s="26" t="str">
        <x:v>Committed / Not Delivered</x:v>
      </x:c>
      <x:c r="AD41" s="26" t="str">
        <x:v>Approval not recorded in response</x:v>
      </x:c>
      <x:c r="AE41" s="27" t="b">
        <x:v>1</x:v>
      </x:c>
      <x:c r="AF41" s="34" t="n">
        <x:v>46219.7296412037</x:v>
      </x:c>
      <x:c r="AG41" s="34"/>
      <x:c r="AH41" s="26" t="str">
        <x:v>Fully enriched from attached Mulugu project JSON</x:v>
      </x:c>
      <x:c r="AI41" s="26" t="str"/>
      <x:c r="AJ41" s="26" t="str">
        <x:v>Not Started</x:v>
      </x:c>
      <x:c r="AK41" s="26" t="str"/>
      <x:c r="AL41" s="26" t="str"/>
    </x:row>
    <x:row r="42">
      <x:c r="A42" s="26" t="n">
        <x:v>100</x:v>
      </x:c>
      <x:c r="B42" s="26" t="n">
        <x:v>192</x:v>
      </x:c>
      <x:c r="C42" s="26" t="str">
        <x:v>Mulugu</x:v>
      </x:c>
      <x:c r="D42" s="26" t="str">
        <x:v>Telangana</x:v>
      </x:c>
      <x:c r="E42" s="26" t="n">
        <x:v>19440</x:v>
      </x:c>
      <x:c r="F42" s="26" t="str">
        <x:v>PRJ-2026-0019440</x:v>
      </x:c>
      <x:c r="G42" s="26" t="str">
        <x:v>AWC Jangalapally Sector</x:v>
      </x:c>
      <x:c r="H42" s="26" t="str">
        <x:v>Mission Saksham Anganwadi &amp; POSHAN 2.0</x:v>
      </x:c>
      <x:c r="I42" s="32" t="n">
        <x:v>46177</x:v>
      </x:c>
      <x:c r="J42" s="32" t="n">
        <x:v>46360</x:v>
      </x:c>
      <x:c r="K42" s="32"/>
      <x:c r="L42" s="26" t="str">
        <x:v>Active: On/After 01-Aug-2026</x:v>
      </x:c>
      <x:c r="M42" s="26" t="str">
        <x:v>Medium</x:v>
      </x:c>
      <x:c r="N42" s="26" t="str">
        <x:v>ECCE Equipment=Minor; Educational Needs=Minor; Electrical Infrastructure=Medium; Health and Safety aids=Minor; Office Needs=Minor</x:v>
      </x:c>
      <x:c r="O42" s="26" t="n">
        <x:v>20</x:v>
      </x:c>
      <x:c r="P42" s="26" t="str">
        <x:v>Kannaigudem (36701020113); Incherla - I (36701020121); Kothur (36701020110); BANJARAPALLI (Mini) (36701020124); Ankannagudem (36701020125); Lalaiahgudem(Mini) (36701020109); PANCHOTHKULAPALLI (36701020108); Kasimdevpet - I (36701020112); Jaggannagudem (36701020119); Dubbagudem-2(Mini) (36701020122); Jangalapalli - I (36701020118); Jangalapalli - III (36701020116); Rainigudem - II (36701020105); Kasimdevpet - II (36701020111); Sarvapur (36701020102); Pegadapally (36701020107); YAPALAGADDA (Mini) (36701020101); Ramnagarthanda (Mini) (36701020103); Jangalapalli - II (36701020117); Jangalapalli - IV (36701020115)</x:v>
      </x:c>
      <x:c r="Q42" s="26" t="str">
        <x:v>36701020113; 36701020121; 36701020110; 36701020124; 36701020125; 36701020109; 36701020108; 36701020112; 36701020119; 36701020122; 36701020118; 36701020116; 36701020105; 36701020111; 36701020102; 36701020107; 36701020101; 36701020103; 36701020117; 36701020115</x:v>
      </x:c>
      <x:c r="R42" s="26" t="n">
        <x:v>1200</x:v>
      </x:c>
      <x:c r="S42" s="36" t="n">
        <x:v>50000</x:v>
      </x:c>
      <x:c r="T42" s="26" t="str">
        <x:v>Balapainting					Pressure Cooker	Slides	Kids Chairs	Fans &amp; Lights	Storage Bins	Egg &amp; Milk Storge Racks	Digital GMD
</x:v>
      </x:c>
      <x:c r="U42" s="26" t="str">
        <x:v>Balapainting					Pressure Cooker	Slides	Kids Chairs	Fans &amp; Lights	Storage Bins	Egg &amp; Milk Storge Racks	Digital GMD
</x:v>
      </x:c>
      <x:c r="V42" s="27" t="b">
        <x:v>1</x:v>
      </x:c>
      <x:c r="W42" s="26" t="n">
        <x:v>7</x:v>
      </x:c>
      <x:c r="X42" s="26" t="n">
        <x:v>0</x:v>
      </x:c>
      <x:c r="Y42" s="26" t="n">
        <x:v>580</x:v>
      </x:c>
      <x:c r="Z42" s="26" t="n">
        <x:v>0</x:v>
      </x:c>
      <x:c r="AA42" s="26" t="n">
        <x:v>580</x:v>
      </x:c>
      <x:c r="AB42" s="38" t="n">
        <x:v>0</x:v>
      </x:c>
      <x:c r="AC42" s="26" t="str">
        <x:v>Committed / Not Delivered</x:v>
      </x:c>
      <x:c r="AD42" s="26" t="str">
        <x:v>Approval not recorded in response</x:v>
      </x:c>
      <x:c r="AE42" s="27" t="b">
        <x:v>1</x:v>
      </x:c>
      <x:c r="AF42" s="34" t="n">
        <x:v>46219.72961805556</x:v>
      </x:c>
      <x:c r="AG42" s="34"/>
      <x:c r="AH42" s="26" t="str">
        <x:v>Fully enriched from attached Mulugu project JSON</x:v>
      </x:c>
      <x:c r="AI42" s="26" t="str"/>
      <x:c r="AJ42" s="26" t="str">
        <x:v>Not Started</x:v>
      </x:c>
      <x:c r="AK42" s="26" t="str"/>
      <x:c r="AL42" s="26" t="str"/>
    </x:row>
    <x:row r="43">
      <x:c r="A43" s="26" t="n">
        <x:v>101</x:v>
      </x:c>
      <x:c r="B43" s="26" t="n">
        <x:v>191</x:v>
      </x:c>
      <x:c r="C43" s="26" t="str">
        <x:v>Mulugu</x:v>
      </x:c>
      <x:c r="D43" s="26" t="str">
        <x:v>Telangana</x:v>
      </x:c>
      <x:c r="E43" s="26" t="n">
        <x:v>7936</x:v>
      </x:c>
      <x:c r="F43" s="26" t="str">
        <x:v>PRJ-2026-0007936</x:v>
      </x:c>
      <x:c r="G43" s="26" t="str">
        <x:v>AWC ABBAPUR</x:v>
      </x:c>
      <x:c r="H43" s="26" t="str">
        <x:v>Mission Saksham Anganwadi &amp; POSHAN 2.0</x:v>
      </x:c>
      <x:c r="I43" s="32" t="n">
        <x:v>46164</x:v>
      </x:c>
      <x:c r="J43" s="32" t="n">
        <x:v>46348</x:v>
      </x:c>
      <x:c r="K43" s="32"/>
      <x:c r="L43" s="26" t="str">
        <x:v>Active: On/After 01-Aug-2026</x:v>
      </x:c>
      <x:c r="M43" s="26" t="str">
        <x:v>Medium</x:v>
      </x:c>
      <x:c r="N43" s="26" t="str">
        <x:v>ECCE Equipment=Minor; Educational Needs=Minor; Electrical Infrastructure=Medium; Office Needs=Minor</x:v>
      </x:c>
      <x:c r="O43" s="26" t="n">
        <x:v>1</x:v>
      </x:c>
      <x:c r="P43" s="26" t="str">
        <x:v>Abbapur (36701020223)</x:v>
      </x:c>
      <x:c r="Q43" s="26" t="str">
        <x:v>36701020223</x:v>
      </x:c>
      <x:c r="R43" s="26" t="n">
        <x:v>55</x:v>
      </x:c>
      <x:c r="S43" s="36" t="n">
        <x:v>50000</x:v>
      </x:c>
      <x:c r="T43" s="26" t="str">
        <x:v>Civil Repair
Water Filter	
Gas Stove&amp; Regulator
Pressure Cooker
Slides
Kids Chairs
Fans &amp; Lights
Storage Bins
Egg &amp; Milk Storge 
</x:v>
      </x:c>
      <x:c r="U43" s="26" t="str">
        <x:v>Civil Repair
Water Filter	
Gas Stove&amp; Regulator
Pressure Cooker
Slides
Kids Chairs
Fans &amp; Lights
Storage Bins
Egg &amp; Milk Storge 
</x:v>
      </x:c>
      <x:c r="V43" s="27" t="b">
        <x:v>1</x:v>
      </x:c>
      <x:c r="W43" s="26" t="n">
        <x:v>8</x:v>
      </x:c>
      <x:c r="X43" s="26" t="n">
        <x:v>0</x:v>
      </x:c>
      <x:c r="Y43" s="26" t="n">
        <x:v>39</x:v>
      </x:c>
      <x:c r="Z43" s="26" t="n">
        <x:v>0</x:v>
      </x:c>
      <x:c r="AA43" s="26" t="n">
        <x:v>39</x:v>
      </x:c>
      <x:c r="AB43" s="38" t="n">
        <x:v>0</x:v>
      </x:c>
      <x:c r="AC43" s="26" t="str">
        <x:v>Committed / Not Delivered</x:v>
      </x:c>
      <x:c r="AD43" s="26" t="str">
        <x:v>Approval not recorded in response</x:v>
      </x:c>
      <x:c r="AE43" s="27" t="b">
        <x:v>1</x:v>
      </x:c>
      <x:c r="AF43" s="34" t="n">
        <x:v>46219.72287037037</x:v>
      </x:c>
      <x:c r="AG43" s="34"/>
      <x:c r="AH43" s="26" t="str">
        <x:v>Fully enriched from attached Mulugu project JSON</x:v>
      </x:c>
      <x:c r="AI43" s="26" t="str"/>
      <x:c r="AJ43" s="26" t="str">
        <x:v>Not Started</x:v>
      </x:c>
      <x:c r="AK43" s="26" t="str"/>
      <x:c r="AL43" s="26" t="str"/>
    </x:row>
    <x:row r="44">
      <x:c r="A44" s="26" t="n">
        <x:v>102</x:v>
      </x:c>
      <x:c r="B44" s="26" t="n">
        <x:v>190</x:v>
      </x:c>
      <x:c r="C44" s="26" t="str">
        <x:v>Mulugu</x:v>
      </x:c>
      <x:c r="D44" s="26" t="str">
        <x:v>Telangana</x:v>
      </x:c>
      <x:c r="E44" s="26" t="n">
        <x:v>19443</x:v>
      </x:c>
      <x:c r="F44" s="26" t="str">
        <x:v>PRJ-2026-0019443</x:v>
      </x:c>
      <x:c r="G44" s="26" t="str">
        <x:v>Jangalapally Sector 2</x:v>
      </x:c>
      <x:c r="H44" s="26" t="str">
        <x:v>Mission Saksham Anganwadi &amp; POSHAN 2.0</x:v>
      </x:c>
      <x:c r="I44" s="32" t="n">
        <x:v>46177</x:v>
      </x:c>
      <x:c r="J44" s="32" t="n">
        <x:v>46360</x:v>
      </x:c>
      <x:c r="K44" s="32"/>
      <x:c r="L44" s="26" t="str">
        <x:v>Active: On/After 01-Aug-2026</x:v>
      </x:c>
      <x:c r="M44" s="26" t="str">
        <x:v>Medium</x:v>
      </x:c>
      <x:c r="N44" s="26" t="str">
        <x:v>ECCE Equipment=Minor; Educational Needs=Minor; Electrical Infrastructure=Medium; Health and Safety aids=Minor; Office Needs=Minor</x:v>
      </x:c>
      <x:c r="O44" s="26" t="n">
        <x:v>5</x:v>
      </x:c>
      <x:c r="P44" s="26" t="str">
        <x:v>Incherla - II (36701020120); Jangalapalli - V (36701020114); Barigalonipalli (36701020123); Rainigudem - I (36701020106); Jangalapalli - IV (36701020115)</x:v>
      </x:c>
      <x:c r="Q44" s="26" t="str">
        <x:v>36701020120; 36701020114; 36701020123; 36701020106; 36701020115</x:v>
      </x:c>
      <x:c r="R44" s="26" t="n">
        <x:v>250</x:v>
      </x:c>
      <x:c r="S44" s="36" t="n">
        <x:v>50000</x:v>
      </x:c>
      <x:c r="T44" s="26" t="str">
        <x:v>Balapainting					Pressure Cooker	Slides	Kids Chairs	Fans &amp; Lights	Storage Bins	Egg &amp; Milk Storge Racks	Digital GMD
</x:v>
      </x:c>
      <x:c r="U44" s="26" t="str">
        <x:v>Balapainting					Pressure Cooker	Slides	Kids Chairs	Fans &amp; Lights	Storage Bins	Egg &amp; Milk Storge Racks	Digital GMD
</x:v>
      </x:c>
      <x:c r="V44" s="27" t="b">
        <x:v>1</x:v>
      </x:c>
      <x:c r="W44" s="26" t="n">
        <x:v>7</x:v>
      </x:c>
      <x:c r="X44" s="26" t="n">
        <x:v>0</x:v>
      </x:c>
      <x:c r="Y44" s="26" t="n">
        <x:v>175</x:v>
      </x:c>
      <x:c r="Z44" s="26" t="n">
        <x:v>0</x:v>
      </x:c>
      <x:c r="AA44" s="26" t="n">
        <x:v>175</x:v>
      </x:c>
      <x:c r="AB44" s="38" t="n">
        <x:v>0</x:v>
      </x:c>
      <x:c r="AC44" s="26" t="str">
        <x:v>Committed / Not Delivered</x:v>
      </x:c>
      <x:c r="AD44" s="26" t="str">
        <x:v>Approval not recorded in response</x:v>
      </x:c>
      <x:c r="AE44" s="27" t="b">
        <x:v>1</x:v>
      </x:c>
      <x:c r="AF44" s="34" t="n">
        <x:v>46219.71822916667</x:v>
      </x:c>
      <x:c r="AG44" s="34"/>
      <x:c r="AH44" s="26" t="str">
        <x:v>Fully enriched from attached Mulugu project JSON</x:v>
      </x:c>
      <x:c r="AI44" s="26" t="str"/>
      <x:c r="AJ44" s="26" t="str">
        <x:v>Not Started</x:v>
      </x:c>
      <x:c r="AK44" s="26" t="str"/>
      <x:c r="AL44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9d377b5f1451418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8.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13.130000114440918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Complex Projects — Based on Highest Available Line-Item Tier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26</x:v>
      </x:c>
      <x:c r="B4" s="26" t="n">
        <x:v>267</x:v>
      </x:c>
      <x:c r="C4" s="26" t="str">
        <x:v>Mulugu</x:v>
      </x:c>
      <x:c r="D4" s="26" t="str">
        <x:v>Telangana</x:v>
      </x:c>
      <x:c r="E4" s="26" t="n">
        <x:v>13051</x:v>
      </x:c>
      <x:c r="F4" s="26" t="str">
        <x:v>PRJ-2026-0013051</x:v>
      </x:c>
      <x:c r="G4" s="26" t="str">
        <x:v>AWC Infrastructure</x:v>
      </x:c>
      <x:c r="H4" s="26" t="str">
        <x:v>Mission Saksham Anganwadi &amp; POSHAN 2.0</x:v>
      </x:c>
      <x:c r="I4" s="32" t="n">
        <x:v>46165</x:v>
      </x:c>
      <x:c r="J4" s="32" t="n">
        <x:v>46349</x:v>
      </x:c>
      <x:c r="K4" s="32"/>
      <x:c r="L4" s="26" t="str">
        <x:v>Active: On/After 01-Aug-2026</x:v>
      </x:c>
      <x:c r="M4" s="26" t="str">
        <x:v>Complex</x:v>
      </x:c>
      <x:c r="N4" s="26" t="str">
        <x:v>Civil Infrastructure=Complex</x:v>
      </x:c>
      <x:c r="O4" s="26" t="n">
        <x:v>1</x:v>
      </x:c>
      <x:c r="P4" s="26" t="str">
        <x:v>Jakkulavaari veedhi (36701040616)</x:v>
      </x:c>
      <x:c r="Q4" s="26" t="str">
        <x:v>36701040616</x:v>
      </x:c>
      <x:c r="R4" s="26" t="n">
        <x:v>22</x:v>
      </x:c>
      <x:c r="S4" s="36" t="n">
        <x:v>50000</x:v>
      </x:c>
      <x:c r="T4" s="26" t="str">
        <x:v>Gas stove, regulator 	Water Filter	Play Area		Digital GMD	Rain Water Harvesting System	Poshan Vatika
</x:v>
      </x:c>
      <x:c r="U4" s="26" t="str">
        <x:v>Gas stove, regulator 	Water Filter	Play Area		Digital GMD	Rain Water Harvesting System	Poshan Vatika
</x:v>
      </x:c>
      <x:c r="V4" s="27" t="b">
        <x:v>0</x:v>
      </x:c>
      <x:c r="W4" s="26" t="n">
        <x:v>1</x:v>
      </x:c>
      <x:c r="X4" s="26" t="n">
        <x:v>0</x:v>
      </x:c>
      <x:c r="Y4" s="26" t="n">
        <x:v>1</x:v>
      </x:c>
      <x:c r="Z4" s="26" t="n">
        <x:v>0</x:v>
      </x:c>
      <x:c r="AA4" s="26" t="n">
        <x:v>1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46220.017164351855</x:v>
      </x:c>
      <x:c r="AG4" s="34"/>
      <x:c r="AH4" s="26" t="str">
        <x:v>Fully enriched from attached Mulugu project JSON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27</x:v>
      </x:c>
      <x:c r="B5" s="26" t="n">
        <x:v>264</x:v>
      </x:c>
      <x:c r="C5" s="26" t="str">
        <x:v>Mulugu</x:v>
      </x:c>
      <x:c r="D5" s="26" t="str">
        <x:v>Telangana</x:v>
      </x:c>
      <x:c r="E5" s="26" t="n">
        <x:v>13066</x:v>
      </x:c>
      <x:c r="F5" s="26" t="str">
        <x:v>PRJ-2026-0013066</x:v>
      </x:c>
      <x:c r="G5" s="26" t="str">
        <x:v>AWC Infrastructure</x:v>
      </x:c>
      <x:c r="H5" s="26" t="str">
        <x:v>Mission Saksham Anganwadi &amp; POSHAN 2.0</x:v>
      </x:c>
      <x:c r="I5" s="32" t="n">
        <x:v>46165</x:v>
      </x:c>
      <x:c r="J5" s="32" t="n">
        <x:v>46349</x:v>
      </x:c>
      <x:c r="K5" s="32"/>
      <x:c r="L5" s="26" t="str">
        <x:v>Active: On/After 01-Aug-2026</x:v>
      </x:c>
      <x:c r="M5" s="26" t="str">
        <x:v>Complex</x:v>
      </x:c>
      <x:c r="N5" s="26" t="str">
        <x:v>Civil Infrastructure=Complex</x:v>
      </x:c>
      <x:c r="O5" s="26" t="n">
        <x:v>1</x:v>
      </x:c>
      <x:c r="P5" s="26" t="str">
        <x:v>BC Marrigudem (Mini) (36701040624)</x:v>
      </x:c>
      <x:c r="Q5" s="26" t="str">
        <x:v>36701040624</x:v>
      </x:c>
      <x:c r="R5" s="26" t="n">
        <x:v>24</x:v>
      </x:c>
      <x:c r="S5" s="36" t="n">
        <x:v>50000</x:v>
      </x:c>
      <x:c r="T5" s="26" t="str">
        <x:v>Gas stove, regulator 	Water Filter	Play Area		Digital GMD	Rain Water Harvesting System	Poshan Vatika
</x:v>
      </x:c>
      <x:c r="U5" s="26" t="str">
        <x:v>Gas stove, regulator 	Water Filter	Play Area		Digital GMD	Rain Water Harvesting System	Poshan Vatika
</x:v>
      </x:c>
      <x:c r="V5" s="27" t="b">
        <x:v>0</x:v>
      </x:c>
      <x:c r="W5" s="26" t="n">
        <x:v>1</x:v>
      </x:c>
      <x:c r="X5" s="26" t="n">
        <x:v>0</x:v>
      </x:c>
      <x:c r="Y5" s="26" t="n">
        <x:v>1</x:v>
      </x:c>
      <x:c r="Z5" s="26" t="n">
        <x:v>0</x:v>
      </x:c>
      <x:c r="AA5" s="26" t="n">
        <x:v>1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46220.01715277778</x:v>
      </x:c>
      <x:c r="AG5" s="34"/>
      <x:c r="AH5" s="26" t="str">
        <x:v>Fully enriched from attached Mulugu project JSON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28</x:v>
      </x:c>
      <x:c r="B6" s="26" t="n">
        <x:v>265</x:v>
      </x:c>
      <x:c r="C6" s="26" t="str">
        <x:v>Mulugu</x:v>
      </x:c>
      <x:c r="D6" s="26" t="str">
        <x:v>Telangana</x:v>
      </x:c>
      <x:c r="E6" s="26" t="n">
        <x:v>13063</x:v>
      </x:c>
      <x:c r="F6" s="26" t="str">
        <x:v>PRJ-2026-0013063</x:v>
      </x:c>
      <x:c r="G6" s="26" t="str">
        <x:v>AWC Infrastructure</x:v>
      </x:c>
      <x:c r="H6" s="26" t="str">
        <x:v>Mission Saksham Anganwadi &amp; POSHAN 2.0</x:v>
      </x:c>
      <x:c r="I6" s="32" t="n">
        <x:v>46165</x:v>
      </x:c>
      <x:c r="J6" s="32" t="n">
        <x:v>46349</x:v>
      </x:c>
      <x:c r="K6" s="32"/>
      <x:c r="L6" s="26" t="str">
        <x:v>Active: On/After 01-Aug-2026</x:v>
      </x:c>
      <x:c r="M6" s="26" t="str">
        <x:v>Complex</x:v>
      </x:c>
      <x:c r="N6" s="26" t="str">
        <x:v>Civil Infrastructure=Complex</x:v>
      </x:c>
      <x:c r="O6" s="26" t="n">
        <x:v>1</x:v>
      </x:c>
      <x:c r="P6" s="26" t="str">
        <x:v>Chokkala-1 (36701040623)</x:v>
      </x:c>
      <x:c r="Q6" s="26" t="str">
        <x:v>36701040623</x:v>
      </x:c>
      <x:c r="R6" s="26" t="n">
        <x:v>30</x:v>
      </x:c>
      <x:c r="S6" s="36" t="n">
        <x:v>50000</x:v>
      </x:c>
      <x:c r="T6" s="26" t="str">
        <x:v>Gas stove, regulator 		Play Area		Digital GMD	Rain Water Harvesting System		Solar Panel	Kitchen Construction
</x:v>
      </x:c>
      <x:c r="U6" s="26" t="str">
        <x:v>Gas stove, regulator 		Play Area		Digital GMD	Rain Water Harvesting System		Solar Panel	Kitchen Construction
</x:v>
      </x:c>
      <x:c r="V6" s="27" t="b">
        <x:v>0</x:v>
      </x:c>
      <x:c r="W6" s="26" t="n">
        <x:v>1</x:v>
      </x:c>
      <x:c r="X6" s="26" t="n">
        <x:v>0</x:v>
      </x:c>
      <x:c r="Y6" s="26" t="n">
        <x:v>1</x:v>
      </x:c>
      <x:c r="Z6" s="26" t="n">
        <x:v>0</x:v>
      </x:c>
      <x:c r="AA6" s="26" t="n">
        <x:v>1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46220.01715277778</x:v>
      </x:c>
      <x:c r="AG6" s="34"/>
      <x:c r="AH6" s="26" t="str">
        <x:v>Fully enriched from attached Mulugu project JSON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31</x:v>
      </x:c>
      <x:c r="B7" s="26" t="n">
        <x:v>261</x:v>
      </x:c>
      <x:c r="C7" s="26" t="str">
        <x:v>Mulugu</x:v>
      </x:c>
      <x:c r="D7" s="26" t="str">
        <x:v>Telangana</x:v>
      </x:c>
      <x:c r="E7" s="26" t="n">
        <x:v>13053</x:v>
      </x:c>
      <x:c r="F7" s="26" t="str">
        <x:v>PRJ-2026-0013053</x:v>
      </x:c>
      <x:c r="G7" s="26" t="str">
        <x:v>AWC Infrastructure</x:v>
      </x:c>
      <x:c r="H7" s="26" t="str">
        <x:v>Mission Saksham Anganwadi &amp; POSHAN 2.0</x:v>
      </x:c>
      <x:c r="I7" s="32" t="n">
        <x:v>46165</x:v>
      </x:c>
      <x:c r="J7" s="32" t="n">
        <x:v>46349</x:v>
      </x:c>
      <x:c r="K7" s="32"/>
      <x:c r="L7" s="26" t="str">
        <x:v>Active: On/After 01-Aug-2026</x:v>
      </x:c>
      <x:c r="M7" s="26" t="str">
        <x:v>Complex</x:v>
      </x:c>
      <x:c r="N7" s="26" t="str">
        <x:v>Civil Infrastructure=Complex; Electrical Infrastructure=Medium</x:v>
      </x:c>
      <x:c r="O7" s="26" t="n">
        <x:v>1</x:v>
      </x:c>
      <x:c r="P7" s="26" t="str">
        <x:v>Harijana colony (36701040618)</x:v>
      </x:c>
      <x:c r="Q7" s="26" t="str">
        <x:v>36701040618</x:v>
      </x:c>
      <x:c r="R7" s="26" t="n">
        <x:v>36</x:v>
      </x:c>
      <x:c r="S7" s="36" t="n">
        <x:v>50000</x:v>
      </x:c>
      <x:c r="T7" s="26" t="str">
        <x:v>BaLA paintings	Gas stove, regulator 	Water Filter	Play Area	Boundary Walls	Digital GMD	Rain Water Harvesting System	Poshan Vatika	Solar Panel
</x:v>
      </x:c>
      <x:c r="U7" s="26" t="str">
        <x:v>BaLA paintings	Gas stove, regulator 	Water Filter	Play Area	Boundary Walls	Digital GMD	Rain Water Harvesting System	Poshan Vatika	Solar Panel
</x:v>
      </x:c>
      <x:c r="V7" s="27" t="b">
        <x:v>0</x:v>
      </x:c>
      <x:c r="W7" s="26" t="n">
        <x:v>2</x:v>
      </x:c>
      <x:c r="X7" s="26" t="n">
        <x:v>0</x:v>
      </x:c>
      <x:c r="Y7" s="26" t="n">
        <x:v>2</x:v>
      </x:c>
      <x:c r="Z7" s="26" t="n">
        <x:v>0</x:v>
      </x:c>
      <x:c r="AA7" s="26" t="n">
        <x:v>2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46220.01424768518</x:v>
      </x:c>
      <x:c r="AG7" s="34"/>
      <x:c r="AH7" s="26" t="str">
        <x:v>Fully enriched from attached Mulugu project JSON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32</x:v>
      </x:c>
      <x:c r="B8" s="26" t="n">
        <x:v>260</x:v>
      </x:c>
      <x:c r="C8" s="26" t="str">
        <x:v>Mulugu</x:v>
      </x:c>
      <x:c r="D8" s="26" t="str">
        <x:v>Telangana</x:v>
      </x:c>
      <x:c r="E8" s="26" t="n">
        <x:v>13049</x:v>
      </x:c>
      <x:c r="F8" s="26" t="str">
        <x:v>PRJ-2026-0013049</x:v>
      </x:c>
      <x:c r="G8" s="26" t="str">
        <x:v>AWC Infrastructure</x:v>
      </x:c>
      <x:c r="H8" s="26" t="str">
        <x:v>Mission Saksham Anganwadi &amp; POSHAN 2.0</x:v>
      </x:c>
      <x:c r="I8" s="32" t="n">
        <x:v>46165</x:v>
      </x:c>
      <x:c r="J8" s="32" t="n">
        <x:v>46349</x:v>
      </x:c>
      <x:c r="K8" s="32"/>
      <x:c r="L8" s="26" t="str">
        <x:v>Active: On/After 01-Aug-2026</x:v>
      </x:c>
      <x:c r="M8" s="26" t="str">
        <x:v>Complex</x:v>
      </x:c>
      <x:c r="N8" s="26" t="str">
        <x:v>Civil Infrastructure=Complex; Electrical Infrastructure=Medium</x:v>
      </x:c>
      <x:c r="O8" s="26" t="n">
        <x:v>1</x:v>
      </x:c>
      <x:c r="P8" s="26" t="str">
        <x:v>Karivaniguppa (Mini) (36701040615)</x:v>
      </x:c>
      <x:c r="Q8" s="26" t="str">
        <x:v>36701040615</x:v>
      </x:c>
      <x:c r="R8" s="26" t="n">
        <x:v>18</x:v>
      </x:c>
      <x:c r="S8" s="36" t="n">
        <x:v>50000</x:v>
      </x:c>
      <x:c r="T8" s="26" t="str">
        <x:v>BaLA paintings	Gas stove, regulator 	Water Filter	Play Area	Boundary Walls	Digital GMD	Rain Water Harvesting System	Poshan Vatika	Solar Panel
</x:v>
      </x:c>
      <x:c r="U8" s="26" t="str">
        <x:v>BaLA paintings	Gas stove, regulator 	Water Filter	Play Area	Boundary Walls	Digital GMD	Rain Water Harvesting System	Poshan Vatika	Solar Panel
</x:v>
      </x:c>
      <x:c r="V8" s="27" t="b">
        <x:v>0</x:v>
      </x:c>
      <x:c r="W8" s="26" t="n">
        <x:v>2</x:v>
      </x:c>
      <x:c r="X8" s="26" t="n">
        <x:v>0</x:v>
      </x:c>
      <x:c r="Y8" s="26" t="n">
        <x:v>2</x:v>
      </x:c>
      <x:c r="Z8" s="26" t="n">
        <x:v>0</x:v>
      </x:c>
      <x:c r="AA8" s="26" t="n">
        <x:v>2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46220.014236111114</x:v>
      </x:c>
      <x:c r="AG8" s="34"/>
      <x:c r="AH8" s="26" t="str">
        <x:v>Fully enriched from attached Mulugu project JSON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33</x:v>
      </x:c>
      <x:c r="B9" s="26" t="n">
        <x:v>258</x:v>
      </x:c>
      <x:c r="C9" s="26" t="str">
        <x:v>Mulugu</x:v>
      </x:c>
      <x:c r="D9" s="26" t="str">
        <x:v>Telangana</x:v>
      </x:c>
      <x:c r="E9" s="26" t="n">
        <x:v>8038</x:v>
      </x:c>
      <x:c r="F9" s="26" t="str">
        <x:v>PRJ-2026-0008038</x:v>
      </x:c>
      <x:c r="G9" s="26" t="str">
        <x:v>AWC Bhagyathanda</x:v>
      </x:c>
      <x:c r="H9" s="26" t="str">
        <x:v>Mission Saksham Anganwadi &amp; POSHAN 2.0</x:v>
      </x:c>
      <x:c r="I9" s="32" t="n">
        <x:v>46164</x:v>
      </x:c>
      <x:c r="J9" s="32" t="n">
        <x:v>46348</x:v>
      </x:c>
      <x:c r="K9" s="32"/>
      <x:c r="L9" s="26" t="str">
        <x:v>Active: On/After 01-Aug-2026</x:v>
      </x:c>
      <x:c r="M9" s="26" t="str">
        <x:v>Complex</x:v>
      </x:c>
      <x:c r="N9" s="26" t="str">
        <x:v>Civil Infrastructure=Complex; ECCE Equipment=Minor; Educational Needs=Minor; Electrical Infrastructure=Medium; Office Needs=Minor</x:v>
      </x:c>
      <x:c r="O9" s="26" t="n">
        <x:v>1</x:v>
      </x:c>
      <x:c r="P9" s="26" t="str">
        <x:v>Bhagyathanda (36701020220)</x:v>
      </x:c>
      <x:c r="Q9" s="26" t="str">
        <x:v>36701020220</x:v>
      </x:c>
      <x:c r="R9" s="26" t="n">
        <x:v>15</x:v>
      </x:c>
      <x:c r="S9" s="36" t="n">
        <x:v>50000</x:v>
      </x:c>
      <x:c r="T9" s="26" t="str">
        <x:v>Civil Repair
Water Filter	
Gas Stove&amp; Regulator	
Balapainting					
Pressure Cooker	
Slides	
Kids Chairs	
Fans &amp; Lights	
Storage Bins	
Egg &amp; Milk Storge Racks	
Digital GMD
</x:v>
      </x:c>
      <x:c r="U9" s="26" t="str">
        <x:v>Civil Repair
	Water Filter	
Gas Stove&amp; Regulator	
Balapainting					
Pressure Cooker	
Slides	
Kids Chairs	
Fans &amp; Lights	
Storage Bins	
Egg &amp; Milk Storge Racks	
Digital GMD
</x:v>
      </x:c>
      <x:c r="V9" s="27" t="b">
        <x:v>1</x:v>
      </x:c>
      <x:c r="W9" s="26" t="n">
        <x:v>6</x:v>
      </x:c>
      <x:c r="X9" s="26" t="n">
        <x:v>0</x:v>
      </x:c>
      <x:c r="Y9" s="26" t="n">
        <x:v>22</x:v>
      </x:c>
      <x:c r="Z9" s="26" t="n">
        <x:v>0</x:v>
      </x:c>
      <x:c r="AA9" s="26" t="n">
        <x:v>22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46220.01422453704</x:v>
      </x:c>
      <x:c r="AG9" s="34"/>
      <x:c r="AH9" s="26" t="str">
        <x:v>Fully enriched from attached Mulugu project JSON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34</x:v>
      </x:c>
      <x:c r="B10" s="26" t="n">
        <x:v>259</x:v>
      </x:c>
      <x:c r="C10" s="26" t="str">
        <x:v>Mulugu</x:v>
      </x:c>
      <x:c r="D10" s="26" t="str">
        <x:v>Telangana</x:v>
      </x:c>
      <x:c r="E10" s="26" t="n">
        <x:v>13048</x:v>
      </x:c>
      <x:c r="F10" s="26" t="str">
        <x:v>PRJ-2026-0013048</x:v>
      </x:c>
      <x:c r="G10" s="26" t="str">
        <x:v>AWC Infrastructure</x:v>
      </x:c>
      <x:c r="H10" s="26" t="str">
        <x:v>Mission Saksham Anganwadi &amp; POSHAN 2.0</x:v>
      </x:c>
      <x:c r="I10" s="32" t="n">
        <x:v>46165</x:v>
      </x:c>
      <x:c r="J10" s="32" t="n">
        <x:v>46349</x:v>
      </x:c>
      <x:c r="K10" s="32"/>
      <x:c r="L10" s="26" t="str">
        <x:v>Active: On/After 01-Aug-2026</x:v>
      </x:c>
      <x:c r="M10" s="26" t="str">
        <x:v>Complex</x:v>
      </x:c>
      <x:c r="N10" s="26" t="str">
        <x:v>Civil Infrastructure=Complex; Electrical Infrastructure=Medium</x:v>
      </x:c>
      <x:c r="O10" s="26" t="n">
        <x:v>1</x:v>
      </x:c>
      <x:c r="P10" s="26" t="str">
        <x:v>Mallapuram (Mini) (36701040613)</x:v>
      </x:c>
      <x:c r="Q10" s="26" t="str">
        <x:v>36701040613</x:v>
      </x:c>
      <x:c r="R10" s="26" t="n">
        <x:v>19</x:v>
      </x:c>
      <x:c r="S10" s="36" t="n">
        <x:v>50000</x:v>
      </x:c>
      <x:c r="T10" s="26" t="str">
        <x:v>BaLA paintings	Gas stove, regulator 	Water Filter	Play Area	Boundary Walls	Digital GMD	Rain Water Harvesting System	Poshan Vatika	Solar Panel
</x:v>
      </x:c>
      <x:c r="U10" s="26" t="str">
        <x:v>BaLA paintings	Gas stove, regulator 	Water Filter	Play Area	Boundary Walls	Digital GMD	Rain Water Harvesting System	Poshan Vatika	Solar Panel
</x:v>
      </x:c>
      <x:c r="V10" s="27" t="b">
        <x:v>0</x:v>
      </x:c>
      <x:c r="W10" s="26" t="n">
        <x:v>2</x:v>
      </x:c>
      <x:c r="X10" s="26" t="n">
        <x:v>0</x:v>
      </x:c>
      <x:c r="Y10" s="26" t="n">
        <x:v>2</x:v>
      </x:c>
      <x:c r="Z10" s="26" t="n">
        <x:v>0</x:v>
      </x:c>
      <x:c r="AA10" s="26" t="n">
        <x:v>2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46220.01422453704</x:v>
      </x:c>
      <x:c r="AG10" s="34"/>
      <x:c r="AH10" s="26" t="str">
        <x:v>Fully enriched from attached Mulugu project JSON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35</x:v>
      </x:c>
      <x:c r="B11" s="26" t="n">
        <x:v>257</x:v>
      </x:c>
      <x:c r="C11" s="26" t="str">
        <x:v>Mulugu</x:v>
      </x:c>
      <x:c r="D11" s="26" t="str">
        <x:v>Telangana</x:v>
      </x:c>
      <x:c r="E11" s="26" t="n">
        <x:v>8276</x:v>
      </x:c>
      <x:c r="F11" s="26" t="str">
        <x:v>PRJ-2026-0008276</x:v>
      </x:c>
      <x:c r="G11" s="26" t="str">
        <x:v>AWC Banalapally</x:v>
      </x:c>
      <x:c r="H11" s="26" t="str">
        <x:v>Mission Saksham Anganwadi &amp; POSHAN 2.0</x:v>
      </x:c>
      <x:c r="I11" s="32" t="n">
        <x:v>46164</x:v>
      </x:c>
      <x:c r="J11" s="32" t="n">
        <x:v>46348</x:v>
      </x:c>
      <x:c r="K11" s="32"/>
      <x:c r="L11" s="26" t="str">
        <x:v>Active: On/After 01-Aug-2026</x:v>
      </x:c>
      <x:c r="M11" s="26" t="str">
        <x:v>Complex</x:v>
      </x:c>
      <x:c r="N11" s="26" t="str">
        <x:v>Civil Infrastructure=Complex; ECCE Equipment=Minor; Educational Needs=Minor; Electrical Infrastructure=Medium; Office Needs=Minor</x:v>
      </x:c>
      <x:c r="O11" s="26" t="n">
        <x:v>1</x:v>
      </x:c>
      <x:c r="P11" s="26" t="str">
        <x:v>Banalapalli (36701020221)</x:v>
      </x:c>
      <x:c r="Q11" s="26" t="str">
        <x:v>36701020221</x:v>
      </x:c>
      <x:c r="R11" s="26" t="n">
        <x:v>25</x:v>
      </x:c>
      <x:c r="S11" s="36" t="n">
        <x:v>50000</x:v>
      </x:c>
      <x:c r="T11" s="26" t="str">
        <x:v>Civil Repair	
Water Filter	
Gas Stove&amp; Regulator	
Balapainting					
Pressure Cooker	
Slides	
Kids Chairs	
Fans &amp; Lights	
Storage Bins	
Egg &amp; Milk Storge Racks	
Digital GMD
</x:v>
      </x:c>
      <x:c r="U11" s="26" t="str">
        <x:v>Civil Repair	
Water Filter	
Gas Stove&amp; Regulator	
Balapainting					
Pressure Cooker	
Slides	
Kids Chairs	
Fans &amp; Lights	
Storage Bins	
Egg &amp; Milk Storge Racks	
Digital GMD
</x:v>
      </x:c>
      <x:c r="V11" s="27" t="b">
        <x:v>1</x:v>
      </x:c>
      <x:c r="W11" s="26" t="n">
        <x:v>8</x:v>
      </x:c>
      <x:c r="X11" s="26" t="n">
        <x:v>0</x:v>
      </x:c>
      <x:c r="Y11" s="26" t="n">
        <x:v>62</x:v>
      </x:c>
      <x:c r="Z11" s="26" t="n">
        <x:v>0</x:v>
      </x:c>
      <x:c r="AA11" s="26" t="n">
        <x:v>62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46220.01421296296</x:v>
      </x:c>
      <x:c r="AG11" s="34"/>
      <x:c r="AH11" s="26" t="str">
        <x:v>Fully enriched from attached Mulugu project JSON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36</x:v>
      </x:c>
      <x:c r="B12" s="26" t="n">
        <x:v>256</x:v>
      </x:c>
      <x:c r="C12" s="26" t="str">
        <x:v>Mulugu</x:v>
      </x:c>
      <x:c r="D12" s="26" t="str">
        <x:v>Telangana</x:v>
      </x:c>
      <x:c r="E12" s="26" t="n">
        <x:v>10856</x:v>
      </x:c>
      <x:c r="F12" s="26" t="str">
        <x:v>PRJ-2026-0010856</x:v>
      </x:c>
      <x:c r="G12" s="26" t="str">
        <x:v>AWC Infrastructure</x:v>
      </x:c>
      <x:c r="H12" s="26" t="str">
        <x:v>Mission Saksham Anganwadi &amp; POSHAN 2.0</x:v>
      </x:c>
      <x:c r="I12" s="32" t="n">
        <x:v>46164</x:v>
      </x:c>
      <x:c r="J12" s="32" t="n">
        <x:v>46348</x:v>
      </x:c>
      <x:c r="K12" s="32"/>
      <x:c r="L12" s="26" t="str">
        <x:v>Active: On/After 01-Aug-2026</x:v>
      </x:c>
      <x:c r="M12" s="26" t="str">
        <x:v>Complex</x:v>
      </x:c>
      <x:c r="N12" s="26" t="str">
        <x:v>Civil Infrastructure=Complex</x:v>
      </x:c>
      <x:c r="O12" s="26" t="n">
        <x:v>1</x:v>
      </x:c>
      <x:c r="P12" s="26" t="str">
        <x:v>Arunachalapuram (36701040324)</x:v>
      </x:c>
      <x:c r="Q12" s="26" t="str">
        <x:v>36701040324</x:v>
      </x:c>
      <x:c r="R12" s="26" t="n">
        <x:v>30</x:v>
      </x:c>
      <x:c r="S12" s="36" t="n">
        <x:v>50000</x:v>
      </x:c>
      <x:c r="T12" s="26" t="str">
        <x:v>BaLA paintings	Gas stove, regulator 	Water Filter	Play Area		Digital GMD	Rain Water Harvesting System	Poshan Vatika		Kitchen Construction
</x:v>
      </x:c>
      <x:c r="U12" s="26" t="str">
        <x:v>BaLA paintings	Gas stove, regulator 	Water Filter	Play Area		Digital GMD	Rain Water Harvesting System	Poshan Vatika		Kitchen Construction
</x:v>
      </x:c>
      <x:c r="V12" s="27" t="b">
        <x:v>0</x:v>
      </x:c>
      <x:c r="W12" s="26" t="n">
        <x:v>2</x:v>
      </x:c>
      <x:c r="X12" s="26" t="n">
        <x:v>0</x:v>
      </x:c>
      <x:c r="Y12" s="26" t="n">
        <x:v>2</x:v>
      </x:c>
      <x:c r="Z12" s="26" t="n">
        <x:v>0</x:v>
      </x:c>
      <x:c r="AA12" s="26" t="n">
        <x:v>2</x:v>
      </x:c>
      <x:c r="AB12" s="38" t="n"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46220.01420138889</x:v>
      </x:c>
      <x:c r="AG12" s="34"/>
      <x:c r="AH12" s="26" t="str">
        <x:v>Fully enriched from attached Mulugu project JSON</x:v>
      </x:c>
      <x:c r="AI12" s="26" t="str"/>
      <x:c r="AJ12" s="26" t="str">
        <x:v>Not Started</x:v>
      </x:c>
      <x:c r="AK12" s="26" t="str"/>
      <x:c r="AL12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c151b37ec3fc4d4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75" hidden="0" customWidth="1"/>
    <x:col min="3" max="3" width="20.25" hidden="0" customWidth="1"/>
    <x:col min="4" max="4" width="8" hidden="0" customWidth="1"/>
    <x:col min="5" max="5" width="10.5" hidden="0" customWidth="1"/>
    <x:col min="6" max="6" width="22" hidden="0" customWidth="1"/>
    <x:col min="7" max="7" width="28" hidden="0" customWidth="1"/>
    <x:col min="8" max="8" width="33.130001068115234" hidden="0" customWidth="1"/>
    <x:col min="9" max="9" width="14.130000114440918" hidden="0" customWidth="1"/>
    <x:col min="10" max="10" width="13.25" hidden="0" customWidth="1"/>
    <x:col min="11" max="11" width="12.880000114440918" hidden="0" customWidth="1"/>
    <x:col min="12" max="12" width="22.6299991607666" hidden="0" customWidth="1"/>
    <x:col min="13" max="13" width="15.630000114440918" hidden="0" customWidth="1"/>
    <x:col min="14" max="14" width="34" hidden="0" customWidth="1"/>
    <x:col min="15" max="15" width="13" hidden="0" customWidth="1"/>
    <x:col min="16" max="16" width="36" hidden="0" customWidth="1"/>
    <x:col min="17" max="17" width="13.130000114440918" hidden="0" customWidth="1"/>
    <x:col min="18" max="18" width="22.8799991607666" hidden="0" customWidth="1"/>
    <x:col min="19" max="19" width="13.380000114440918" hidden="0" customWidth="1"/>
    <x:col min="20" max="20" width="34" hidden="0" customWidth="1"/>
    <x:col min="21" max="21" width="34" hidden="0" customWidth="1"/>
    <x:col min="22" max="22" width="18" hidden="0" customWidth="1"/>
    <x:col min="23" max="23" width="22.6299991607666" hidden="0" customWidth="1"/>
    <x:col min="24" max="24" width="23.3799991607666" hidden="0" customWidth="1"/>
    <x:col min="25" max="25" width="18.8799991607666" hidden="0" customWidth="1"/>
    <x:col min="26" max="26" width="13.5" hidden="0" customWidth="1"/>
    <x:col min="27" max="27" width="14.25" hidden="0" customWidth="1"/>
    <x:col min="28" max="28" width="11.130000114440918" hidden="0" customWidth="1"/>
    <x:col min="29" max="29" width="20.6299991607666" hidden="0" customWidth="1"/>
    <x:col min="30" max="30" width="26.25" hidden="0" customWidth="1"/>
    <x:col min="31" max="31" width="7.75" hidden="0" customWidth="1"/>
    <x:col min="32" max="32" width="21.75" hidden="0" customWidth="1"/>
    <x:col min="33" max="33" width="22.3799991607666" hidden="0" customWidth="1"/>
    <x:col min="34" max="34" width="38" hidden="0" customWidth="1"/>
    <x:col min="35" max="35" width="38" hidden="0" customWidth="1"/>
    <x:col min="36" max="36" width="18.75" hidden="0" customWidth="1"/>
    <x:col min="37" max="37" width="8.25" hidden="0" customWidth="1"/>
    <x:col min="38" max="38" width="16" hidden="0" customWidth="1"/>
  </x:cols>
  <x:sheetData>
    <x:row r="1">
      <x:c r="A1" s="5" t="str">
        <x:v>Projects Awaiting Original Project JSON for Line-Item Category Mapping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3">
      <x:c r="A3" s="14" t="str">
        <x:v>S.No.</x:v>
      </x:c>
      <x:c r="B3" s="14" t="str">
        <x:v>Contribution ID</x:v>
      </x:c>
      <x:c r="C3" s="14" t="str">
        <x:v>District</x:v>
      </x:c>
      <x:c r="D3" s="14" t="str">
        <x:v>State</x:v>
      </x:c>
      <x:c r="E3" s="14" t="str">
        <x:v>Project ID</x:v>
      </x:c>
      <x:c r="F3" s="14" t="str">
        <x:v>Project UID</x:v>
      </x:c>
      <x:c r="G3" s="14" t="str">
        <x:v>Project Name</x:v>
      </x:c>
      <x:c r="H3" s="14" t="str">
        <x:v>Theme</x:v>
      </x:c>
      <x:c r="I3" s="14" t="str">
        <x:v>Expected Start</x:v>
      </x:c>
      <x:c r="J3" s="14" t="str">
        <x:v>Expected End</x:v>
      </x:c>
      <x:c r="K3" s="14" t="str">
        <x:v>Extended Till</x:v>
      </x:c>
      <x:c r="L3" s="14" t="str">
        <x:v>Date Gate</x:v>
      </x:c>
      <x:c r="M3" s="14" t="str">
        <x:v>Project Category</x:v>
      </x:c>
      <x:c r="N3" s="14" t="str">
        <x:v>Category Basis</x:v>
      </x:c>
      <x:c r="O3" s="14" t="str">
        <x:v>Centre Count</x:v>
      </x:c>
      <x:c r="P3" s="14" t="str">
        <x:v>Centre Names</x:v>
      </x:c>
      <x:c r="Q3" s="14" t="str">
        <x:v>Centre Codes</x:v>
      </x:c>
      <x:c r="R3" s="14" t="str">
        <x:v>Beneficiaries / Impact Qty</x:v>
      </x:c>
      <x:c r="S3" s="14" t="str">
        <x:v>Portal Budget</x:v>
      </x:c>
      <x:c r="T3" s="14" t="str">
        <x:v>Description</x:v>
      </x:c>
      <x:c r="U3" s="14" t="str">
        <x:v>Expected Outcome</x:v>
      </x:c>
      <x:c r="V3" s="14" t="str">
        <x:v>Partial Contribution</x:v>
      </x:c>
      <x:c r="W3" s="14" t="str">
        <x:v>Committed Activity Count</x:v>
      </x:c>
      <x:c r="X3" s="14" t="str">
        <x:v>Contributed Activity Count</x:v>
      </x:c>
      <x:c r="Y3" s="14" t="str">
        <x:v>Total Committed Qty</x:v>
      </x:c>
      <x:c r="Z3" s="14" t="str">
        <x:v>Delivered Qty</x:v>
      </x:c>
      <x:c r="AA3" s="14" t="str">
        <x:v>Remaining Qty</x:v>
      </x:c>
      <x:c r="AB3" s="14" t="str">
        <x:v>Delivery %</x:v>
      </x:c>
      <x:c r="AC3" s="14" t="str">
        <x:v>Delivery Status</x:v>
      </x:c>
      <x:c r="AD3" s="14" t="str">
        <x:v>Approval Record</x:v>
      </x:c>
      <x:c r="AE3" s="14" t="str">
        <x:v>Active</x:v>
      </x:c>
      <x:c r="AF3" s="14" t="str">
        <x:v>Contribution Created On</x:v>
      </x:c>
      <x:c r="AG3" s="14" t="str">
        <x:v>Contribution Updated On</x:v>
      </x:c>
      <x:c r="AH3" s="14" t="str">
        <x:v>Source Enrichment</x:v>
      </x:c>
      <x:c r="AI3" s="14" t="str">
        <x:v>Source Notes</x:v>
      </x:c>
      <x:c r="AJ3" s="14" t="str">
        <x:v>Internal Work Status</x:v>
      </x:c>
      <x:c r="AK3" s="14" t="str">
        <x:v>Owner</x:v>
      </x:c>
      <x:c r="AL3" s="14" t="str">
        <x:v>Internal Remarks</x:v>
      </x:c>
    </x:row>
    <x:row r="4">
      <x:c r="A4" s="26" t="n">
        <x:v>37</x:v>
      </x:c>
      <x:c r="B4" s="26" t="n">
        <x:v>255</x:v>
      </x:c>
      <x:c r="C4" s="26" t="str">
        <x:v>Kumuram Bheem Asifabad</x:v>
      </x:c>
      <x:c r="D4" s="26" t="str">
        <x:v>Telangana</x:v>
      </x:c>
      <x:c r="E4" s="26" t="n">
        <x:v>9927</x:v>
      </x:c>
      <x:c r="F4" s="26" t="str">
        <x:v>PRJ-2026-0009927</x:v>
      </x:c>
      <x:c r="G4" s="26" t="str">
        <x:v>Rain Water Harvesting System : Water Filter Kitchen Construction : Poshan Vatika  kitchen Shelves : Gas stove, regulator : Solar Panel : Civil Repair : Toilet</x:v>
      </x:c>
      <x:c r="H4" s="26" t="str">
        <x:v>Mission Saksham Anganwadi &amp; POSHAN 2.0</x:v>
      </x:c>
      <x:c r="I4" s="32" t="n">
        <x:v>46164</x:v>
      </x:c>
      <x:c r="J4" s="32" t="n">
        <x:v>46255</x:v>
      </x:c>
      <x:c r="K4" s="32"/>
      <x:c r="L4" s="26" t="str">
        <x:v>Active: On/After 01-Aug-2026</x:v>
      </x:c>
      <x:c r="M4" s="26" t="str">
        <x:v>Pending Mapping</x:v>
      </x:c>
      <x:c r="N4" s="26" t="str">
        <x:v>Original project JSON not available</x:v>
      </x:c>
      <x:c r="O4" s="26"/>
      <x:c r="P4" s="26" t="str"/>
      <x:c r="Q4" s="26" t="str"/>
      <x:c r="R4" s="26"/>
      <x:c r="S4" s="36"/>
      <x:c r="T4" s="26"/>
      <x:c r="U4" s="26"/>
      <x:c r="V4" s="26"/>
      <x:c r="W4" s="26" t="n">
        <x:v>4</x:v>
      </x:c>
      <x:c r="X4" s="26" t="n">
        <x:v>0</x:v>
      </x:c>
      <x:c r="Y4" s="26" t="n">
        <x:v>4</x:v>
      </x:c>
      <x:c r="Z4" s="26" t="n">
        <x:v>0</x:v>
      </x:c>
      <x:c r="AA4" s="26" t="n">
        <x:v>4</x:v>
      </x:c>
      <x:c r="AB4" s="38" t="n">
        <x:v>0</x:v>
      </x:c>
      <x:c r="AC4" s="26" t="str">
        <x:v>Committed / Not Delivered</x:v>
      </x:c>
      <x:c r="AD4" s="26" t="str">
        <x:v>Approval not recorded in response</x:v>
      </x:c>
      <x:c r="AE4" s="27" t="b">
        <x:v>1</x:v>
      </x:c>
      <x:c r="AF4" s="34" t="n">
        <x:v>46220.000069444446</x:v>
      </x:c>
      <x:c r="AG4" s="34"/>
      <x:c r="AH4" s="26" t="str">
        <x:v>Contribution API fields only; original project JSON needed for line-item names/centres/category</x:v>
      </x:c>
      <x:c r="AI4" s="26" t="str"/>
      <x:c r="AJ4" s="26" t="str">
        <x:v>Not Started</x:v>
      </x:c>
      <x:c r="AK4" s="26" t="str"/>
      <x:c r="AL4" s="26" t="str"/>
    </x:row>
    <x:row r="5">
      <x:c r="A5" s="26" t="n">
        <x:v>38</x:v>
      </x:c>
      <x:c r="B5" s="26" t="n">
        <x:v>254</x:v>
      </x:c>
      <x:c r="C5" s="26" t="str">
        <x:v>Kumuram Bheem Asifabad</x:v>
      </x:c>
      <x:c r="D5" s="26" t="str">
        <x:v>Telangana</x:v>
      </x:c>
      <x:c r="E5" s="26" t="n">
        <x:v>9928</x:v>
      </x:c>
      <x:c r="F5" s="26" t="str">
        <x:v>PRJ-2026-0009928</x:v>
      </x:c>
      <x:c r="G5" s="26" t="str">
        <x:v>Proposal for upgradation of Anganwadi centre</x:v>
      </x:c>
      <x:c r="H5" s="26" t="str">
        <x:v>Mission Saksham Anganwadi &amp; POSHAN 2.0</x:v>
      </x:c>
      <x:c r="I5" s="32" t="n">
        <x:v>46171</x:v>
      </x:c>
      <x:c r="J5" s="32" t="n">
        <x:v>46203</x:v>
      </x:c>
      <x:c r="K5" s="32"/>
      <x:c r="L5" s="26" t="str">
        <x:v>Exclude: Before 01-Aug-2026</x:v>
      </x:c>
      <x:c r="M5" s="26" t="str">
        <x:v>Pending Mapping</x:v>
      </x:c>
      <x:c r="N5" s="26" t="str">
        <x:v>Original project JSON not available</x:v>
      </x:c>
      <x:c r="O5" s="26"/>
      <x:c r="P5" s="26" t="str"/>
      <x:c r="Q5" s="26" t="str"/>
      <x:c r="R5" s="26"/>
      <x:c r="S5" s="36"/>
      <x:c r="T5" s="26"/>
      <x:c r="U5" s="26"/>
      <x:c r="V5" s="26"/>
      <x:c r="W5" s="26" t="n">
        <x:v>3</x:v>
      </x:c>
      <x:c r="X5" s="26" t="n">
        <x:v>0</x:v>
      </x:c>
      <x:c r="Y5" s="26" t="n">
        <x:v>3</x:v>
      </x:c>
      <x:c r="Z5" s="26" t="n">
        <x:v>0</x:v>
      </x:c>
      <x:c r="AA5" s="26" t="n">
        <x:v>3</x:v>
      </x:c>
      <x:c r="AB5" s="38" t="n">
        <x:v>0</x:v>
      </x:c>
      <x:c r="AC5" s="26" t="str">
        <x:v>Committed / Not Delivered</x:v>
      </x:c>
      <x:c r="AD5" s="26" t="str">
        <x:v>Approval not recorded in response</x:v>
      </x:c>
      <x:c r="AE5" s="27" t="b">
        <x:v>1</x:v>
      </x:c>
      <x:c r="AF5" s="34" t="n">
        <x:v>46220.00005787037</x:v>
      </x:c>
      <x:c r="AG5" s="34"/>
      <x:c r="AH5" s="26" t="str">
        <x:v>Contribution API fields only; original project JSON needed for line-item names/centres/category</x:v>
      </x:c>
      <x:c r="AI5" s="26" t="str"/>
      <x:c r="AJ5" s="26" t="str">
        <x:v>Not Started</x:v>
      </x:c>
      <x:c r="AK5" s="26" t="str"/>
      <x:c r="AL5" s="26" t="str"/>
    </x:row>
    <x:row r="6">
      <x:c r="A6" s="26" t="n">
        <x:v>39</x:v>
      </x:c>
      <x:c r="B6" s="26" t="n">
        <x:v>252</x:v>
      </x:c>
      <x:c r="C6" s="26" t="str">
        <x:v>Kumuram Bheem Asifabad</x:v>
      </x:c>
      <x:c r="D6" s="26" t="str">
        <x:v>Telangana</x:v>
      </x:c>
      <x:c r="E6" s="26" t="n">
        <x:v>9968</x:v>
      </x:c>
      <x:c r="F6" s="26" t="str">
        <x:v>PRJ-2026-0009968</x:v>
      </x:c>
      <x:c r="G6" s="26" t="str">
        <x:v>Proposal for upgradation of Anganwadi centre</x:v>
      </x:c>
      <x:c r="H6" s="26" t="str">
        <x:v>Mission Saksham Anganwadi &amp; POSHAN 2.0</x:v>
      </x:c>
      <x:c r="I6" s="32" t="n">
        <x:v>46164</x:v>
      </x:c>
      <x:c r="J6" s="32" t="n">
        <x:v>46203</x:v>
      </x:c>
      <x:c r="K6" s="32"/>
      <x:c r="L6" s="26" t="str">
        <x:v>Exclude: Before 01-Aug-2026</x:v>
      </x:c>
      <x:c r="M6" s="26" t="str">
        <x:v>Pending Mapping</x:v>
      </x:c>
      <x:c r="N6" s="26" t="str">
        <x:v>Original project JSON not available</x:v>
      </x:c>
      <x:c r="O6" s="26"/>
      <x:c r="P6" s="26" t="str"/>
      <x:c r="Q6" s="26" t="str"/>
      <x:c r="R6" s="26"/>
      <x:c r="S6" s="36"/>
      <x:c r="T6" s="26"/>
      <x:c r="U6" s="26"/>
      <x:c r="V6" s="26"/>
      <x:c r="W6" s="26" t="n">
        <x:v>2</x:v>
      </x:c>
      <x:c r="X6" s="26" t="n">
        <x:v>0</x:v>
      </x:c>
      <x:c r="Y6" s="26" t="n">
        <x:v>2</x:v>
      </x:c>
      <x:c r="Z6" s="26" t="n">
        <x:v>0</x:v>
      </x:c>
      <x:c r="AA6" s="26" t="n">
        <x:v>2</x:v>
      </x:c>
      <x:c r="AB6" s="38" t="n">
        <x:v>0</x:v>
      </x:c>
      <x:c r="AC6" s="26" t="str">
        <x:v>Committed / Not Delivered</x:v>
      </x:c>
      <x:c r="AD6" s="26" t="str">
        <x:v>Approval not recorded in response</x:v>
      </x:c>
      <x:c r="AE6" s="27" t="b">
        <x:v>1</x:v>
      </x:c>
      <x:c r="AF6" s="34" t="n">
        <x:v>46220.0000462963</x:v>
      </x:c>
      <x:c r="AG6" s="34"/>
      <x:c r="AH6" s="26" t="str">
        <x:v>Contribution API fields only; original project JSON needed for line-item names/centres/category</x:v>
      </x:c>
      <x:c r="AI6" s="26" t="str"/>
      <x:c r="AJ6" s="26" t="str">
        <x:v>Not Started</x:v>
      </x:c>
      <x:c r="AK6" s="26" t="str"/>
      <x:c r="AL6" s="26" t="str"/>
    </x:row>
    <x:row r="7">
      <x:c r="A7" s="26" t="n">
        <x:v>40</x:v>
      </x:c>
      <x:c r="B7" s="26" t="n">
        <x:v>253</x:v>
      </x:c>
      <x:c r="C7" s="26" t="str">
        <x:v>Kumuram Bheem Asifabad</x:v>
      </x:c>
      <x:c r="D7" s="26" t="str">
        <x:v>Telangana</x:v>
      </x:c>
      <x:c r="E7" s="26" t="n">
        <x:v>9960</x:v>
      </x:c>
      <x:c r="F7" s="26" t="str">
        <x:v>PRJ-2026-0009960</x:v>
      </x:c>
      <x:c r="G7" s="26" t="str">
        <x:v>Rain Water Harvesting System : Water Filter Kitchen Construction : Poshan Vatika  kitchen Shelves : Gas stove, regulator : Solar Panel : Civil Repair : Toilet</x:v>
      </x:c>
      <x:c r="H7" s="26" t="str">
        <x:v>Mission Saksham Anganwadi &amp; POSHAN 2.0</x:v>
      </x:c>
      <x:c r="I7" s="32" t="n">
        <x:v>46164</x:v>
      </x:c>
      <x:c r="J7" s="32" t="n">
        <x:v>46255</x:v>
      </x:c>
      <x:c r="K7" s="32"/>
      <x:c r="L7" s="26" t="str">
        <x:v>Active: On/After 01-Aug-2026</x:v>
      </x:c>
      <x:c r="M7" s="26" t="str">
        <x:v>Pending Mapping</x:v>
      </x:c>
      <x:c r="N7" s="26" t="str">
        <x:v>Original project JSON not available</x:v>
      </x:c>
      <x:c r="O7" s="26"/>
      <x:c r="P7" s="26" t="str"/>
      <x:c r="Q7" s="26" t="str"/>
      <x:c r="R7" s="26"/>
      <x:c r="S7" s="36"/>
      <x:c r="T7" s="26"/>
      <x:c r="U7" s="26"/>
      <x:c r="V7" s="26"/>
      <x:c r="W7" s="26" t="n">
        <x:v>4</x:v>
      </x:c>
      <x:c r="X7" s="26" t="n">
        <x:v>0</x:v>
      </x:c>
      <x:c r="Y7" s="26" t="n">
        <x:v>4</x:v>
      </x:c>
      <x:c r="Z7" s="26" t="n">
        <x:v>0</x:v>
      </x:c>
      <x:c r="AA7" s="26" t="n">
        <x:v>4</x:v>
      </x:c>
      <x:c r="AB7" s="38" t="n">
        <x:v>0</x:v>
      </x:c>
      <x:c r="AC7" s="26" t="str">
        <x:v>Committed / Not Delivered</x:v>
      </x:c>
      <x:c r="AD7" s="26" t="str">
        <x:v>Approval not recorded in response</x:v>
      </x:c>
      <x:c r="AE7" s="27" t="b">
        <x:v>1</x:v>
      </x:c>
      <x:c r="AF7" s="34" t="n">
        <x:v>46220.0000462963</x:v>
      </x:c>
      <x:c r="AG7" s="34"/>
      <x:c r="AH7" s="26" t="str">
        <x:v>Contribution API fields only; original project JSON needed for line-item names/centres/category</x:v>
      </x:c>
      <x:c r="AI7" s="26" t="str"/>
      <x:c r="AJ7" s="26" t="str">
        <x:v>Not Started</x:v>
      </x:c>
      <x:c r="AK7" s="26" t="str"/>
      <x:c r="AL7" s="26" t="str"/>
    </x:row>
    <x:row r="8">
      <x:c r="A8" s="26" t="n">
        <x:v>41</x:v>
      </x:c>
      <x:c r="B8" s="26" t="n">
        <x:v>250</x:v>
      </x:c>
      <x:c r="C8" s="26" t="str">
        <x:v>Kumuram Bheem Asifabad</x:v>
      </x:c>
      <x:c r="D8" s="26" t="str">
        <x:v>Telangana</x:v>
      </x:c>
      <x:c r="E8" s="26" t="n">
        <x:v>10004</x:v>
      </x:c>
      <x:c r="F8" s="26" t="str">
        <x:v>PRJ-2026-0010004</x:v>
      </x:c>
      <x:c r="G8" s="26" t="str">
        <x:v>Proposal for upgradation of AWC</x:v>
      </x:c>
      <x:c r="H8" s="26" t="str">
        <x:v>Mission Saksham Anganwadi &amp; POSHAN 2.0</x:v>
      </x:c>
      <x:c r="I8" s="32" t="n">
        <x:v>46164</x:v>
      </x:c>
      <x:c r="J8" s="32" t="n">
        <x:v>46203</x:v>
      </x:c>
      <x:c r="K8" s="32"/>
      <x:c r="L8" s="26" t="str">
        <x:v>Exclude: Before 01-Aug-2026</x:v>
      </x:c>
      <x:c r="M8" s="26" t="str">
        <x:v>Pending Mapping</x:v>
      </x:c>
      <x:c r="N8" s="26" t="str">
        <x:v>Original project JSON not available</x:v>
      </x:c>
      <x:c r="O8" s="26"/>
      <x:c r="P8" s="26" t="str"/>
      <x:c r="Q8" s="26" t="str"/>
      <x:c r="R8" s="26"/>
      <x:c r="S8" s="36"/>
      <x:c r="T8" s="26"/>
      <x:c r="U8" s="26"/>
      <x:c r="V8" s="26"/>
      <x:c r="W8" s="26" t="n">
        <x:v>2</x:v>
      </x:c>
      <x:c r="X8" s="26" t="n">
        <x:v>0</x:v>
      </x:c>
      <x:c r="Y8" s="26" t="n">
        <x:v>2</x:v>
      </x:c>
      <x:c r="Z8" s="26" t="n">
        <x:v>0</x:v>
      </x:c>
      <x:c r="AA8" s="26" t="n">
        <x:v>2</x:v>
      </x:c>
      <x:c r="AB8" s="38" t="n">
        <x:v>0</x:v>
      </x:c>
      <x:c r="AC8" s="26" t="str">
        <x:v>Committed / Not Delivered</x:v>
      </x:c>
      <x:c r="AD8" s="26" t="str">
        <x:v>Approval not recorded in response</x:v>
      </x:c>
      <x:c r="AE8" s="27" t="b">
        <x:v>1</x:v>
      </x:c>
      <x:c r="AF8" s="34" t="n">
        <x:v>46220.00003472222</x:v>
      </x:c>
      <x:c r="AG8" s="34"/>
      <x:c r="AH8" s="26" t="str">
        <x:v>Contribution API fields only; original project JSON needed for line-item names/centres/category</x:v>
      </x:c>
      <x:c r="AI8" s="26" t="str"/>
      <x:c r="AJ8" s="26" t="str">
        <x:v>Not Started</x:v>
      </x:c>
      <x:c r="AK8" s="26" t="str"/>
      <x:c r="AL8" s="26" t="str"/>
    </x:row>
    <x:row r="9">
      <x:c r="A9" s="26" t="n">
        <x:v>42</x:v>
      </x:c>
      <x:c r="B9" s="26" t="n">
        <x:v>251</x:v>
      </x:c>
      <x:c r="C9" s="26" t="str">
        <x:v>Kumuram Bheem Asifabad</x:v>
      </x:c>
      <x:c r="D9" s="26" t="str">
        <x:v>Telangana</x:v>
      </x:c>
      <x:c r="E9" s="26" t="n">
        <x:v>9991</x:v>
      </x:c>
      <x:c r="F9" s="26" t="str">
        <x:v>PRJ-2026-0009991</x:v>
      </x:c>
      <x:c r="G9" s="26" t="str">
        <x:v>Rain Water Harvesting System : Water Filter Kitchen Construction : Poshan Vatika  kitchen Shelves : Gas stove, regulator : Solar Panel : Civil Repair : Toilet</x:v>
      </x:c>
      <x:c r="H9" s="26" t="str">
        <x:v>Mission Saksham Anganwadi &amp; POSHAN 2.0</x:v>
      </x:c>
      <x:c r="I9" s="32" t="n">
        <x:v>46164</x:v>
      </x:c>
      <x:c r="J9" s="32" t="n">
        <x:v>46255</x:v>
      </x:c>
      <x:c r="K9" s="32"/>
      <x:c r="L9" s="26" t="str">
        <x:v>Active: On/After 01-Aug-2026</x:v>
      </x:c>
      <x:c r="M9" s="26" t="str">
        <x:v>Pending Mapping</x:v>
      </x:c>
      <x:c r="N9" s="26" t="str">
        <x:v>Original project JSON not available</x:v>
      </x:c>
      <x:c r="O9" s="26"/>
      <x:c r="P9" s="26" t="str"/>
      <x:c r="Q9" s="26" t="str"/>
      <x:c r="R9" s="26"/>
      <x:c r="S9" s="36"/>
      <x:c r="T9" s="26"/>
      <x:c r="U9" s="26"/>
      <x:c r="V9" s="26"/>
      <x:c r="W9" s="26" t="n">
        <x:v>4</x:v>
      </x:c>
      <x:c r="X9" s="26" t="n">
        <x:v>0</x:v>
      </x:c>
      <x:c r="Y9" s="26" t="n">
        <x:v>4</x:v>
      </x:c>
      <x:c r="Z9" s="26" t="n">
        <x:v>0</x:v>
      </x:c>
      <x:c r="AA9" s="26" t="n">
        <x:v>4</x:v>
      </x:c>
      <x:c r="AB9" s="38" t="n">
        <x:v>0</x:v>
      </x:c>
      <x:c r="AC9" s="26" t="str">
        <x:v>Committed / Not Delivered</x:v>
      </x:c>
      <x:c r="AD9" s="26" t="str">
        <x:v>Approval not recorded in response</x:v>
      </x:c>
      <x:c r="AE9" s="27" t="b">
        <x:v>1</x:v>
      </x:c>
      <x:c r="AF9" s="34" t="n">
        <x:v>46220.00003472222</x:v>
      </x:c>
      <x:c r="AG9" s="34"/>
      <x:c r="AH9" s="26" t="str">
        <x:v>Contribution API fields only; original project JSON needed for line-item names/centres/category</x:v>
      </x:c>
      <x:c r="AI9" s="26" t="str"/>
      <x:c r="AJ9" s="26" t="str">
        <x:v>Not Started</x:v>
      </x:c>
      <x:c r="AK9" s="26" t="str"/>
      <x:c r="AL9" s="26" t="str"/>
    </x:row>
    <x:row r="10">
      <x:c r="A10" s="26" t="n">
        <x:v>43</x:v>
      </x:c>
      <x:c r="B10" s="26" t="n">
        <x:v>249</x:v>
      </x:c>
      <x:c r="C10" s="26" t="str">
        <x:v>Kumuram Bheem Asifabad</x:v>
      </x:c>
      <x:c r="D10" s="26" t="str">
        <x:v>Telangana</x:v>
      </x:c>
      <x:c r="E10" s="26" t="n">
        <x:v>10024</x:v>
      </x:c>
      <x:c r="F10" s="26" t="str">
        <x:v>PRJ-2026-0010024</x:v>
      </x:c>
      <x:c r="G10" s="26" t="str">
        <x:v>Rain Water Harvesting System : Water Filter Kitchen Construction : Poshan Vatika  kitchen Shelves : Gas stove, regulator : Solar Panel : Civil Repair : Toilet</x:v>
      </x:c>
      <x:c r="H10" s="26" t="str">
        <x:v>Mission Saksham Anganwadi &amp; POSHAN 2.0</x:v>
      </x:c>
      <x:c r="I10" s="32" t="n">
        <x:v>46164</x:v>
      </x:c>
      <x:c r="J10" s="32" t="n">
        <x:v>46255</x:v>
      </x:c>
      <x:c r="K10" s="32"/>
      <x:c r="L10" s="26" t="str">
        <x:v>Active: On/After 01-Aug-2026</x:v>
      </x:c>
      <x:c r="M10" s="26" t="str">
        <x:v>Pending Mapping</x:v>
      </x:c>
      <x:c r="N10" s="26" t="str">
        <x:v>Original project JSON not available</x:v>
      </x:c>
      <x:c r="O10" s="26"/>
      <x:c r="P10" s="26" t="str"/>
      <x:c r="Q10" s="26" t="str"/>
      <x:c r="R10" s="26"/>
      <x:c r="S10" s="36"/>
      <x:c r="T10" s="26"/>
      <x:c r="U10" s="26"/>
      <x:c r="V10" s="26"/>
      <x:c r="W10" s="26" t="n">
        <x:v>4</x:v>
      </x:c>
      <x:c r="X10" s="26" t="n">
        <x:v>0</x:v>
      </x:c>
      <x:c r="Y10" s="26" t="n">
        <x:v>4</x:v>
      </x:c>
      <x:c r="Z10" s="26" t="n">
        <x:v>0</x:v>
      </x:c>
      <x:c r="AA10" s="26" t="n">
        <x:v>4</x:v>
      </x:c>
      <x:c r="AB10" s="38" t="n">
        <x:v>0</x:v>
      </x:c>
      <x:c r="AC10" s="26" t="str">
        <x:v>Committed / Not Delivered</x:v>
      </x:c>
      <x:c r="AD10" s="26" t="str">
        <x:v>Approval not recorded in response</x:v>
      </x:c>
      <x:c r="AE10" s="27" t="b">
        <x:v>1</x:v>
      </x:c>
      <x:c r="AF10" s="34" t="n">
        <x:v>46220.000023148146</x:v>
      </x:c>
      <x:c r="AG10" s="34"/>
      <x:c r="AH10" s="26" t="str">
        <x:v>Contribution API fields only; original project JSON needed for line-item names/centres/category</x:v>
      </x:c>
      <x:c r="AI10" s="26" t="str"/>
      <x:c r="AJ10" s="26" t="str">
        <x:v>Not Started</x:v>
      </x:c>
      <x:c r="AK10" s="26" t="str"/>
      <x:c r="AL10" s="26" t="str"/>
    </x:row>
    <x:row r="11">
      <x:c r="A11" s="26" t="n">
        <x:v>44</x:v>
      </x:c>
      <x:c r="B11" s="26" t="n">
        <x:v>248</x:v>
      </x:c>
      <x:c r="C11" s="26" t="str">
        <x:v>Kumuram Bheem Asifabad</x:v>
      </x:c>
      <x:c r="D11" s="26" t="str">
        <x:v>Telangana</x:v>
      </x:c>
      <x:c r="E11" s="26" t="n">
        <x:v>10046</x:v>
      </x:c>
      <x:c r="F11" s="26" t="str">
        <x:v>PRJ-2026-0010046</x:v>
      </x:c>
      <x:c r="G11" s="26" t="str">
        <x:v>Proposal for upgradation of AWC</x:v>
      </x:c>
      <x:c r="H11" s="26" t="str">
        <x:v>Mission Saksham Anganwadi &amp; POSHAN 2.0</x:v>
      </x:c>
      <x:c r="I11" s="32" t="n">
        <x:v>46164</x:v>
      </x:c>
      <x:c r="J11" s="32" t="n">
        <x:v>46203</x:v>
      </x:c>
      <x:c r="K11" s="32"/>
      <x:c r="L11" s="26" t="str">
        <x:v>Exclude: Before 01-Aug-2026</x:v>
      </x:c>
      <x:c r="M11" s="26" t="str">
        <x:v>Pending Mapping</x:v>
      </x:c>
      <x:c r="N11" s="26" t="str">
        <x:v>Original project JSON not available</x:v>
      </x:c>
      <x:c r="O11" s="26"/>
      <x:c r="P11" s="26" t="str"/>
      <x:c r="Q11" s="26" t="str"/>
      <x:c r="R11" s="26"/>
      <x:c r="S11" s="36"/>
      <x:c r="T11" s="26"/>
      <x:c r="U11" s="26"/>
      <x:c r="V11" s="26"/>
      <x:c r="W11" s="26" t="n">
        <x:v>4</x:v>
      </x:c>
      <x:c r="X11" s="26" t="n">
        <x:v>0</x:v>
      </x:c>
      <x:c r="Y11" s="26" t="n">
        <x:v>22</x:v>
      </x:c>
      <x:c r="Z11" s="26" t="n">
        <x:v>0</x:v>
      </x:c>
      <x:c r="AA11" s="26" t="n">
        <x:v>22</x:v>
      </x:c>
      <x:c r="AB11" s="38" t="n">
        <x:v>0</x:v>
      </x:c>
      <x:c r="AC11" s="26" t="str">
        <x:v>Committed / Not Delivered</x:v>
      </x:c>
      <x:c r="AD11" s="26" t="str">
        <x:v>Approval not recorded in response</x:v>
      </x:c>
      <x:c r="AE11" s="27" t="b">
        <x:v>1</x:v>
      </x:c>
      <x:c r="AF11" s="34" t="n">
        <x:v>46220.00001157408</x:v>
      </x:c>
      <x:c r="AG11" s="34"/>
      <x:c r="AH11" s="26" t="str">
        <x:v>Contribution API fields only; original project JSON needed for line-item names/centres/category</x:v>
      </x:c>
      <x:c r="AI11" s="26" t="str"/>
      <x:c r="AJ11" s="26" t="str">
        <x:v>Not Started</x:v>
      </x:c>
      <x:c r="AK11" s="26" t="str"/>
      <x:c r="AL11" s="26" t="str"/>
    </x:row>
    <x:row r="12">
      <x:c r="A12" s="26" t="n">
        <x:v>45</x:v>
      </x:c>
      <x:c r="B12" s="26" t="n">
        <x:v>246</x:v>
      </x:c>
      <x:c r="C12" s="26" t="str">
        <x:v>Kumuram Bheem Asifabad</x:v>
      </x:c>
      <x:c r="D12" s="26" t="str">
        <x:v>Telangana</x:v>
      </x:c>
      <x:c r="E12" s="26" t="n">
        <x:v>10089</x:v>
      </x:c>
      <x:c r="F12" s="26" t="str">
        <x:v>PRJ-2026-0010089</x:v>
      </x:c>
      <x:c r="G12" s="26" t="str">
        <x:v>Rain Water Harvesting System : Water Filter Kitchen Construction : Poshan Vatika  kitchen Shelves : Gas stove, regulator : Solar Panel : Civil Repair : Toilet</x:v>
      </x:c>
      <x:c r="H12" s="26" t="str">
        <x:v>Mission Saksham Anganwadi &amp; POSHAN 2.0</x:v>
      </x:c>
      <x:c r="I12" s="32" t="n">
        <x:v>46164</x:v>
      </x:c>
      <x:c r="J12" s="32" t="n">
        <x:v>46255</x:v>
      </x:c>
      <x:c r="K12" s="32"/>
      <x:c r="L12" s="26" t="str">
        <x:v>Active: On/After 01-Aug-2026</x:v>
      </x:c>
      <x:c r="M12" s="26" t="str">
        <x:v>Pending Mapping</x:v>
      </x:c>
      <x:c r="N12" s="26" t="str">
        <x:v>Original project JSON not available</x:v>
      </x:c>
      <x:c r="O12" s="26"/>
      <x:c r="P12" s="26" t="str"/>
      <x:c r="Q12" s="26" t="str"/>
      <x:c r="R12" s="26"/>
      <x:c r="S12" s="36"/>
      <x:c r="T12" s="26"/>
      <x:c r="U12" s="26"/>
      <x:c r="V12" s="26"/>
      <x:c r="W12" s="26" t="n">
        <x:v>4</x:v>
      </x:c>
      <x:c r="X12" s="26" t="n">
        <x:v>0</x:v>
      </x:c>
      <x:c r="Y12" s="26" t="n">
        <x:v>4</x:v>
      </x:c>
      <x:c r="Z12" s="26" t="n">
        <x:v>0</x:v>
      </x:c>
      <x:c r="AA12" s="26" t="n">
        <x:v>4</x:v>
      </x:c>
      <x:c r="AB12" s="38" t="n">
        <x:v>0</x:v>
      </x:c>
      <x:c r="AC12" s="26" t="str">
        <x:v>Committed / Not Delivered</x:v>
      </x:c>
      <x:c r="AD12" s="26" t="str">
        <x:v>Approval not recorded in response</x:v>
      </x:c>
      <x:c r="AE12" s="27" t="b">
        <x:v>1</x:v>
      </x:c>
      <x:c r="AF12" s="34" t="n">
        <x:v>46220</x:v>
      </x:c>
      <x:c r="AG12" s="34"/>
      <x:c r="AH12" s="26" t="str">
        <x:v>Contribution API fields only; original project JSON needed for line-item names/centres/category</x:v>
      </x:c>
      <x:c r="AI12" s="26" t="str"/>
      <x:c r="AJ12" s="26" t="str">
        <x:v>Not Started</x:v>
      </x:c>
      <x:c r="AK12" s="26" t="str"/>
      <x:c r="AL12" s="26" t="str"/>
    </x:row>
    <x:row r="13">
      <x:c r="A13" s="26" t="n">
        <x:v>46</x:v>
      </x:c>
      <x:c r="B13" s="26" t="n">
        <x:v>247</x:v>
      </x:c>
      <x:c r="C13" s="26" t="str">
        <x:v>Kumuram Bheem Asifabad</x:v>
      </x:c>
      <x:c r="D13" s="26" t="str">
        <x:v>Telangana</x:v>
      </x:c>
      <x:c r="E13" s="26" t="n">
        <x:v>10055</x:v>
      </x:c>
      <x:c r="F13" s="26" t="str">
        <x:v>PRJ-2026-0010055</x:v>
      </x:c>
      <x:c r="G13" s="26" t="str">
        <x:v>Rain Water Harvesting System : Water Filter Kitchen Construction : Poshan Vatika  kitchen Shelves : Gas stove, regulator : Solar Panel : Civil Repair : Toilet</x:v>
      </x:c>
      <x:c r="H13" s="26" t="str">
        <x:v>Mission Saksham Anganwadi &amp; POSHAN 2.0</x:v>
      </x:c>
      <x:c r="I13" s="32" t="n">
        <x:v>46164</x:v>
      </x:c>
      <x:c r="J13" s="32" t="n">
        <x:v>46256</x:v>
      </x:c>
      <x:c r="K13" s="32"/>
      <x:c r="L13" s="26" t="str">
        <x:v>Active: On/After 01-Aug-2026</x:v>
      </x:c>
      <x:c r="M13" s="26" t="str">
        <x:v>Pending Mapping</x:v>
      </x:c>
      <x:c r="N13" s="26" t="str">
        <x:v>Original project JSON not available</x:v>
      </x:c>
      <x:c r="O13" s="26"/>
      <x:c r="P13" s="26" t="str"/>
      <x:c r="Q13" s="26" t="str"/>
      <x:c r="R13" s="26"/>
      <x:c r="S13" s="36"/>
      <x:c r="T13" s="26"/>
      <x:c r="U13" s="26"/>
      <x:c r="V13" s="26"/>
      <x:c r="W13" s="26" t="n">
        <x:v>4</x:v>
      </x:c>
      <x:c r="X13" s="26" t="n">
        <x:v>0</x:v>
      </x:c>
      <x:c r="Y13" s="26" t="n">
        <x:v>4</x:v>
      </x:c>
      <x:c r="Z13" s="26" t="n">
        <x:v>0</x:v>
      </x:c>
      <x:c r="AA13" s="26" t="n">
        <x:v>4</x:v>
      </x:c>
      <x:c r="AB13" s="38" t="n">
        <x:v>0</x:v>
      </x:c>
      <x:c r="AC13" s="26" t="str">
        <x:v>Committed / Not Delivered</x:v>
      </x:c>
      <x:c r="AD13" s="26" t="str">
        <x:v>Approval not recorded in response</x:v>
      </x:c>
      <x:c r="AE13" s="27" t="b">
        <x:v>1</x:v>
      </x:c>
      <x:c r="AF13" s="34" t="n">
        <x:v>46220</x:v>
      </x:c>
      <x:c r="AG13" s="34"/>
      <x:c r="AH13" s="26" t="str">
        <x:v>Contribution API fields only; original project JSON needed for line-item names/centres/category</x:v>
      </x:c>
      <x:c r="AI13" s="26" t="str"/>
      <x:c r="AJ13" s="26" t="str">
        <x:v>Not Started</x:v>
      </x:c>
      <x:c r="AK13" s="26" t="str"/>
      <x:c r="AL13" s="26" t="str"/>
    </x:row>
    <x:row r="14">
      <x:c r="A14" s="26" t="n">
        <x:v>47</x:v>
      </x:c>
      <x:c r="B14" s="26" t="n">
        <x:v>245</x:v>
      </x:c>
      <x:c r="C14" s="26" t="str">
        <x:v>Kumuram Bheem Asifabad</x:v>
      </x:c>
      <x:c r="D14" s="26" t="str">
        <x:v>Telangana</x:v>
      </x:c>
      <x:c r="E14" s="26" t="n">
        <x:v>10093</x:v>
      </x:c>
      <x:c r="F14" s="26" t="str">
        <x:v>PRJ-2026-0010093</x:v>
      </x:c>
      <x:c r="G14" s="26" t="str">
        <x:v>Proposal for upgradation of AWC</x:v>
      </x:c>
      <x:c r="H14" s="26" t="str">
        <x:v>Mission Saksham Anganwadi &amp; POSHAN 2.0</x:v>
      </x:c>
      <x:c r="I14" s="32" t="n">
        <x:v>46164</x:v>
      </x:c>
      <x:c r="J14" s="32" t="n">
        <x:v>46203</x:v>
      </x:c>
      <x:c r="K14" s="32"/>
      <x:c r="L14" s="26" t="str">
        <x:v>Exclude: Before 01-Aug-2026</x:v>
      </x:c>
      <x:c r="M14" s="26" t="str">
        <x:v>Pending Mapping</x:v>
      </x:c>
      <x:c r="N14" s="26" t="str">
        <x:v>Original project JSON not available</x:v>
      </x:c>
      <x:c r="O14" s="26"/>
      <x:c r="P14" s="26" t="str"/>
      <x:c r="Q14" s="26" t="str"/>
      <x:c r="R14" s="26"/>
      <x:c r="S14" s="36"/>
      <x:c r="T14" s="26"/>
      <x:c r="U14" s="26"/>
      <x:c r="V14" s="26"/>
      <x:c r="W14" s="26" t="n">
        <x:v>4</x:v>
      </x:c>
      <x:c r="X14" s="26" t="n">
        <x:v>0</x:v>
      </x:c>
      <x:c r="Y14" s="26" t="n">
        <x:v>8</x:v>
      </x:c>
      <x:c r="Z14" s="26" t="n">
        <x:v>0</x:v>
      </x:c>
      <x:c r="AA14" s="26" t="n">
        <x:v>8</x:v>
      </x:c>
      <x:c r="AB14" s="38" t="n">
        <x:v>0</x:v>
      </x:c>
      <x:c r="AC14" s="26" t="str">
        <x:v>Committed / Not Delivered</x:v>
      </x:c>
      <x:c r="AD14" s="26" t="str">
        <x:v>Approval not recorded in response</x:v>
      </x:c>
      <x:c r="AE14" s="27" t="b">
        <x:v>1</x:v>
      </x:c>
      <x:c r="AF14" s="34" t="n">
        <x:v>46219.99998842592</x:v>
      </x:c>
      <x:c r="AG14" s="34"/>
      <x:c r="AH14" s="26" t="str">
        <x:v>Contribution API fields only; original project JSON needed for line-item names/centres/category</x:v>
      </x:c>
      <x:c r="AI14" s="26" t="str"/>
      <x:c r="AJ14" s="26" t="str">
        <x:v>Not Started</x:v>
      </x:c>
      <x:c r="AK14" s="26" t="str"/>
      <x:c r="AL14" s="26" t="str"/>
    </x:row>
    <x:row r="15">
      <x:c r="A15" s="26" t="n">
        <x:v>48</x:v>
      </x:c>
      <x:c r="B15" s="26" t="n">
        <x:v>244</x:v>
      </x:c>
      <x:c r="C15" s="26" t="str">
        <x:v>Kumuram Bheem Asifabad</x:v>
      </x:c>
      <x:c r="D15" s="26" t="str">
        <x:v>Telangana</x:v>
      </x:c>
      <x:c r="E15" s="26" t="n">
        <x:v>10113</x:v>
      </x:c>
      <x:c r="F15" s="26" t="str">
        <x:v>PRJ-2026-0010113</x:v>
      </x:c>
      <x:c r="G15" s="26" t="str">
        <x:v>Rain Water Harvesting System : Water Filter Kitchen Construction : Poshan Vatika  kitchen Shelves : Gas stove, regulator : Solar Panel : Civil Repair : Toilet</x:v>
      </x:c>
      <x:c r="H15" s="26" t="str">
        <x:v>Mission Saksham Anganwadi &amp; POSHAN 2.0</x:v>
      </x:c>
      <x:c r="I15" s="32" t="n">
        <x:v>46164</x:v>
      </x:c>
      <x:c r="J15" s="32" t="n">
        <x:v>46255</x:v>
      </x:c>
      <x:c r="K15" s="32"/>
      <x:c r="L15" s="26" t="str">
        <x:v>Active: On/After 01-Aug-2026</x:v>
      </x:c>
      <x:c r="M15" s="26" t="str">
        <x:v>Pending Mapping</x:v>
      </x:c>
      <x:c r="N15" s="26" t="str">
        <x:v>Original project JSON not available</x:v>
      </x:c>
      <x:c r="O15" s="26"/>
      <x:c r="P15" s="26" t="str"/>
      <x:c r="Q15" s="26" t="str"/>
      <x:c r="R15" s="26"/>
      <x:c r="S15" s="36"/>
      <x:c r="T15" s="26"/>
      <x:c r="U15" s="26"/>
      <x:c r="V15" s="26"/>
      <x:c r="W15" s="26" t="n">
        <x:v>4</x:v>
      </x:c>
      <x:c r="X15" s="26" t="n">
        <x:v>0</x:v>
      </x:c>
      <x:c r="Y15" s="26" t="n">
        <x:v>4</x:v>
      </x:c>
      <x:c r="Z15" s="26" t="n">
        <x:v>0</x:v>
      </x:c>
      <x:c r="AA15" s="26" t="n">
        <x:v>4</x:v>
      </x:c>
      <x:c r="AB15" s="38" t="n">
        <x:v>0</x:v>
      </x:c>
      <x:c r="AC15" s="26" t="str">
        <x:v>Committed / Not Delivered</x:v>
      </x:c>
      <x:c r="AD15" s="26" t="str">
        <x:v>Approval not recorded in response</x:v>
      </x:c>
      <x:c r="AE15" s="27" t="b">
        <x:v>1</x:v>
      </x:c>
      <x:c r="AF15" s="34" t="n">
        <x:v>46219.999976851854</x:v>
      </x:c>
      <x:c r="AG15" s="34"/>
      <x:c r="AH15" s="26" t="str">
        <x:v>Contribution API fields only; original project JSON needed for line-item names/centres/category</x:v>
      </x:c>
      <x:c r="AI15" s="26" t="str"/>
      <x:c r="AJ15" s="26" t="str">
        <x:v>Not Started</x:v>
      </x:c>
      <x:c r="AK15" s="26" t="str"/>
      <x:c r="AL15" s="26" t="str"/>
    </x:row>
    <x:row r="16">
      <x:c r="A16" s="26" t="n">
        <x:v>49</x:v>
      </x:c>
      <x:c r="B16" s="26" t="n">
        <x:v>242</x:v>
      </x:c>
      <x:c r="C16" s="26" t="str">
        <x:v>Kumuram Bheem Asifabad</x:v>
      </x:c>
      <x:c r="D16" s="26" t="str">
        <x:v>Telangana</x:v>
      </x:c>
      <x:c r="E16" s="26" t="n">
        <x:v>10141</x:v>
      </x:c>
      <x:c r="F16" s="26" t="str">
        <x:v>PRJ-2026-0010141</x:v>
      </x:c>
      <x:c r="G16" s="26" t="str">
        <x:v>Rain Water Harvesting System : Water Filter Kitchen Construction : Poshan Vatika  kitchen Shelves : Gas stove, regulator : Solar Panel : Civil Repair : Toilet</x:v>
      </x:c>
      <x:c r="H16" s="26" t="str">
        <x:v>Mission Saksham Anganwadi &amp; POSHAN 2.0</x:v>
      </x:c>
      <x:c r="I16" s="32" t="n">
        <x:v>46164</x:v>
      </x:c>
      <x:c r="J16" s="32" t="n">
        <x:v>46255</x:v>
      </x:c>
      <x:c r="K16" s="32"/>
      <x:c r="L16" s="26" t="str">
        <x:v>Active: On/After 01-Aug-2026</x:v>
      </x:c>
      <x:c r="M16" s="26" t="str">
        <x:v>Pending Mapping</x:v>
      </x:c>
      <x:c r="N16" s="26" t="str">
        <x:v>Original project JSON not available</x:v>
      </x:c>
      <x:c r="O16" s="26"/>
      <x:c r="P16" s="26" t="str"/>
      <x:c r="Q16" s="26" t="str"/>
      <x:c r="R16" s="26"/>
      <x:c r="S16" s="36"/>
      <x:c r="T16" s="26"/>
      <x:c r="U16" s="26"/>
      <x:c r="V16" s="26"/>
      <x:c r="W16" s="26" t="n">
        <x:v>4</x:v>
      </x:c>
      <x:c r="X16" s="26" t="n">
        <x:v>0</x:v>
      </x:c>
      <x:c r="Y16" s="26" t="n">
        <x:v>4</x:v>
      </x:c>
      <x:c r="Z16" s="26" t="n">
        <x:v>0</x:v>
      </x:c>
      <x:c r="AA16" s="26" t="n">
        <x:v>4</x:v>
      </x:c>
      <x:c r="AB16" s="38" t="n">
        <x:v>0</x:v>
      </x:c>
      <x:c r="AC16" s="26" t="str">
        <x:v>Committed / Not Delivered</x:v>
      </x:c>
      <x:c r="AD16" s="26" t="str">
        <x:v>Approval not recorded in response</x:v>
      </x:c>
      <x:c r="AE16" s="27" t="b">
        <x:v>1</x:v>
      </x:c>
      <x:c r="AF16" s="34" t="n">
        <x:v>46219.99996527778</x:v>
      </x:c>
      <x:c r="AG16" s="34"/>
      <x:c r="AH16" s="26" t="str">
        <x:v>Contribution API fields only; original project JSON needed for line-item names/centres/category</x:v>
      </x:c>
      <x:c r="AI16" s="26" t="str"/>
      <x:c r="AJ16" s="26" t="str">
        <x:v>Not Started</x:v>
      </x:c>
      <x:c r="AK16" s="26" t="str"/>
      <x:c r="AL16" s="26" t="str"/>
    </x:row>
    <x:row r="17">
      <x:c r="A17" s="26" t="n">
        <x:v>50</x:v>
      </x:c>
      <x:c r="B17" s="26" t="n">
        <x:v>243</x:v>
      </x:c>
      <x:c r="C17" s="26" t="str">
        <x:v>Kumuram Bheem Asifabad</x:v>
      </x:c>
      <x:c r="D17" s="26" t="str">
        <x:v>Telangana</x:v>
      </x:c>
      <x:c r="E17" s="26" t="n">
        <x:v>10135</x:v>
      </x:c>
      <x:c r="F17" s="26" t="str">
        <x:v>PRJ-2026-0010135</x:v>
      </x:c>
      <x:c r="G17" s="26" t="str">
        <x:v>Proposal for upgradation of Anganwadi centre</x:v>
      </x:c>
      <x:c r="H17" s="26" t="str">
        <x:v>Mission Saksham Anganwadi &amp; POSHAN 2.0</x:v>
      </x:c>
      <x:c r="I17" s="32" t="n">
        <x:v>46164</x:v>
      </x:c>
      <x:c r="J17" s="32" t="n">
        <x:v>46234</x:v>
      </x:c>
      <x:c r="K17" s="32"/>
      <x:c r="L17" s="26" t="str">
        <x:v>Exclude: Before 01-Aug-2026</x:v>
      </x:c>
      <x:c r="M17" s="26" t="str">
        <x:v>Pending Mapping</x:v>
      </x:c>
      <x:c r="N17" s="26" t="str">
        <x:v>Original project JSON not available</x:v>
      </x:c>
      <x:c r="O17" s="26"/>
      <x:c r="P17" s="26" t="str"/>
      <x:c r="Q17" s="26" t="str"/>
      <x:c r="R17" s="26"/>
      <x:c r="S17" s="36"/>
      <x:c r="T17" s="26"/>
      <x:c r="U17" s="26"/>
      <x:c r="V17" s="26"/>
      <x:c r="W17" s="26" t="n">
        <x:v>3</x:v>
      </x:c>
      <x:c r="X17" s="26" t="n">
        <x:v>0</x:v>
      </x:c>
      <x:c r="Y17" s="26" t="n">
        <x:v>3</x:v>
      </x:c>
      <x:c r="Z17" s="26" t="n">
        <x:v>0</x:v>
      </x:c>
      <x:c r="AA17" s="26" t="n">
        <x:v>3</x:v>
      </x:c>
      <x:c r="AB17" s="38" t="n">
        <x:v>0</x:v>
      </x:c>
      <x:c r="AC17" s="26" t="str">
        <x:v>Committed / Not Delivered</x:v>
      </x:c>
      <x:c r="AD17" s="26" t="str">
        <x:v>Approval not recorded in response</x:v>
      </x:c>
      <x:c r="AE17" s="27" t="b">
        <x:v>1</x:v>
      </x:c>
      <x:c r="AF17" s="34" t="n">
        <x:v>46219.99996527778</x:v>
      </x:c>
      <x:c r="AG17" s="34"/>
      <x:c r="AH17" s="26" t="str">
        <x:v>Contribution API fields only; original project JSON needed for line-item names/centres/category</x:v>
      </x:c>
      <x:c r="AI17" s="26" t="str"/>
      <x:c r="AJ17" s="26" t="str">
        <x:v>Not Started</x:v>
      </x:c>
      <x:c r="AK17" s="26" t="str"/>
      <x:c r="AL17" s="26" t="str"/>
    </x:row>
    <x:row r="18">
      <x:c r="A18" s="26" t="n">
        <x:v>51</x:v>
      </x:c>
      <x:c r="B18" s="26" t="n">
        <x:v>241</x:v>
      </x:c>
      <x:c r="C18" s="26" t="str">
        <x:v>Kumuram Bheem Asifabad</x:v>
      </x:c>
      <x:c r="D18" s="26" t="str">
        <x:v>Telangana</x:v>
      </x:c>
      <x:c r="E18" s="26" t="n">
        <x:v>11148</x:v>
      </x:c>
      <x:c r="F18" s="26" t="str">
        <x:v>PRJ-2026-0011148</x:v>
      </x:c>
      <x:c r="G18" s="26" t="str">
        <x:v>Water filter, ECCE metirial </x:v>
      </x:c>
      <x:c r="H18" s="26" t="str">
        <x:v>Mission Saksham Anganwadi &amp; POSHAN 2.0</x:v>
      </x:c>
      <x:c r="I18" s="32" t="n">
        <x:v>46164</x:v>
      </x:c>
      <x:c r="J18" s="32" t="n">
        <x:v>46265</x:v>
      </x:c>
      <x:c r="K18" s="32"/>
      <x:c r="L18" s="26" t="str">
        <x:v>Active: On/After 01-Aug-2026</x:v>
      </x:c>
      <x:c r="M18" s="26" t="str">
        <x:v>Pending Mapping</x:v>
      </x:c>
      <x:c r="N18" s="26" t="str">
        <x:v>Original project JSON not available</x:v>
      </x:c>
      <x:c r="O18" s="26"/>
      <x:c r="P18" s="26" t="str"/>
      <x:c r="Q18" s="26" t="str"/>
      <x:c r="R18" s="26"/>
      <x:c r="S18" s="36"/>
      <x:c r="T18" s="26"/>
      <x:c r="U18" s="26"/>
      <x:c r="V18" s="26"/>
      <x:c r="W18" s="26" t="n">
        <x:v>6</x:v>
      </x:c>
      <x:c r="X18" s="26" t="n">
        <x:v>0</x:v>
      </x:c>
      <x:c r="Y18" s="26" t="n">
        <x:v>12</x:v>
      </x:c>
      <x:c r="Z18" s="26" t="n">
        <x:v>0</x:v>
      </x:c>
      <x:c r="AA18" s="26" t="n">
        <x:v>12</x:v>
      </x:c>
      <x:c r="AB18" s="38" t="n">
        <x:v>0</x:v>
      </x:c>
      <x:c r="AC18" s="26" t="str">
        <x:v>Committed / Not Delivered</x:v>
      </x:c>
      <x:c r="AD18" s="26" t="str">
        <x:v>Approval not recorded in response</x:v>
      </x:c>
      <x:c r="AE18" s="27" t="b">
        <x:v>1</x:v>
      </x:c>
      <x:c r="AF18" s="34" t="n">
        <x:v>46219.9999537037</x:v>
      </x:c>
      <x:c r="AG18" s="34"/>
      <x:c r="AH18" s="26" t="str">
        <x:v>Contribution API fields only; original project JSON needed for line-item names/centres/category</x:v>
      </x:c>
      <x:c r="AI18" s="26" t="str"/>
      <x:c r="AJ18" s="26" t="str">
        <x:v>Not Started</x:v>
      </x:c>
      <x:c r="AK18" s="26" t="str"/>
      <x:c r="AL18" s="26" t="str"/>
    </x:row>
    <x:row r="19">
      <x:c r="A19" s="26" t="n">
        <x:v>52</x:v>
      </x:c>
      <x:c r="B19" s="26" t="n">
        <x:v>240</x:v>
      </x:c>
      <x:c r="C19" s="26" t="str">
        <x:v>Kumuram Bheem Asifabad</x:v>
      </x:c>
      <x:c r="D19" s="26" t="str">
        <x:v>Telangana</x:v>
      </x:c>
      <x:c r="E19" s="26" t="n">
        <x:v>9205</x:v>
      </x:c>
      <x:c r="F19" s="26" t="str">
        <x:v>PRJ-2026-0009205</x:v>
      </x:c>
      <x:c r="G19" s="26" t="str">
        <x:v>Proposal for upgradation of Anganwadi centre</x:v>
      </x:c>
      <x:c r="H19" s="26" t="str">
        <x:v>Mission Saksham Anganwadi &amp; POSHAN 2.0</x:v>
      </x:c>
      <x:c r="I19" s="32" t="n">
        <x:v>46164</x:v>
      </x:c>
      <x:c r="J19" s="32" t="n">
        <x:v>46203</x:v>
      </x:c>
      <x:c r="K19" s="32"/>
      <x:c r="L19" s="26" t="str">
        <x:v>Exclude: Before 01-Aug-2026</x:v>
      </x:c>
      <x:c r="M19" s="26" t="str">
        <x:v>Pending Mapping</x:v>
      </x:c>
      <x:c r="N19" s="26" t="str">
        <x:v>Original project JSON not available</x:v>
      </x:c>
      <x:c r="O19" s="26"/>
      <x:c r="P19" s="26" t="str"/>
      <x:c r="Q19" s="26" t="str"/>
      <x:c r="R19" s="26"/>
      <x:c r="S19" s="36"/>
      <x:c r="T19" s="26"/>
      <x:c r="U19" s="26"/>
      <x:c r="V19" s="26"/>
      <x:c r="W19" s="26" t="n">
        <x:v>4</x:v>
      </x:c>
      <x:c r="X19" s="26" t="n">
        <x:v>0</x:v>
      </x:c>
      <x:c r="Y19" s="26" t="n">
        <x:v>8</x:v>
      </x:c>
      <x:c r="Z19" s="26" t="n">
        <x:v>0</x:v>
      </x:c>
      <x:c r="AA19" s="26" t="n">
        <x:v>8</x:v>
      </x:c>
      <x:c r="AB19" s="38" t="n">
        <x:v>0</x:v>
      </x:c>
      <x:c r="AC19" s="26" t="str">
        <x:v>Committed / Not Delivered</x:v>
      </x:c>
      <x:c r="AD19" s="26" t="str">
        <x:v>Approval not recorded in response</x:v>
      </x:c>
      <x:c r="AE19" s="27" t="b">
        <x:v>1</x:v>
      </x:c>
      <x:c r="AF19" s="34" t="n">
        <x:v>46219.856261574074</x:v>
      </x:c>
      <x:c r="AG19" s="34"/>
      <x:c r="AH19" s="26" t="str">
        <x:v>Contribution API fields only; original project JSON needed for line-item names/centres/category</x:v>
      </x:c>
      <x:c r="AI19" s="26" t="str"/>
      <x:c r="AJ19" s="26" t="str">
        <x:v>Not Started</x:v>
      </x:c>
      <x:c r="AK19" s="26" t="str"/>
      <x:c r="AL19" s="26" t="str"/>
    </x:row>
    <x:row r="20">
      <x:c r="A20" s="26" t="n">
        <x:v>53</x:v>
      </x:c>
      <x:c r="B20" s="26" t="n">
        <x:v>238</x:v>
      </x:c>
      <x:c r="C20" s="26" t="str">
        <x:v>Kumuram Bheem Asifabad</x:v>
      </x:c>
      <x:c r="D20" s="26" t="str">
        <x:v>Telangana</x:v>
      </x:c>
      <x:c r="E20" s="26" t="n">
        <x:v>10228</x:v>
      </x:c>
      <x:c r="F20" s="26" t="str">
        <x:v>PRJ-2026-0010228</x:v>
      </x:c>
      <x:c r="G20" s="26" t="str">
        <x:v>Rain Water Harvesting System : Water Filter Kitchen Construction : Poshan Vatika  kitchen Shelves : Gas stove, regulator : Solar Panel : Civil Repair : Toilet</x:v>
      </x:c>
      <x:c r="H20" s="26" t="str">
        <x:v>Mission Saksham Anganwadi &amp; POSHAN 2.0</x:v>
      </x:c>
      <x:c r="I20" s="32" t="n">
        <x:v>46164</x:v>
      </x:c>
      <x:c r="J20" s="32" t="n">
        <x:v>46164</x:v>
      </x:c>
      <x:c r="K20" s="32"/>
      <x:c r="L20" s="26" t="str">
        <x:v>Exclude: Before 01-Aug-2026</x:v>
      </x:c>
      <x:c r="M20" s="26" t="str">
        <x:v>Pending Mapping</x:v>
      </x:c>
      <x:c r="N20" s="26" t="str">
        <x:v>Original project JSON not available</x:v>
      </x:c>
      <x:c r="O20" s="26"/>
      <x:c r="P20" s="26" t="str"/>
      <x:c r="Q20" s="26" t="str"/>
      <x:c r="R20" s="26"/>
      <x:c r="S20" s="36"/>
      <x:c r="T20" s="26"/>
      <x:c r="U20" s="26"/>
      <x:c r="V20" s="26"/>
      <x:c r="W20" s="26" t="n">
        <x:v>4</x:v>
      </x:c>
      <x:c r="X20" s="26" t="n">
        <x:v>0</x:v>
      </x:c>
      <x:c r="Y20" s="26" t="n">
        <x:v>4</x:v>
      </x:c>
      <x:c r="Z20" s="26" t="n">
        <x:v>0</x:v>
      </x:c>
      <x:c r="AA20" s="26" t="n">
        <x:v>4</x:v>
      </x:c>
      <x:c r="AB20" s="38" t="n">
        <x:v>0</x:v>
      </x:c>
      <x:c r="AC20" s="26" t="str">
        <x:v>Committed / Not Delivered</x:v>
      </x:c>
      <x:c r="AD20" s="26" t="str">
        <x:v>Approval not recorded in response</x:v>
      </x:c>
      <x:c r="AE20" s="27" t="b">
        <x:v>1</x:v>
      </x:c>
      <x:c r="AF20" s="34" t="n">
        <x:v>46219.85625</x:v>
      </x:c>
      <x:c r="AG20" s="34"/>
      <x:c r="AH20" s="26" t="str">
        <x:v>Contribution API fields only; original project JSON needed for line-item names/centres/category</x:v>
      </x:c>
      <x:c r="AI20" s="26" t="str"/>
      <x:c r="AJ20" s="26" t="str">
        <x:v>Not Started</x:v>
      </x:c>
      <x:c r="AK20" s="26" t="str"/>
      <x:c r="AL20" s="26" t="str"/>
    </x:row>
    <x:row r="21">
      <x:c r="A21" s="26" t="n">
        <x:v>54</x:v>
      </x:c>
      <x:c r="B21" s="26" t="n">
        <x:v>239</x:v>
      </x:c>
      <x:c r="C21" s="26" t="str">
        <x:v>Kumuram Bheem Asifabad</x:v>
      </x:c>
      <x:c r="D21" s="26" t="str">
        <x:v>Telangana</x:v>
      </x:c>
      <x:c r="E21" s="26" t="n">
        <x:v>8790</x:v>
      </x:c>
      <x:c r="F21" s="26" t="str">
        <x:v>PRJ-2026-0008790</x:v>
      </x:c>
      <x:c r="G21" s="26" t="str">
        <x:v>Rain Water Harvesting System : Water Filter Kitchen Construction : Poshan Vatika  kitchen Shelves : Gas stove, regulator : Solar Panel : Civil Repair : Toilet</x:v>
      </x:c>
      <x:c r="H21" s="26" t="str">
        <x:v>Mission Saksham Anganwadi &amp; POSHAN 2.0</x:v>
      </x:c>
      <x:c r="I21" s="32" t="n">
        <x:v>46165</x:v>
      </x:c>
      <x:c r="J21" s="32" t="n">
        <x:v>46255</x:v>
      </x:c>
      <x:c r="K21" s="32"/>
      <x:c r="L21" s="26" t="str">
        <x:v>Active: On/After 01-Aug-2026</x:v>
      </x:c>
      <x:c r="M21" s="26" t="str">
        <x:v>Pending Mapping</x:v>
      </x:c>
      <x:c r="N21" s="26" t="str">
        <x:v>Original project JSON not available</x:v>
      </x:c>
      <x:c r="O21" s="26"/>
      <x:c r="P21" s="26" t="str"/>
      <x:c r="Q21" s="26" t="str"/>
      <x:c r="R21" s="26"/>
      <x:c r="S21" s="36"/>
      <x:c r="T21" s="26"/>
      <x:c r="U21" s="26"/>
      <x:c r="V21" s="26"/>
      <x:c r="W21" s="26" t="n">
        <x:v>4</x:v>
      </x:c>
      <x:c r="X21" s="26" t="n">
        <x:v>0</x:v>
      </x:c>
      <x:c r="Y21" s="26" t="n">
        <x:v>4</x:v>
      </x:c>
      <x:c r="Z21" s="26" t="n">
        <x:v>0</x:v>
      </x:c>
      <x:c r="AA21" s="26" t="n">
        <x:v>4</x:v>
      </x:c>
      <x:c r="AB21" s="38" t="n">
        <x:v>0</x:v>
      </x:c>
      <x:c r="AC21" s="26" t="str">
        <x:v>Committed / Not Delivered</x:v>
      </x:c>
      <x:c r="AD21" s="26" t="str">
        <x:v>Approval not recorded in response</x:v>
      </x:c>
      <x:c r="AE21" s="27" t="b">
        <x:v>1</x:v>
      </x:c>
      <x:c r="AF21" s="34" t="n">
        <x:v>46219.85625</x:v>
      </x:c>
      <x:c r="AG21" s="34"/>
      <x:c r="AH21" s="26" t="str">
        <x:v>Contribution API fields only; original project JSON needed for line-item names/centres/category</x:v>
      </x:c>
      <x:c r="AI21" s="26" t="str"/>
      <x:c r="AJ21" s="26" t="str">
        <x:v>Not Started</x:v>
      </x:c>
      <x:c r="AK21" s="26" t="str"/>
      <x:c r="AL21" s="26" t="str"/>
    </x:row>
    <x:row r="22">
      <x:c r="A22" s="26" t="n">
        <x:v>55</x:v>
      </x:c>
      <x:c r="B22" s="26" t="n">
        <x:v>237</x:v>
      </x:c>
      <x:c r="C22" s="26" t="str">
        <x:v>Kumuram Bheem Asifabad</x:v>
      </x:c>
      <x:c r="D22" s="26" t="str">
        <x:v>Telangana</x:v>
      </x:c>
      <x:c r="E22" s="26" t="n">
        <x:v>10201</x:v>
      </x:c>
      <x:c r="F22" s="26" t="str">
        <x:v>PRJ-2026-0010201</x:v>
      </x:c>
      <x:c r="G22" s="26" t="str">
        <x:v>Rain Water Harvesting System : Water Filter Kitchen Construction : Poshan Vatika  kitchen Shelves : Gas stove, regulator : Solar Panel : Civil Repair : Toilet</x:v>
      </x:c>
      <x:c r="H22" s="26" t="str">
        <x:v>Mission Saksham Anganwadi &amp; POSHAN 2.0</x:v>
      </x:c>
      <x:c r="I22" s="32" t="n">
        <x:v>46164</x:v>
      </x:c>
      <x:c r="J22" s="32" t="n">
        <x:v>46255</x:v>
      </x:c>
      <x:c r="K22" s="32"/>
      <x:c r="L22" s="26" t="str">
        <x:v>Active: On/After 01-Aug-2026</x:v>
      </x:c>
      <x:c r="M22" s="26" t="str">
        <x:v>Pending Mapping</x:v>
      </x:c>
      <x:c r="N22" s="26" t="str">
        <x:v>Original project JSON not available</x:v>
      </x:c>
      <x:c r="O22" s="26"/>
      <x:c r="P22" s="26" t="str"/>
      <x:c r="Q22" s="26" t="str"/>
      <x:c r="R22" s="26"/>
      <x:c r="S22" s="36"/>
      <x:c r="T22" s="26"/>
      <x:c r="U22" s="26"/>
      <x:c r="V22" s="26"/>
      <x:c r="W22" s="26" t="n">
        <x:v>4</x:v>
      </x:c>
      <x:c r="X22" s="26" t="n">
        <x:v>0</x:v>
      </x:c>
      <x:c r="Y22" s="26" t="n">
        <x:v>4</x:v>
      </x:c>
      <x:c r="Z22" s="26" t="n">
        <x:v>0</x:v>
      </x:c>
      <x:c r="AA22" s="26" t="n">
        <x:v>4</x:v>
      </x:c>
      <x:c r="AB22" s="38" t="n">
        <x:v>0</x:v>
      </x:c>
      <x:c r="AC22" s="26" t="str">
        <x:v>Committed / Not Delivered</x:v>
      </x:c>
      <x:c r="AD22" s="26" t="str">
        <x:v>Approval not recorded in response</x:v>
      </x:c>
      <x:c r="AE22" s="27" t="b">
        <x:v>1</x:v>
      </x:c>
      <x:c r="AF22" s="34" t="n">
        <x:v>46219.85622685185</x:v>
      </x:c>
      <x:c r="AG22" s="34"/>
      <x:c r="AH22" s="26" t="str">
        <x:v>Contribution API fields only; original project JSON needed for line-item names/centres/category</x:v>
      </x:c>
      <x:c r="AI22" s="26" t="str"/>
      <x:c r="AJ22" s="26" t="str">
        <x:v>Not Started</x:v>
      </x:c>
      <x:c r="AK22" s="26" t="str"/>
      <x:c r="AL22" s="26" t="str"/>
    </x:row>
    <x:row r="23">
      <x:c r="A23" s="26" t="n">
        <x:v>56</x:v>
      </x:c>
      <x:c r="B23" s="26" t="n">
        <x:v>236</x:v>
      </x:c>
      <x:c r="C23" s="26" t="str">
        <x:v>Medak</x:v>
      </x:c>
      <x:c r="D23" s="26" t="str">
        <x:v>Telangana</x:v>
      </x:c>
      <x:c r="E23" s="26" t="n">
        <x:v>14755</x:v>
      </x:c>
      <x:c r="F23" s="26" t="str">
        <x:v>PRJ-2026-0014755</x:v>
      </x:c>
      <x:c r="G23" s="26" t="str">
        <x:v>AWC Upgradation Koppulapally Thanda</x:v>
      </x:c>
      <x:c r="H23" s="26" t="str">
        <x:v>Mission Saksham Anganwadi &amp; POSHAN 2.0</x:v>
      </x:c>
      <x:c r="I23" s="32" t="n">
        <x:v>46167</x:v>
      </x:c>
      <x:c r="J23" s="32" t="n">
        <x:v>46351</x:v>
      </x:c>
      <x:c r="K23" s="32"/>
      <x:c r="L23" s="26" t="str">
        <x:v>Active: On/After 01-Aug-2026</x:v>
      </x:c>
      <x:c r="M23" s="26" t="str">
        <x:v>Pending Mapping</x:v>
      </x:c>
      <x:c r="N23" s="26" t="str">
        <x:v>Original project JSON not available</x:v>
      </x:c>
      <x:c r="O23" s="26"/>
      <x:c r="P23" s="26" t="str"/>
      <x:c r="Q23" s="26" t="str"/>
      <x:c r="R23" s="26"/>
      <x:c r="S23" s="36"/>
      <x:c r="T23" s="26"/>
      <x:c r="U23" s="26"/>
      <x:c r="V23" s="26"/>
      <x:c r="W23" s="26" t="n">
        <x:v>5</x:v>
      </x:c>
      <x:c r="X23" s="26" t="n">
        <x:v>0</x:v>
      </x:c>
      <x:c r="Y23" s="26" t="n">
        <x:v>30</x:v>
      </x:c>
      <x:c r="Z23" s="26" t="n">
        <x:v>0</x:v>
      </x:c>
      <x:c r="AA23" s="26" t="n">
        <x:v>30</x:v>
      </x:c>
      <x:c r="AB23" s="38" t="n">
        <x:v>0</x:v>
      </x:c>
      <x:c r="AC23" s="26" t="str">
        <x:v>Committed / Not Delivered</x:v>
      </x:c>
      <x:c r="AD23" s="26" t="str">
        <x:v>Approval not recorded in response</x:v>
      </x:c>
      <x:c r="AE23" s="27" t="b">
        <x:v>1</x:v>
      </x:c>
      <x:c r="AF23" s="34" t="n">
        <x:v>46219.85320601852</x:v>
      </x:c>
      <x:c r="AG23" s="34"/>
      <x:c r="AH23" s="26" t="str">
        <x:v>Contribution API fields only; original project JSON needed for line-item names/centres/category</x:v>
      </x:c>
      <x:c r="AI23" s="26" t="str"/>
      <x:c r="AJ23" s="26" t="str">
        <x:v>Not Started</x:v>
      </x:c>
      <x:c r="AK23" s="26" t="str"/>
      <x:c r="AL23" s="26" t="str"/>
    </x:row>
    <x:row r="24">
      <x:c r="A24" s="26" t="n">
        <x:v>57</x:v>
      </x:c>
      <x:c r="B24" s="26" t="n">
        <x:v>234</x:v>
      </x:c>
      <x:c r="C24" s="26" t="str">
        <x:v>Medak</x:v>
      </x:c>
      <x:c r="D24" s="26" t="str">
        <x:v>Telangana</x:v>
      </x:c>
      <x:c r="E24" s="26" t="n">
        <x:v>14756</x:v>
      </x:c>
      <x:c r="F24" s="26" t="str">
        <x:v>PRJ-2026-0014756</x:v>
      </x:c>
      <x:c r="G24" s="26" t="str">
        <x:v>AWC Upgradation Station Masaipet </x:v>
      </x:c>
      <x:c r="H24" s="26" t="str">
        <x:v>Mission Saksham Anganwadi &amp; POSHAN 2.0</x:v>
      </x:c>
      <x:c r="I24" s="32" t="n">
        <x:v>46167</x:v>
      </x:c>
      <x:c r="J24" s="32" t="n">
        <x:v>46351</x:v>
      </x:c>
      <x:c r="K24" s="32"/>
      <x:c r="L24" s="26" t="str">
        <x:v>Active: On/After 01-Aug-2026</x:v>
      </x:c>
      <x:c r="M24" s="26" t="str">
        <x:v>Pending Mapping</x:v>
      </x:c>
      <x:c r="N24" s="26" t="str">
        <x:v>Original project JSON not available</x:v>
      </x:c>
      <x:c r="O24" s="26"/>
      <x:c r="P24" s="26" t="str"/>
      <x:c r="Q24" s="26" t="str"/>
      <x:c r="R24" s="26"/>
      <x:c r="S24" s="36"/>
      <x:c r="T24" s="26"/>
      <x:c r="U24" s="26"/>
      <x:c r="V24" s="26"/>
      <x:c r="W24" s="26" t="n">
        <x:v>5</x:v>
      </x:c>
      <x:c r="X24" s="26" t="n">
        <x:v>0</x:v>
      </x:c>
      <x:c r="Y24" s="26" t="n">
        <x:v>29</x:v>
      </x:c>
      <x:c r="Z24" s="26" t="n">
        <x:v>0</x:v>
      </x:c>
      <x:c r="AA24" s="26" t="n">
        <x:v>29</x:v>
      </x:c>
      <x:c r="AB24" s="38" t="n">
        <x:v>0</x:v>
      </x:c>
      <x:c r="AC24" s="26" t="str">
        <x:v>Committed / Not Delivered</x:v>
      </x:c>
      <x:c r="AD24" s="26" t="str">
        <x:v>Approval not recorded in response</x:v>
      </x:c>
      <x:c r="AE24" s="27" t="b">
        <x:v>1</x:v>
      </x:c>
      <x:c r="AF24" s="34" t="n">
        <x:v>46219.85319444445</x:v>
      </x:c>
      <x:c r="AG24" s="34"/>
      <x:c r="AH24" s="26" t="str">
        <x:v>Contribution API fields only; original project JSON needed for line-item names/centres/category</x:v>
      </x:c>
      <x:c r="AI24" s="26" t="str"/>
      <x:c r="AJ24" s="26" t="str">
        <x:v>Not Started</x:v>
      </x:c>
      <x:c r="AK24" s="26" t="str"/>
      <x:c r="AL24" s="26" t="str"/>
    </x:row>
    <x:row r="25">
      <x:c r="A25" s="26" t="n">
        <x:v>58</x:v>
      </x:c>
      <x:c r="B25" s="26" t="n">
        <x:v>235</x:v>
      </x:c>
      <x:c r="C25" s="26" t="str">
        <x:v>Medak</x:v>
      </x:c>
      <x:c r="D25" s="26" t="str">
        <x:v>Telangana</x:v>
      </x:c>
      <x:c r="E25" s="26" t="n">
        <x:v>14761</x:v>
      </x:c>
      <x:c r="F25" s="26" t="str">
        <x:v>PRJ-2026-0014761</x:v>
      </x:c>
      <x:c r="G25" s="26" t="str">
        <x:v>AWC Upgradation Hastalpur</x:v>
      </x:c>
      <x:c r="H25" s="26" t="str">
        <x:v>Mission Saksham Anganwadi &amp; POSHAN 2.0</x:v>
      </x:c>
      <x:c r="I25" s="32" t="n">
        <x:v>46167</x:v>
      </x:c>
      <x:c r="J25" s="32" t="n">
        <x:v>46351</x:v>
      </x:c>
      <x:c r="K25" s="32"/>
      <x:c r="L25" s="26" t="str">
        <x:v>Active: On/After 01-Aug-2026</x:v>
      </x:c>
      <x:c r="M25" s="26" t="str">
        <x:v>Pending Mapping</x:v>
      </x:c>
      <x:c r="N25" s="26" t="str">
        <x:v>Original project JSON not available</x:v>
      </x:c>
      <x:c r="O25" s="26"/>
      <x:c r="P25" s="26" t="str"/>
      <x:c r="Q25" s="26" t="str"/>
      <x:c r="R25" s="26"/>
      <x:c r="S25" s="36"/>
      <x:c r="T25" s="26"/>
      <x:c r="U25" s="26"/>
      <x:c r="V25" s="26"/>
      <x:c r="W25" s="26" t="n">
        <x:v>4</x:v>
      </x:c>
      <x:c r="X25" s="26" t="n">
        <x:v>0</x:v>
      </x:c>
      <x:c r="Y25" s="26" t="n">
        <x:v>29</x:v>
      </x:c>
      <x:c r="Z25" s="26" t="n">
        <x:v>0</x:v>
      </x:c>
      <x:c r="AA25" s="26" t="n">
        <x:v>29</x:v>
      </x:c>
      <x:c r="AB25" s="38" t="n">
        <x:v>0</x:v>
      </x:c>
      <x:c r="AC25" s="26" t="str">
        <x:v>Committed / Not Delivered</x:v>
      </x:c>
      <x:c r="AD25" s="26" t="str">
        <x:v>Approval not recorded in response</x:v>
      </x:c>
      <x:c r="AE25" s="27" t="b">
        <x:v>1</x:v>
      </x:c>
      <x:c r="AF25" s="34" t="n">
        <x:v>46219.85319444445</x:v>
      </x:c>
      <x:c r="AG25" s="34"/>
      <x:c r="AH25" s="26" t="str">
        <x:v>Contribution API fields only; original project JSON needed for line-item names/centres/category</x:v>
      </x:c>
      <x:c r="AI25" s="26" t="str"/>
      <x:c r="AJ25" s="26" t="str">
        <x:v>Not Started</x:v>
      </x:c>
      <x:c r="AK25" s="26" t="str"/>
      <x:c r="AL25" s="26" t="str"/>
    </x:row>
    <x:row r="26">
      <x:c r="A26" s="26" t="n">
        <x:v>59</x:v>
      </x:c>
      <x:c r="B26" s="26" t="n">
        <x:v>232</x:v>
      </x:c>
      <x:c r="C26" s="26" t="str">
        <x:v>Medak</x:v>
      </x:c>
      <x:c r="D26" s="26" t="str">
        <x:v>Telangana</x:v>
      </x:c>
      <x:c r="E26" s="26" t="n">
        <x:v>14765</x:v>
      </x:c>
      <x:c r="F26" s="26" t="str">
        <x:v>PRJ-2026-0014765</x:v>
      </x:c>
      <x:c r="G26" s="26" t="str">
        <x:v>AWC Upgradation Ramanthapur LT</x:v>
      </x:c>
      <x:c r="H26" s="26" t="str">
        <x:v>Mission Saksham Anganwadi &amp; POSHAN 2.0</x:v>
      </x:c>
      <x:c r="I26" s="32" t="n">
        <x:v>46167</x:v>
      </x:c>
      <x:c r="J26" s="32" t="n">
        <x:v>46351</x:v>
      </x:c>
      <x:c r="K26" s="32"/>
      <x:c r="L26" s="26" t="str">
        <x:v>Active: On/After 01-Aug-2026</x:v>
      </x:c>
      <x:c r="M26" s="26" t="str">
        <x:v>Pending Mapping</x:v>
      </x:c>
      <x:c r="N26" s="26" t="str">
        <x:v>Original project JSON not available</x:v>
      </x:c>
      <x:c r="O26" s="26"/>
      <x:c r="P26" s="26" t="str"/>
      <x:c r="Q26" s="26" t="str"/>
      <x:c r="R26" s="26"/>
      <x:c r="S26" s="36"/>
      <x:c r="T26" s="26"/>
      <x:c r="U26" s="26"/>
      <x:c r="V26" s="26"/>
      <x:c r="W26" s="26" t="n">
        <x:v>5</x:v>
      </x:c>
      <x:c r="X26" s="26" t="n">
        <x:v>0</x:v>
      </x:c>
      <x:c r="Y26" s="26" t="n">
        <x:v>29</x:v>
      </x:c>
      <x:c r="Z26" s="26" t="n">
        <x:v>0</x:v>
      </x:c>
      <x:c r="AA26" s="26" t="n">
        <x:v>29</x:v>
      </x:c>
      <x:c r="AB26" s="38" t="n">
        <x:v>0</x:v>
      </x:c>
      <x:c r="AC26" s="26" t="str">
        <x:v>Committed / Not Delivered</x:v>
      </x:c>
      <x:c r="AD26" s="26" t="str">
        <x:v>Approval not recorded in response</x:v>
      </x:c>
      <x:c r="AE26" s="27" t="b">
        <x:v>1</x:v>
      </x:c>
      <x:c r="AF26" s="34" t="n">
        <x:v>46219.85318287037</x:v>
      </x:c>
      <x:c r="AG26" s="34"/>
      <x:c r="AH26" s="26" t="str">
        <x:v>Contribution API fields only; original project JSON needed for line-item names/centres/category</x:v>
      </x:c>
      <x:c r="AI26" s="26" t="str"/>
      <x:c r="AJ26" s="26" t="str">
        <x:v>Not Started</x:v>
      </x:c>
      <x:c r="AK26" s="26" t="str"/>
      <x:c r="AL26" s="26" t="str"/>
    </x:row>
    <x:row r="27">
      <x:c r="A27" s="26" t="n">
        <x:v>60</x:v>
      </x:c>
      <x:c r="B27" s="26" t="n">
        <x:v>233</x:v>
      </x:c>
      <x:c r="C27" s="26" t="str">
        <x:v>Medak</x:v>
      </x:c>
      <x:c r="D27" s="26" t="str">
        <x:v>Telangana</x:v>
      </x:c>
      <x:c r="E27" s="26" t="n">
        <x:v>14759</x:v>
      </x:c>
      <x:c r="F27" s="26" t="str">
        <x:v>PRJ-2026-0014759</x:v>
      </x:c>
      <x:c r="G27" s="26" t="str">
        <x:v>AWC Upgradation Masaipet V</x:v>
      </x:c>
      <x:c r="H27" s="26" t="str">
        <x:v>Mission Saksham Anganwadi &amp; POSHAN 2.0</x:v>
      </x:c>
      <x:c r="I27" s="32" t="n">
        <x:v>46167</x:v>
      </x:c>
      <x:c r="J27" s="32" t="n">
        <x:v>46351</x:v>
      </x:c>
      <x:c r="K27" s="32"/>
      <x:c r="L27" s="26" t="str">
        <x:v>Active: On/After 01-Aug-2026</x:v>
      </x:c>
      <x:c r="M27" s="26" t="str">
        <x:v>Pending Mapping</x:v>
      </x:c>
      <x:c r="N27" s="26" t="str">
        <x:v>Original project JSON not available</x:v>
      </x:c>
      <x:c r="O27" s="26"/>
      <x:c r="P27" s="26" t="str"/>
      <x:c r="Q27" s="26" t="str"/>
      <x:c r="R27" s="26"/>
      <x:c r="S27" s="36"/>
      <x:c r="T27" s="26"/>
      <x:c r="U27" s="26"/>
      <x:c r="V27" s="26"/>
      <x:c r="W27" s="26" t="n">
        <x:v>5</x:v>
      </x:c>
      <x:c r="X27" s="26" t="n">
        <x:v>0</x:v>
      </x:c>
      <x:c r="Y27" s="26" t="n">
        <x:v>29</x:v>
      </x:c>
      <x:c r="Z27" s="26" t="n">
        <x:v>0</x:v>
      </x:c>
      <x:c r="AA27" s="26" t="n">
        <x:v>29</x:v>
      </x:c>
      <x:c r="AB27" s="38" t="n">
        <x:v>0</x:v>
      </x:c>
      <x:c r="AC27" s="26" t="str">
        <x:v>Committed / Not Delivered</x:v>
      </x:c>
      <x:c r="AD27" s="26" t="str">
        <x:v>Approval not recorded in response</x:v>
      </x:c>
      <x:c r="AE27" s="27" t="b">
        <x:v>1</x:v>
      </x:c>
      <x:c r="AF27" s="34" t="n">
        <x:v>46219.85318287037</x:v>
      </x:c>
      <x:c r="AG27" s="34"/>
      <x:c r="AH27" s="26" t="str">
        <x:v>Contribution API fields only; original project JSON needed for line-item names/centres/category</x:v>
      </x:c>
      <x:c r="AI27" s="26" t="str"/>
      <x:c r="AJ27" s="26" t="str">
        <x:v>Not Started</x:v>
      </x:c>
      <x:c r="AK27" s="26" t="str"/>
      <x:c r="AL27" s="26" t="str"/>
    </x:row>
    <x:row r="28">
      <x:c r="A28" s="26" t="n">
        <x:v>61</x:v>
      </x:c>
      <x:c r="B28" s="26" t="n">
        <x:v>231</x:v>
      </x:c>
      <x:c r="C28" s="26" t="str">
        <x:v>Medak</x:v>
      </x:c>
      <x:c r="D28" s="26" t="str">
        <x:v>Telangana</x:v>
      </x:c>
      <x:c r="E28" s="26" t="n">
        <x:v>14771</x:v>
      </x:c>
      <x:c r="F28" s="26" t="str">
        <x:v>PRJ-2026-0014771</x:v>
      </x:c>
      <x:c r="G28" s="26" t="str">
        <x:v>AWC Upgradation Bandamedipally</x:v>
      </x:c>
      <x:c r="H28" s="26" t="str">
        <x:v>Mission Saksham Anganwadi &amp; POSHAN 2.0</x:v>
      </x:c>
      <x:c r="I28" s="32" t="n">
        <x:v>46167</x:v>
      </x:c>
      <x:c r="J28" s="32" t="n">
        <x:v>46351</x:v>
      </x:c>
      <x:c r="K28" s="32"/>
      <x:c r="L28" s="26" t="str">
        <x:v>Active: On/After 01-Aug-2026</x:v>
      </x:c>
      <x:c r="M28" s="26" t="str">
        <x:v>Pending Mapping</x:v>
      </x:c>
      <x:c r="N28" s="26" t="str">
        <x:v>Original project JSON not available</x:v>
      </x:c>
      <x:c r="O28" s="26"/>
      <x:c r="P28" s="26" t="str"/>
      <x:c r="Q28" s="26" t="str"/>
      <x:c r="R28" s="26"/>
      <x:c r="S28" s="36"/>
      <x:c r="T28" s="26"/>
      <x:c r="U28" s="26"/>
      <x:c r="V28" s="26"/>
      <x:c r="W28" s="26" t="n">
        <x:v>5</x:v>
      </x:c>
      <x:c r="X28" s="26" t="n">
        <x:v>0</x:v>
      </x:c>
      <x:c r="Y28" s="26" t="n">
        <x:v>29</x:v>
      </x:c>
      <x:c r="Z28" s="26" t="n">
        <x:v>0</x:v>
      </x:c>
      <x:c r="AA28" s="26" t="n">
        <x:v>29</x:v>
      </x:c>
      <x:c r="AB28" s="38" t="n">
        <x:v>0</x:v>
      </x:c>
      <x:c r="AC28" s="26" t="str">
        <x:v>Committed / Not Delivered</x:v>
      </x:c>
      <x:c r="AD28" s="26" t="str">
        <x:v>Approval not recorded in response</x:v>
      </x:c>
      <x:c r="AE28" s="27" t="b">
        <x:v>1</x:v>
      </x:c>
      <x:c r="AF28" s="34" t="n">
        <x:v>46219.853171296294</x:v>
      </x:c>
      <x:c r="AG28" s="34"/>
      <x:c r="AH28" s="26" t="str">
        <x:v>Contribution API fields only; original project JSON needed for line-item names/centres/category</x:v>
      </x:c>
      <x:c r="AI28" s="26" t="str"/>
      <x:c r="AJ28" s="26" t="str">
        <x:v>Not Started</x:v>
      </x:c>
      <x:c r="AK28" s="26" t="str"/>
      <x:c r="AL28" s="26" t="str"/>
    </x:row>
    <x:row r="29">
      <x:c r="A29" s="26" t="n">
        <x:v>62</x:v>
      </x:c>
      <x:c r="B29" s="26" t="n">
        <x:v>229</x:v>
      </x:c>
      <x:c r="C29" s="26" t="str">
        <x:v>Medak</x:v>
      </x:c>
      <x:c r="D29" s="26" t="str">
        <x:v>Telangana</x:v>
      </x:c>
      <x:c r="E29" s="26" t="n">
        <x:v>114082</x:v>
      </x:c>
      <x:c r="F29" s="26" t="str">
        <x:v>PRJ-2026-0114082</x:v>
      </x:c>
      <x:c r="G29" s="26" t="str">
        <x:v>AWC Upgradation of Komatipally-2</x:v>
      </x:c>
      <x:c r="H29" s="26" t="str">
        <x:v>Mission Saksham Anganwadi &amp; POSHAN 2.0</x:v>
      </x:c>
      <x:c r="I29" s="32" t="n">
        <x:v>46198</x:v>
      </x:c>
      <x:c r="J29" s="32" t="n">
        <x:v>46381</x:v>
      </x:c>
      <x:c r="K29" s="32"/>
      <x:c r="L29" s="26" t="str">
        <x:v>Active: On/After 01-Aug-2026</x:v>
      </x:c>
      <x:c r="M29" s="26" t="str">
        <x:v>Pending Mapping</x:v>
      </x:c>
      <x:c r="N29" s="26" t="str">
        <x:v>Original project JSON not available</x:v>
      </x:c>
      <x:c r="O29" s="26"/>
      <x:c r="P29" s="26" t="str"/>
      <x:c r="Q29" s="26" t="str"/>
      <x:c r="R29" s="26"/>
      <x:c r="S29" s="36"/>
      <x:c r="T29" s="26"/>
      <x:c r="U29" s="26"/>
      <x:c r="V29" s="26"/>
      <x:c r="W29" s="26" t="n">
        <x:v>6</x:v>
      </x:c>
      <x:c r="X29" s="26" t="n">
        <x:v>0</x:v>
      </x:c>
      <x:c r="Y29" s="26" t="n">
        <x:v>29</x:v>
      </x:c>
      <x:c r="Z29" s="26" t="n">
        <x:v>0</x:v>
      </x:c>
      <x:c r="AA29" s="26" t="n">
        <x:v>29</x:v>
      </x:c>
      <x:c r="AB29" s="38" t="n">
        <x:v>0</x:v>
      </x:c>
      <x:c r="AC29" s="26" t="str">
        <x:v>Committed / Not Delivered</x:v>
      </x:c>
      <x:c r="AD29" s="26" t="str">
        <x:v>Approval not recorded in response</x:v>
      </x:c>
      <x:c r="AE29" s="27" t="b">
        <x:v>1</x:v>
      </x:c>
      <x:c r="AF29" s="34" t="n">
        <x:v>46219.853159722225</x:v>
      </x:c>
      <x:c r="AG29" s="34"/>
      <x:c r="AH29" s="26" t="str">
        <x:v>Contribution API fields only; original project JSON needed for line-item names/centres/category</x:v>
      </x:c>
      <x:c r="AI29" s="26" t="str"/>
      <x:c r="AJ29" s="26" t="str">
        <x:v>Not Started</x:v>
      </x:c>
      <x:c r="AK29" s="26" t="str"/>
      <x:c r="AL29" s="26" t="str"/>
    </x:row>
    <x:row r="30">
      <x:c r="A30" s="26" t="n">
        <x:v>63</x:v>
      </x:c>
      <x:c r="B30" s="26" t="n">
        <x:v>230</x:v>
      </x:c>
      <x:c r="C30" s="26" t="str">
        <x:v>Medak</x:v>
      </x:c>
      <x:c r="D30" s="26" t="str">
        <x:v>Telangana</x:v>
      </x:c>
      <x:c r="E30" s="26" t="n">
        <x:v>114017</x:v>
      </x:c>
      <x:c r="F30" s="26" t="str">
        <x:v>PRJ-2026-0114017</x:v>
      </x:c>
      <x:c r="G30" s="26" t="str">
        <x:v>AWC Upgradation of Cheriapally</x:v>
      </x:c>
      <x:c r="H30" s="26" t="str">
        <x:v>Mission Saksham Anganwadi &amp; POSHAN 2.0</x:v>
      </x:c>
      <x:c r="I30" s="32" t="n">
        <x:v>46198</x:v>
      </x:c>
      <x:c r="J30" s="32" t="n">
        <x:v>46381</x:v>
      </x:c>
      <x:c r="K30" s="32"/>
      <x:c r="L30" s="26" t="str">
        <x:v>Active: On/After 01-Aug-2026</x:v>
      </x:c>
      <x:c r="M30" s="26" t="str">
        <x:v>Pending Mapping</x:v>
      </x:c>
      <x:c r="N30" s="26" t="str">
        <x:v>Original project JSON not available</x:v>
      </x:c>
      <x:c r="O30" s="26"/>
      <x:c r="P30" s="26" t="str"/>
      <x:c r="Q30" s="26" t="str"/>
      <x:c r="R30" s="26"/>
      <x:c r="S30" s="36"/>
      <x:c r="T30" s="26"/>
      <x:c r="U30" s="26"/>
      <x:c r="V30" s="26"/>
      <x:c r="W30" s="26" t="n">
        <x:v>6</x:v>
      </x:c>
      <x:c r="X30" s="26" t="n">
        <x:v>0</x:v>
      </x:c>
      <x:c r="Y30" s="26" t="n">
        <x:v>27</x:v>
      </x:c>
      <x:c r="Z30" s="26" t="n">
        <x:v>0</x:v>
      </x:c>
      <x:c r="AA30" s="26" t="n">
        <x:v>27</x:v>
      </x:c>
      <x:c r="AB30" s="38" t="n">
        <x:v>0</x:v>
      </x:c>
      <x:c r="AC30" s="26" t="str">
        <x:v>Committed / Not Delivered</x:v>
      </x:c>
      <x:c r="AD30" s="26" t="str">
        <x:v>Approval not recorded in response</x:v>
      </x:c>
      <x:c r="AE30" s="27" t="b">
        <x:v>1</x:v>
      </x:c>
      <x:c r="AF30" s="34" t="n">
        <x:v>46219.853159722225</x:v>
      </x:c>
      <x:c r="AG30" s="34"/>
      <x:c r="AH30" s="26" t="str">
        <x:v>Contribution API fields only; original project JSON needed for line-item names/centres/category</x:v>
      </x:c>
      <x:c r="AI30" s="26" t="str"/>
      <x:c r="AJ30" s="26" t="str">
        <x:v>Not Started</x:v>
      </x:c>
      <x:c r="AK30" s="26" t="str"/>
      <x:c r="AL30" s="26" t="str"/>
    </x:row>
    <x:row r="31">
      <x:c r="A31" s="26" t="n">
        <x:v>64</x:v>
      </x:c>
      <x:c r="B31" s="26" t="n">
        <x:v>227</x:v>
      </x:c>
      <x:c r="C31" s="26" t="str">
        <x:v>Medak</x:v>
      </x:c>
      <x:c r="D31" s="26" t="str">
        <x:v>Telangana</x:v>
      </x:c>
      <x:c r="E31" s="26" t="n">
        <x:v>114202</x:v>
      </x:c>
      <x:c r="F31" s="26" t="str">
        <x:v>PRJ-2026-0114202</x:v>
      </x:c>
      <x:c r="G31" s="26" t="str">
        <x:v>AWC Upgradation of Manepally</x:v>
      </x:c>
      <x:c r="H31" s="26" t="str">
        <x:v>Mission Saksham Anganwadi &amp; POSHAN 2.0</x:v>
      </x:c>
      <x:c r="I31" s="32" t="n">
        <x:v>46198</x:v>
      </x:c>
      <x:c r="J31" s="32" t="n">
        <x:v>46381</x:v>
      </x:c>
      <x:c r="K31" s="32"/>
      <x:c r="L31" s="26" t="str">
        <x:v>Active: On/After 01-Aug-2026</x:v>
      </x:c>
      <x:c r="M31" s="26" t="str">
        <x:v>Pending Mapping</x:v>
      </x:c>
      <x:c r="N31" s="26" t="str">
        <x:v>Original project JSON not available</x:v>
      </x:c>
      <x:c r="O31" s="26"/>
      <x:c r="P31" s="26" t="str"/>
      <x:c r="Q31" s="26" t="str"/>
      <x:c r="R31" s="26"/>
      <x:c r="S31" s="36"/>
      <x:c r="T31" s="26"/>
      <x:c r="U31" s="26"/>
      <x:c r="V31" s="26"/>
      <x:c r="W31" s="26" t="n">
        <x:v>4</x:v>
      </x:c>
      <x:c r="X31" s="26" t="n">
        <x:v>0</x:v>
      </x:c>
      <x:c r="Y31" s="26" t="n">
        <x:v>28</x:v>
      </x:c>
      <x:c r="Z31" s="26" t="n">
        <x:v>0</x:v>
      </x:c>
      <x:c r="AA31" s="26" t="n">
        <x:v>28</x:v>
      </x:c>
      <x:c r="AB31" s="38" t="n">
        <x:v>0</x:v>
      </x:c>
      <x:c r="AC31" s="26" t="str">
        <x:v>Committed / Not Delivered</x:v>
      </x:c>
      <x:c r="AD31" s="26" t="str">
        <x:v>Approval not recorded in response</x:v>
      </x:c>
      <x:c r="AE31" s="27" t="b">
        <x:v>1</x:v>
      </x:c>
      <x:c r="AF31" s="34" t="n">
        <x:v>46219.85314814815</x:v>
      </x:c>
      <x:c r="AG31" s="34"/>
      <x:c r="AH31" s="26" t="str">
        <x:v>Contribution API fields only; original project JSON needed for line-item names/centres/category</x:v>
      </x:c>
      <x:c r="AI31" s="26" t="str"/>
      <x:c r="AJ31" s="26" t="str">
        <x:v>Not Started</x:v>
      </x:c>
      <x:c r="AK31" s="26" t="str"/>
      <x:c r="AL31" s="26" t="str"/>
    </x:row>
    <x:row r="32">
      <x:c r="A32" s="26" t="n">
        <x:v>65</x:v>
      </x:c>
      <x:c r="B32" s="26" t="n">
        <x:v>228</x:v>
      </x:c>
      <x:c r="C32" s="26" t="str">
        <x:v>Medak</x:v>
      </x:c>
      <x:c r="D32" s="26" t="str">
        <x:v>Telangana</x:v>
      </x:c>
      <x:c r="E32" s="26" t="n">
        <x:v>114248</x:v>
      </x:c>
      <x:c r="F32" s="26" t="str">
        <x:v>PRJ-2026-0114248</x:v>
      </x:c>
      <x:c r="G32" s="26" t="str">
        <x:v>AWC Upgradation of Mangalparthy</x:v>
      </x:c>
      <x:c r="H32" s="26" t="str">
        <x:v>Mission Saksham Anganwadi &amp; POSHAN 2.0</x:v>
      </x:c>
      <x:c r="I32" s="32" t="n">
        <x:v>46198</x:v>
      </x:c>
      <x:c r="J32" s="32" t="n">
        <x:v>46381</x:v>
      </x:c>
      <x:c r="K32" s="32"/>
      <x:c r="L32" s="26" t="str">
        <x:v>Active: On/After 01-Aug-2026</x:v>
      </x:c>
      <x:c r="M32" s="26" t="str">
        <x:v>Pending Mapping</x:v>
      </x:c>
      <x:c r="N32" s="26" t="str">
        <x:v>Original project JSON not available</x:v>
      </x:c>
      <x:c r="O32" s="26"/>
      <x:c r="P32" s="26" t="str"/>
      <x:c r="Q32" s="26" t="str"/>
      <x:c r="R32" s="26"/>
      <x:c r="S32" s="36"/>
      <x:c r="T32" s="26"/>
      <x:c r="U32" s="26"/>
      <x:c r="V32" s="26"/>
      <x:c r="W32" s="26" t="n">
        <x:v>4</x:v>
      </x:c>
      <x:c r="X32" s="26" t="n">
        <x:v>0</x:v>
      </x:c>
      <x:c r="Y32" s="26" t="n">
        <x:v>28</x:v>
      </x:c>
      <x:c r="Z32" s="26" t="n">
        <x:v>0</x:v>
      </x:c>
      <x:c r="AA32" s="26" t="n">
        <x:v>28</x:v>
      </x:c>
      <x:c r="AB32" s="38" t="n">
        <x:v>0</x:v>
      </x:c>
      <x:c r="AC32" s="26" t="str">
        <x:v>Committed / Not Delivered</x:v>
      </x:c>
      <x:c r="AD32" s="26" t="str">
        <x:v>Approval not recorded in response</x:v>
      </x:c>
      <x:c r="AE32" s="27" t="b">
        <x:v>1</x:v>
      </x:c>
      <x:c r="AF32" s="34" t="n">
        <x:v>46219.85314814815</x:v>
      </x:c>
      <x:c r="AG32" s="34"/>
      <x:c r="AH32" s="26" t="str">
        <x:v>Contribution API fields only; original project JSON needed for line-item names/centres/category</x:v>
      </x:c>
      <x:c r="AI32" s="26" t="str"/>
      <x:c r="AJ32" s="26" t="str">
        <x:v>Not Started</x:v>
      </x:c>
      <x:c r="AK32" s="26" t="str"/>
      <x:c r="AL32" s="26" t="str"/>
    </x:row>
    <x:row r="33">
      <x:c r="A33" s="26" t="n">
        <x:v>66</x:v>
      </x:c>
      <x:c r="B33" s="26" t="n">
        <x:v>225</x:v>
      </x:c>
      <x:c r="C33" s="26" t="str">
        <x:v>Medak</x:v>
      </x:c>
      <x:c r="D33" s="26" t="str">
        <x:v>Telangana</x:v>
      </x:c>
      <x:c r="E33" s="26" t="n">
        <x:v>114320</x:v>
      </x:c>
      <x:c r="F33" s="26" t="str">
        <x:v>PRJ-2026-0114320</x:v>
      </x:c>
      <x:c r="G33" s="26" t="str">
        <x:v>AWC Upgradation of Mangalparthy III</x:v>
      </x:c>
      <x:c r="H33" s="26" t="str">
        <x:v>Mission Saksham Anganwadi &amp; POSHAN 2.0</x:v>
      </x:c>
      <x:c r="I33" s="32" t="n">
        <x:v>46198</x:v>
      </x:c>
      <x:c r="J33" s="32" t="n">
        <x:v>46381</x:v>
      </x:c>
      <x:c r="K33" s="32"/>
      <x:c r="L33" s="26" t="str">
        <x:v>Active: On/After 01-Aug-2026</x:v>
      </x:c>
      <x:c r="M33" s="26" t="str">
        <x:v>Pending Mapping</x:v>
      </x:c>
      <x:c r="N33" s="26" t="str">
        <x:v>Original project JSON not available</x:v>
      </x:c>
      <x:c r="O33" s="26"/>
      <x:c r="P33" s="26" t="str"/>
      <x:c r="Q33" s="26" t="str"/>
      <x:c r="R33" s="26"/>
      <x:c r="S33" s="36"/>
      <x:c r="T33" s="26"/>
      <x:c r="U33" s="26"/>
      <x:c r="V33" s="26"/>
      <x:c r="W33" s="26" t="n">
        <x:v>6</x:v>
      </x:c>
      <x:c r="X33" s="26" t="n">
        <x:v>0</x:v>
      </x:c>
      <x:c r="Y33" s="26" t="n">
        <x:v>30</x:v>
      </x:c>
      <x:c r="Z33" s="26" t="n">
        <x:v>0</x:v>
      </x:c>
      <x:c r="AA33" s="26" t="n">
        <x:v>30</x:v>
      </x:c>
      <x:c r="AB33" s="38" t="n">
        <x:v>0</x:v>
      </x:c>
      <x:c r="AC33" s="26" t="str">
        <x:v>Committed / Not Delivered</x:v>
      </x:c>
      <x:c r="AD33" s="26" t="str">
        <x:v>Approval not recorded in response</x:v>
      </x:c>
      <x:c r="AE33" s="27" t="b">
        <x:v>1</x:v>
      </x:c>
      <x:c r="AF33" s="34" t="n">
        <x:v>46219.85313657407</x:v>
      </x:c>
      <x:c r="AG33" s="34"/>
      <x:c r="AH33" s="26" t="str">
        <x:v>Contribution API fields only; original project JSON needed for line-item names/centres/category</x:v>
      </x:c>
      <x:c r="AI33" s="26" t="str"/>
      <x:c r="AJ33" s="26" t="str">
        <x:v>Not Started</x:v>
      </x:c>
      <x:c r="AK33" s="26" t="str"/>
      <x:c r="AL33" s="26" t="str"/>
    </x:row>
    <x:row r="34">
      <x:c r="A34" s="26" t="n">
        <x:v>67</x:v>
      </x:c>
      <x:c r="B34" s="26" t="n">
        <x:v>226</x:v>
      </x:c>
      <x:c r="C34" s="26" t="str">
        <x:v>Medak</x:v>
      </x:c>
      <x:c r="D34" s="26" t="str">
        <x:v>Telangana</x:v>
      </x:c>
      <x:c r="E34" s="26" t="n">
        <x:v>114350</x:v>
      </x:c>
      <x:c r="F34" s="26" t="str">
        <x:v>PRJ-2026-0114350</x:v>
      </x:c>
      <x:c r="G34" s="26" t="str">
        <x:v>AWC Upgradation of Mangalparthy Thanda</x:v>
      </x:c>
      <x:c r="H34" s="26" t="str">
        <x:v>Mission Saksham Anganwadi &amp; POSHAN 2.0</x:v>
      </x:c>
      <x:c r="I34" s="32" t="n">
        <x:v>46198</x:v>
      </x:c>
      <x:c r="J34" s="32" t="n">
        <x:v>46381</x:v>
      </x:c>
      <x:c r="K34" s="32"/>
      <x:c r="L34" s="26" t="str">
        <x:v>Active: On/After 01-Aug-2026</x:v>
      </x:c>
      <x:c r="M34" s="26" t="str">
        <x:v>Pending Mapping</x:v>
      </x:c>
      <x:c r="N34" s="26" t="str">
        <x:v>Original project JSON not available</x:v>
      </x:c>
      <x:c r="O34" s="26"/>
      <x:c r="P34" s="26" t="str"/>
      <x:c r="Q34" s="26" t="str"/>
      <x:c r="R34" s="26"/>
      <x:c r="S34" s="36"/>
      <x:c r="T34" s="26"/>
      <x:c r="U34" s="26"/>
      <x:c r="V34" s="26"/>
      <x:c r="W34" s="26" t="n">
        <x:v>5</x:v>
      </x:c>
      <x:c r="X34" s="26" t="n">
        <x:v>0</x:v>
      </x:c>
      <x:c r="Y34" s="26" t="n">
        <x:v>29</x:v>
      </x:c>
      <x:c r="Z34" s="26" t="n">
        <x:v>0</x:v>
      </x:c>
      <x:c r="AA34" s="26" t="n">
        <x:v>29</x:v>
      </x:c>
      <x:c r="AB34" s="38" t="n">
        <x:v>0</x:v>
      </x:c>
      <x:c r="AC34" s="26" t="str">
        <x:v>Committed / Not Delivered</x:v>
      </x:c>
      <x:c r="AD34" s="26" t="str">
        <x:v>Approval not recorded in response</x:v>
      </x:c>
      <x:c r="AE34" s="27" t="b">
        <x:v>1</x:v>
      </x:c>
      <x:c r="AF34" s="34" t="n">
        <x:v>46219.85313657407</x:v>
      </x:c>
      <x:c r="AG34" s="34"/>
      <x:c r="AH34" s="26" t="str">
        <x:v>Contribution API fields only; original project JSON needed for line-item names/centres/category</x:v>
      </x:c>
      <x:c r="AI34" s="26" t="str"/>
      <x:c r="AJ34" s="26" t="str">
        <x:v>Not Started</x:v>
      </x:c>
      <x:c r="AK34" s="26" t="str"/>
      <x:c r="AL34" s="26" t="str"/>
    </x:row>
    <x:row r="35">
      <x:c r="A35" s="26" t="n">
        <x:v>68</x:v>
      </x:c>
      <x:c r="B35" s="26" t="n">
        <x:v>223</x:v>
      </x:c>
      <x:c r="C35" s="26" t="str">
        <x:v>Medak</x:v>
      </x:c>
      <x:c r="D35" s="26" t="str">
        <x:v>Telangana</x:v>
      </x:c>
      <x:c r="E35" s="26" t="n">
        <x:v>114444</x:v>
      </x:c>
      <x:c r="F35" s="26" t="str">
        <x:v>PRJ-2026-0114444</x:v>
      </x:c>
      <x:c r="G35" s="26" t="str">
        <x:v>AWC Upgradation Of Veldurthy-III</x:v>
      </x:c>
      <x:c r="H35" s="26" t="str">
        <x:v>Mission Saksham Anganwadi &amp; POSHAN 2.0</x:v>
      </x:c>
      <x:c r="I35" s="32" t="n">
        <x:v>46198</x:v>
      </x:c>
      <x:c r="J35" s="32" t="n">
        <x:v>46381</x:v>
      </x:c>
      <x:c r="K35" s="32"/>
      <x:c r="L35" s="26" t="str">
        <x:v>Active: On/After 01-Aug-2026</x:v>
      </x:c>
      <x:c r="M35" s="26" t="str">
        <x:v>Pending Mapping</x:v>
      </x:c>
      <x:c r="N35" s="26" t="str">
        <x:v>Original project JSON not available</x:v>
      </x:c>
      <x:c r="O35" s="26"/>
      <x:c r="P35" s="26" t="str"/>
      <x:c r="Q35" s="26" t="str"/>
      <x:c r="R35" s="26"/>
      <x:c r="S35" s="36"/>
      <x:c r="T35" s="26"/>
      <x:c r="U35" s="26"/>
      <x:c r="V35" s="26"/>
      <x:c r="W35" s="26" t="n">
        <x:v>4</x:v>
      </x:c>
      <x:c r="X35" s="26" t="n">
        <x:v>0</x:v>
      </x:c>
      <x:c r="Y35" s="26" t="n">
        <x:v>28</x:v>
      </x:c>
      <x:c r="Z35" s="26" t="n">
        <x:v>0</x:v>
      </x:c>
      <x:c r="AA35" s="26" t="n">
        <x:v>28</x:v>
      </x:c>
      <x:c r="AB35" s="38" t="n">
        <x:v>0</x:v>
      </x:c>
      <x:c r="AC35" s="26" t="str">
        <x:v>Committed / Not Delivered</x:v>
      </x:c>
      <x:c r="AD35" s="26" t="str">
        <x:v>Approval not recorded in response</x:v>
      </x:c>
      <x:c r="AE35" s="27" t="b">
        <x:v>1</x:v>
      </x:c>
      <x:c r="AF35" s="34" t="n">
        <x:v>46219.853125</x:v>
      </x:c>
      <x:c r="AG35" s="34"/>
      <x:c r="AH35" s="26" t="str">
        <x:v>Contribution API fields only; original project JSON needed for line-item names/centres/category</x:v>
      </x:c>
      <x:c r="AI35" s="26" t="str"/>
      <x:c r="AJ35" s="26" t="str">
        <x:v>Not Started</x:v>
      </x:c>
      <x:c r="AK35" s="26" t="str"/>
      <x:c r="AL35" s="26" t="str"/>
    </x:row>
    <x:row r="36">
      <x:c r="A36" s="26" t="n">
        <x:v>69</x:v>
      </x:c>
      <x:c r="B36" s="26" t="n">
        <x:v>224</x:v>
      </x:c>
      <x:c r="C36" s="26" t="str">
        <x:v>Medak</x:v>
      </x:c>
      <x:c r="D36" s="26" t="str">
        <x:v>Telangana</x:v>
      </x:c>
      <x:c r="E36" s="26" t="n">
        <x:v>114473</x:v>
      </x:c>
      <x:c r="F36" s="26" t="str">
        <x:v>PRJ-2026-0114473</x:v>
      </x:c>
      <x:c r="G36" s="26" t="str">
        <x:v>AWC Upgradation of Veldurthy-V</x:v>
      </x:c>
      <x:c r="H36" s="26" t="str">
        <x:v>Mission Saksham Anganwadi &amp; POSHAN 2.0</x:v>
      </x:c>
      <x:c r="I36" s="32" t="n">
        <x:v>46198</x:v>
      </x:c>
      <x:c r="J36" s="32" t="n">
        <x:v>46381</x:v>
      </x:c>
      <x:c r="K36" s="32"/>
      <x:c r="L36" s="26" t="str">
        <x:v>Active: On/After 01-Aug-2026</x:v>
      </x:c>
      <x:c r="M36" s="26" t="str">
        <x:v>Pending Mapping</x:v>
      </x:c>
      <x:c r="N36" s="26" t="str">
        <x:v>Original project JSON not available</x:v>
      </x:c>
      <x:c r="O36" s="26"/>
      <x:c r="P36" s="26" t="str"/>
      <x:c r="Q36" s="26" t="str"/>
      <x:c r="R36" s="26"/>
      <x:c r="S36" s="36"/>
      <x:c r="T36" s="26"/>
      <x:c r="U36" s="26"/>
      <x:c r="V36" s="26"/>
      <x:c r="W36" s="26" t="n">
        <x:v>4</x:v>
      </x:c>
      <x:c r="X36" s="26" t="n">
        <x:v>0</x:v>
      </x:c>
      <x:c r="Y36" s="26" t="n">
        <x:v>28</x:v>
      </x:c>
      <x:c r="Z36" s="26" t="n">
        <x:v>0</x:v>
      </x:c>
      <x:c r="AA36" s="26" t="n">
        <x:v>28</x:v>
      </x:c>
      <x:c r="AB36" s="38" t="n">
        <x:v>0</x:v>
      </x:c>
      <x:c r="AC36" s="26" t="str">
        <x:v>Committed / Not Delivered</x:v>
      </x:c>
      <x:c r="AD36" s="26" t="str">
        <x:v>Approval not recorded in response</x:v>
      </x:c>
      <x:c r="AE36" s="27" t="b">
        <x:v>1</x:v>
      </x:c>
      <x:c r="AF36" s="34" t="n">
        <x:v>46219.853125</x:v>
      </x:c>
      <x:c r="AG36" s="34"/>
      <x:c r="AH36" s="26" t="str">
        <x:v>Contribution API fields only; original project JSON needed for line-item names/centres/category</x:v>
      </x:c>
      <x:c r="AI36" s="26" t="str"/>
      <x:c r="AJ36" s="26" t="str">
        <x:v>Not Started</x:v>
      </x:c>
      <x:c r="AK36" s="26" t="str"/>
      <x:c r="AL36" s="26" t="str"/>
    </x:row>
    <x:row r="37">
      <x:c r="A37" s="26" t="n">
        <x:v>70</x:v>
      </x:c>
      <x:c r="B37" s="26" t="n">
        <x:v>221</x:v>
      </x:c>
      <x:c r="C37" s="26" t="str">
        <x:v>Medak</x:v>
      </x:c>
      <x:c r="D37" s="26" t="str">
        <x:v>Telangana</x:v>
      </x:c>
      <x:c r="E37" s="26" t="n">
        <x:v>114696</x:v>
      </x:c>
      <x:c r="F37" s="26" t="str">
        <x:v>PRJ-2026-0114696</x:v>
      </x:c>
      <x:c r="G37" s="26" t="str">
        <x:v>Upgradation of awc</x:v>
      </x:c>
      <x:c r="H37" s="26" t="str">
        <x:v>Mission Saksham Anganwadi &amp; POSHAN 2.0</x:v>
      </x:c>
      <x:c r="I37" s="32" t="n">
        <x:v>46198</x:v>
      </x:c>
      <x:c r="J37" s="32" t="n">
        <x:v>46381</x:v>
      </x:c>
      <x:c r="K37" s="32"/>
      <x:c r="L37" s="26" t="str">
        <x:v>Active: On/After 01-Aug-2026</x:v>
      </x:c>
      <x:c r="M37" s="26" t="str">
        <x:v>Pending Mapping</x:v>
      </x:c>
      <x:c r="N37" s="26" t="str">
        <x:v>Original project JSON not available</x:v>
      </x:c>
      <x:c r="O37" s="26"/>
      <x:c r="P37" s="26" t="str"/>
      <x:c r="Q37" s="26" t="str"/>
      <x:c r="R37" s="26"/>
      <x:c r="S37" s="36"/>
      <x:c r="T37" s="26"/>
      <x:c r="U37" s="26"/>
      <x:c r="V37" s="26"/>
      <x:c r="W37" s="26" t="n">
        <x:v>1</x:v>
      </x:c>
      <x:c r="X37" s="26" t="n">
        <x:v>0</x:v>
      </x:c>
      <x:c r="Y37" s="26" t="n">
        <x:v>4</x:v>
      </x:c>
      <x:c r="Z37" s="26" t="n">
        <x:v>0</x:v>
      </x:c>
      <x:c r="AA37" s="26" t="n">
        <x:v>4</x:v>
      </x:c>
      <x:c r="AB37" s="38" t="n">
        <x:v>0</x:v>
      </x:c>
      <x:c r="AC37" s="26" t="str">
        <x:v>Committed / Not Delivered</x:v>
      </x:c>
      <x:c r="AD37" s="26" t="str">
        <x:v>Approval not recorded in response</x:v>
      </x:c>
      <x:c r="AE37" s="27" t="b">
        <x:v>1</x:v>
      </x:c>
      <x:c r="AF37" s="34" t="n">
        <x:v>46219.853113425925</x:v>
      </x:c>
      <x:c r="AG37" s="34"/>
      <x:c r="AH37" s="26" t="str">
        <x:v>Contribution API fields only; original project JSON needed for line-item names/centres/category</x:v>
      </x:c>
      <x:c r="AI37" s="26" t="str"/>
      <x:c r="AJ37" s="26" t="str">
        <x:v>Not Started</x:v>
      </x:c>
      <x:c r="AK37" s="26" t="str"/>
      <x:c r="AL37" s="26" t="str"/>
    </x:row>
    <x:row r="38">
      <x:c r="A38" s="26" t="n">
        <x:v>71</x:v>
      </x:c>
      <x:c r="B38" s="26" t="n">
        <x:v>222</x:v>
      </x:c>
      <x:c r="C38" s="26" t="str">
        <x:v>Medak</x:v>
      </x:c>
      <x:c r="D38" s="26" t="str">
        <x:v>Telangana</x:v>
      </x:c>
      <x:c r="E38" s="26" t="n">
        <x:v>114584</x:v>
      </x:c>
      <x:c r="F38" s="26" t="str">
        <x:v>PRJ-2026-0114584</x:v>
      </x:c>
      <x:c r="G38" s="26" t="str">
        <x:v>AWC Upgradradation of Yashwanthraopet II</x:v>
      </x:c>
      <x:c r="H38" s="26" t="str">
        <x:v>Mission Saksham Anganwadi &amp; POSHAN 2.0</x:v>
      </x:c>
      <x:c r="I38" s="32" t="n">
        <x:v>46198</x:v>
      </x:c>
      <x:c r="J38" s="32" t="n">
        <x:v>46381</x:v>
      </x:c>
      <x:c r="K38" s="32"/>
      <x:c r="L38" s="26" t="str">
        <x:v>Active: On/After 01-Aug-2026</x:v>
      </x:c>
      <x:c r="M38" s="26" t="str">
        <x:v>Pending Mapping</x:v>
      </x:c>
      <x:c r="N38" s="26" t="str">
        <x:v>Original project JSON not available</x:v>
      </x:c>
      <x:c r="O38" s="26"/>
      <x:c r="P38" s="26" t="str"/>
      <x:c r="Q38" s="26" t="str"/>
      <x:c r="R38" s="26"/>
      <x:c r="S38" s="36"/>
      <x:c r="T38" s="26"/>
      <x:c r="U38" s="26"/>
      <x:c r="V38" s="26"/>
      <x:c r="W38" s="26" t="n">
        <x:v>5</x:v>
      </x:c>
      <x:c r="X38" s="26" t="n">
        <x:v>0</x:v>
      </x:c>
      <x:c r="Y38" s="26" t="n">
        <x:v>36</x:v>
      </x:c>
      <x:c r="Z38" s="26" t="n">
        <x:v>0</x:v>
      </x:c>
      <x:c r="AA38" s="26" t="n">
        <x:v>36</x:v>
      </x:c>
      <x:c r="AB38" s="38" t="n">
        <x:v>0</x:v>
      </x:c>
      <x:c r="AC38" s="26" t="str">
        <x:v>Committed / Not Delivered</x:v>
      </x:c>
      <x:c r="AD38" s="26" t="str">
        <x:v>Approval not recorded in response</x:v>
      </x:c>
      <x:c r="AE38" s="27" t="b">
        <x:v>1</x:v>
      </x:c>
      <x:c r="AF38" s="34" t="n">
        <x:v>46219.853113425925</x:v>
      </x:c>
      <x:c r="AG38" s="34"/>
      <x:c r="AH38" s="26" t="str">
        <x:v>Contribution API fields only; original project JSON needed for line-item names/centres/category</x:v>
      </x:c>
      <x:c r="AI38" s="26" t="str"/>
      <x:c r="AJ38" s="26" t="str">
        <x:v>Not Started</x:v>
      </x:c>
      <x:c r="AK38" s="26" t="str"/>
      <x:c r="AL38" s="26" t="str"/>
    </x:row>
    <x:row r="39">
      <x:c r="A39" s="26" t="n">
        <x:v>72</x:v>
      </x:c>
      <x:c r="B39" s="26" t="n">
        <x:v>220</x:v>
      </x:c>
      <x:c r="C39" s="26" t="str">
        <x:v>Medak</x:v>
      </x:c>
      <x:c r="D39" s="26" t="str">
        <x:v>Telangana</x:v>
      </x:c>
      <x:c r="E39" s="26" t="n">
        <x:v>114728</x:v>
      </x:c>
      <x:c r="F39" s="26" t="str">
        <x:v>PRJ-2026-0114728</x:v>
      </x:c>
      <x:c r="G39" s="26" t="str">
        <x:v>Upgradation of awc</x:v>
      </x:c>
      <x:c r="H39" s="26" t="str">
        <x:v>Mission Saksham Anganwadi &amp; POSHAN 2.0</x:v>
      </x:c>
      <x:c r="I39" s="32" t="n">
        <x:v>46198</x:v>
      </x:c>
      <x:c r="J39" s="32" t="n">
        <x:v>46385</x:v>
      </x:c>
      <x:c r="K39" s="32"/>
      <x:c r="L39" s="26" t="str">
        <x:v>Active: On/After 01-Aug-2026</x:v>
      </x:c>
      <x:c r="M39" s="26" t="str">
        <x:v>Pending Mapping</x:v>
      </x:c>
      <x:c r="N39" s="26" t="str">
        <x:v>Original project JSON not available</x:v>
      </x:c>
      <x:c r="O39" s="26"/>
      <x:c r="P39" s="26" t="str"/>
      <x:c r="Q39" s="26" t="str"/>
      <x:c r="R39" s="26"/>
      <x:c r="S39" s="36"/>
      <x:c r="T39" s="26"/>
      <x:c r="U39" s="26"/>
      <x:c r="V39" s="26"/>
      <x:c r="W39" s="26" t="n">
        <x:v>1</x:v>
      </x:c>
      <x:c r="X39" s="26" t="n">
        <x:v>0</x:v>
      </x:c>
      <x:c r="Y39" s="26" t="n">
        <x:v>2</x:v>
      </x:c>
      <x:c r="Z39" s="26" t="n">
        <x:v>0</x:v>
      </x:c>
      <x:c r="AA39" s="26" t="n">
        <x:v>2</x:v>
      </x:c>
      <x:c r="AB39" s="38" t="n">
        <x:v>0</x:v>
      </x:c>
      <x:c r="AC39" s="26" t="str">
        <x:v>Committed / Not Delivered</x:v>
      </x:c>
      <x:c r="AD39" s="26" t="str">
        <x:v>Approval not recorded in response</x:v>
      </x:c>
      <x:c r="AE39" s="27" t="b">
        <x:v>1</x:v>
      </x:c>
      <x:c r="AF39" s="34" t="n">
        <x:v>46219.853101851855</x:v>
      </x:c>
      <x:c r="AG39" s="34"/>
      <x:c r="AH39" s="26" t="str">
        <x:v>Contribution API fields only; original project JSON needed for line-item names/centres/category</x:v>
      </x:c>
      <x:c r="AI39" s="26" t="str"/>
      <x:c r="AJ39" s="26" t="str">
        <x:v>Not Started</x:v>
      </x:c>
      <x:c r="AK39" s="26" t="str"/>
      <x:c r="AL39" s="26" t="str"/>
    </x:row>
    <x:row r="40">
      <x:c r="A40" s="26" t="n">
        <x:v>73</x:v>
      </x:c>
      <x:c r="B40" s="26" t="n">
        <x:v>218</x:v>
      </x:c>
      <x:c r="C40" s="26" t="str">
        <x:v>Medak</x:v>
      </x:c>
      <x:c r="D40" s="26" t="str">
        <x:v>Telangana</x:v>
      </x:c>
      <x:c r="E40" s="26" t="n">
        <x:v>123083</x:v>
      </x:c>
      <x:c r="F40" s="26" t="str">
        <x:v>PRJ-2026-0123083</x:v>
      </x:c>
      <x:c r="G40" s="26" t="str">
        <x:v>Upgradation of awc</x:v>
      </x:c>
      <x:c r="H40" s="26" t="str">
        <x:v>Mission Saksham Anganwadi &amp; POSHAN 2.0</x:v>
      </x:c>
      <x:c r="I40" s="32" t="n">
        <x:v>46202</x:v>
      </x:c>
      <x:c r="J40" s="32" t="n">
        <x:v>46385</x:v>
      </x:c>
      <x:c r="K40" s="32"/>
      <x:c r="L40" s="26" t="str">
        <x:v>Active: On/After 01-Aug-2026</x:v>
      </x:c>
      <x:c r="M40" s="26" t="str">
        <x:v>Pending Mapping</x:v>
      </x:c>
      <x:c r="N40" s="26" t="str">
        <x:v>Original project JSON not available</x:v>
      </x:c>
      <x:c r="O40" s="26"/>
      <x:c r="P40" s="26" t="str"/>
      <x:c r="Q40" s="26" t="str"/>
      <x:c r="R40" s="26"/>
      <x:c r="S40" s="36"/>
      <x:c r="T40" s="26"/>
      <x:c r="U40" s="26"/>
      <x:c r="V40" s="26"/>
      <x:c r="W40" s="26" t="n">
        <x:v>1</x:v>
      </x:c>
      <x:c r="X40" s="26" t="n">
        <x:v>0</x:v>
      </x:c>
      <x:c r="Y40" s="26" t="n">
        <x:v>4</x:v>
      </x:c>
      <x:c r="Z40" s="26" t="n">
        <x:v>0</x:v>
      </x:c>
      <x:c r="AA40" s="26" t="n">
        <x:v>4</x:v>
      </x:c>
      <x:c r="AB40" s="38" t="n">
        <x:v>0</x:v>
      </x:c>
      <x:c r="AC40" s="26" t="str">
        <x:v>Committed / Not Delivered</x:v>
      </x:c>
      <x:c r="AD40" s="26" t="str">
        <x:v>Approval not recorded in response</x:v>
      </x:c>
      <x:c r="AE40" s="27" t="b">
        <x:v>1</x:v>
      </x:c>
      <x:c r="AF40" s="34" t="n">
        <x:v>46219.85309027778</x:v>
      </x:c>
      <x:c r="AG40" s="34"/>
      <x:c r="AH40" s="26" t="str">
        <x:v>Contribution API fields only; original project JSON needed for line-item names/centres/category</x:v>
      </x:c>
      <x:c r="AI40" s="26" t="str"/>
      <x:c r="AJ40" s="26" t="str">
        <x:v>Not Started</x:v>
      </x:c>
      <x:c r="AK40" s="26" t="str"/>
      <x:c r="AL40" s="26" t="str"/>
    </x:row>
    <x:row r="41">
      <x:c r="A41" s="26" t="n">
        <x:v>74</x:v>
      </x:c>
      <x:c r="B41" s="26" t="n">
        <x:v>219</x:v>
      </x:c>
      <x:c r="C41" s="26" t="str">
        <x:v>Medak</x:v>
      </x:c>
      <x:c r="D41" s="26" t="str">
        <x:v>Telangana</x:v>
      </x:c>
      <x:c r="E41" s="26" t="n">
        <x:v>123075</x:v>
      </x:c>
      <x:c r="F41" s="26" t="str">
        <x:v>PRJ-2026-0123075</x:v>
      </x:c>
      <x:c r="G41" s="26" t="str">
        <x:v>Upgradation of awc</x:v>
      </x:c>
      <x:c r="H41" s="26" t="str">
        <x:v>Mission Saksham Anganwadi &amp; POSHAN 2.0</x:v>
      </x:c>
      <x:c r="I41" s="32" t="n">
        <x:v>46202</x:v>
      </x:c>
      <x:c r="J41" s="32" t="n">
        <x:v>46382</x:v>
      </x:c>
      <x:c r="K41" s="32"/>
      <x:c r="L41" s="26" t="str">
        <x:v>Active: On/After 01-Aug-2026</x:v>
      </x:c>
      <x:c r="M41" s="26" t="str">
        <x:v>Pending Mapping</x:v>
      </x:c>
      <x:c r="N41" s="26" t="str">
        <x:v>Original project JSON not available</x:v>
      </x:c>
      <x:c r="O41" s="26"/>
      <x:c r="P41" s="26" t="str"/>
      <x:c r="Q41" s="26" t="str"/>
      <x:c r="R41" s="26"/>
      <x:c r="S41" s="36"/>
      <x:c r="T41" s="26"/>
      <x:c r="U41" s="26"/>
      <x:c r="V41" s="26"/>
      <x:c r="W41" s="26" t="n">
        <x:v>1</x:v>
      </x:c>
      <x:c r="X41" s="26" t="n">
        <x:v>0</x:v>
      </x:c>
      <x:c r="Y41" s="26" t="n">
        <x:v>4</x:v>
      </x:c>
      <x:c r="Z41" s="26" t="n">
        <x:v>0</x:v>
      </x:c>
      <x:c r="AA41" s="26" t="n">
        <x:v>4</x:v>
      </x:c>
      <x:c r="AB41" s="38" t="n">
        <x:v>0</x:v>
      </x:c>
      <x:c r="AC41" s="26" t="str">
        <x:v>Committed / Not Delivered</x:v>
      </x:c>
      <x:c r="AD41" s="26" t="str">
        <x:v>Approval not recorded in response</x:v>
      </x:c>
      <x:c r="AE41" s="27" t="b">
        <x:v>1</x:v>
      </x:c>
      <x:c r="AF41" s="34" t="n">
        <x:v>46219.85309027778</x:v>
      </x:c>
      <x:c r="AG41" s="34"/>
      <x:c r="AH41" s="26" t="str">
        <x:v>Contribution API fields only; original project JSON needed for line-item names/centres/category</x:v>
      </x:c>
      <x:c r="AI41" s="26" t="str"/>
      <x:c r="AJ41" s="26" t="str">
        <x:v>Not Started</x:v>
      </x:c>
      <x:c r="AK41" s="26" t="str"/>
      <x:c r="AL41" s="26" t="str"/>
    </x:row>
    <x:row r="42">
      <x:c r="A42" s="26" t="n">
        <x:v>75</x:v>
      </x:c>
      <x:c r="B42" s="26" t="n">
        <x:v>217</x:v>
      </x:c>
      <x:c r="C42" s="26" t="str">
        <x:v>Medak</x:v>
      </x:c>
      <x:c r="D42" s="26" t="str">
        <x:v>Telangana</x:v>
      </x:c>
      <x:c r="E42" s="26" t="n">
        <x:v>123089</x:v>
      </x:c>
      <x:c r="F42" s="26" t="str">
        <x:v>PRJ-2026-0123089</x:v>
      </x:c>
      <x:c r="G42" s="26" t="str">
        <x:v>Upgradation of awc</x:v>
      </x:c>
      <x:c r="H42" s="26" t="str">
        <x:v>Mission Saksham Anganwadi &amp; POSHAN 2.0</x:v>
      </x:c>
      <x:c r="I42" s="32" t="n">
        <x:v>46202</x:v>
      </x:c>
      <x:c r="J42" s="32" t="n">
        <x:v>46386</x:v>
      </x:c>
      <x:c r="K42" s="32"/>
      <x:c r="L42" s="26" t="str">
        <x:v>Active: On/After 01-Aug-2026</x:v>
      </x:c>
      <x:c r="M42" s="26" t="str">
        <x:v>Pending Mapping</x:v>
      </x:c>
      <x:c r="N42" s="26" t="str">
        <x:v>Original project JSON not available</x:v>
      </x:c>
      <x:c r="O42" s="26"/>
      <x:c r="P42" s="26" t="str"/>
      <x:c r="Q42" s="26" t="str"/>
      <x:c r="R42" s="26"/>
      <x:c r="S42" s="36"/>
      <x:c r="T42" s="26"/>
      <x:c r="U42" s="26"/>
      <x:c r="V42" s="26"/>
      <x:c r="W42" s="26" t="n">
        <x:v>1</x:v>
      </x:c>
      <x:c r="X42" s="26" t="n">
        <x:v>0</x:v>
      </x:c>
      <x:c r="Y42" s="26" t="n">
        <x:v>7</x:v>
      </x:c>
      <x:c r="Z42" s="26" t="n">
        <x:v>0</x:v>
      </x:c>
      <x:c r="AA42" s="26" t="n">
        <x:v>7</x:v>
      </x:c>
      <x:c r="AB42" s="38" t="n">
        <x:v>0</x:v>
      </x:c>
      <x:c r="AC42" s="26" t="str">
        <x:v>Committed / Not Delivered</x:v>
      </x:c>
      <x:c r="AD42" s="26" t="str">
        <x:v>Approval not recorded in response</x:v>
      </x:c>
      <x:c r="AE42" s="27" t="b">
        <x:v>1</x:v>
      </x:c>
      <x:c r="AF42" s="34" t="n">
        <x:v>46219.8530787037</x:v>
      </x:c>
      <x:c r="AG42" s="34"/>
      <x:c r="AH42" s="26" t="str">
        <x:v>Contribution API fields only; original project JSON needed for line-item names/centres/category</x:v>
      </x:c>
      <x:c r="AI42" s="26" t="str"/>
      <x:c r="AJ42" s="26" t="str">
        <x:v>Not Started</x:v>
      </x:c>
      <x:c r="AK42" s="26" t="str"/>
      <x:c r="AL42" s="26" t="str"/>
    </x:row>
    <x:row r="43">
      <x:c r="A43" s="26" t="n">
        <x:v>76</x:v>
      </x:c>
      <x:c r="B43" s="26" t="n">
        <x:v>215</x:v>
      </x:c>
      <x:c r="C43" s="26" t="str">
        <x:v>Medak</x:v>
      </x:c>
      <x:c r="D43" s="26" t="str">
        <x:v>Telangana</x:v>
      </x:c>
      <x:c r="E43" s="26" t="n">
        <x:v>123887</x:v>
      </x:c>
      <x:c r="F43" s="26" t="str">
        <x:v>PRJ-2026-0123887</x:v>
      </x:c>
      <x:c r="G43" s="26" t="str">
        <x:v>Upgradation of awc</x:v>
      </x:c>
      <x:c r="H43" s="26" t="str">
        <x:v>Mission Saksham Anganwadi &amp; POSHAN 2.0</x:v>
      </x:c>
      <x:c r="I43" s="32" t="n">
        <x:v>46202</x:v>
      </x:c>
      <x:c r="J43" s="32" t="n">
        <x:v>46386</x:v>
      </x:c>
      <x:c r="K43" s="32"/>
      <x:c r="L43" s="26" t="str">
        <x:v>Active: On/After 01-Aug-2026</x:v>
      </x:c>
      <x:c r="M43" s="26" t="str">
        <x:v>Pending Mapping</x:v>
      </x:c>
      <x:c r="N43" s="26" t="str">
        <x:v>Original project JSON not available</x:v>
      </x:c>
      <x:c r="O43" s="26"/>
      <x:c r="P43" s="26" t="str"/>
      <x:c r="Q43" s="26" t="str"/>
      <x:c r="R43" s="26"/>
      <x:c r="S43" s="36"/>
      <x:c r="T43" s="26"/>
      <x:c r="U43" s="26"/>
      <x:c r="V43" s="26"/>
      <x:c r="W43" s="26" t="n">
        <x:v>1</x:v>
      </x:c>
      <x:c r="X43" s="26" t="n">
        <x:v>0</x:v>
      </x:c>
      <x:c r="Y43" s="26" t="n">
        <x:v>5</x:v>
      </x:c>
      <x:c r="Z43" s="26" t="n">
        <x:v>0</x:v>
      </x:c>
      <x:c r="AA43" s="26" t="n">
        <x:v>5</x:v>
      </x:c>
      <x:c r="AB43" s="38" t="n">
        <x:v>0</x:v>
      </x:c>
      <x:c r="AC43" s="26" t="str">
        <x:v>Committed / Not Delivered</x:v>
      </x:c>
      <x:c r="AD43" s="26" t="str">
        <x:v>Approval not recorded in response</x:v>
      </x:c>
      <x:c r="AE43" s="27" t="b">
        <x:v>1</x:v>
      </x:c>
      <x:c r="AF43" s="34" t="n">
        <x:v>46219.85306712963</x:v>
      </x:c>
      <x:c r="AG43" s="34"/>
      <x:c r="AH43" s="26" t="str">
        <x:v>Contribution API fields only; original project JSON needed for line-item names/centres/category</x:v>
      </x:c>
      <x:c r="AI43" s="26" t="str"/>
      <x:c r="AJ43" s="26" t="str">
        <x:v>Not Started</x:v>
      </x:c>
      <x:c r="AK43" s="26" t="str"/>
      <x:c r="AL43" s="26" t="str"/>
    </x:row>
    <x:row r="44">
      <x:c r="A44" s="26" t="n">
        <x:v>77</x:v>
      </x:c>
      <x:c r="B44" s="26" t="n">
        <x:v>216</x:v>
      </x:c>
      <x:c r="C44" s="26" t="str">
        <x:v>Medak</x:v>
      </x:c>
      <x:c r="D44" s="26" t="str">
        <x:v>Telangana</x:v>
      </x:c>
      <x:c r="E44" s="26" t="n">
        <x:v>123865</x:v>
      </x:c>
      <x:c r="F44" s="26" t="str">
        <x:v>PRJ-2026-0123865</x:v>
      </x:c>
      <x:c r="G44" s="26" t="str">
        <x:v>Upgradation of awc</x:v>
      </x:c>
      <x:c r="H44" s="26" t="str">
        <x:v>Mission Saksham Anganwadi &amp; POSHAN 2.0</x:v>
      </x:c>
      <x:c r="I44" s="32" t="n">
        <x:v>46202</x:v>
      </x:c>
      <x:c r="J44" s="32" t="n">
        <x:v>46386</x:v>
      </x:c>
      <x:c r="K44" s="32"/>
      <x:c r="L44" s="26" t="str">
        <x:v>Active: On/After 01-Aug-2026</x:v>
      </x:c>
      <x:c r="M44" s="26" t="str">
        <x:v>Pending Mapping</x:v>
      </x:c>
      <x:c r="N44" s="26" t="str">
        <x:v>Original project JSON not available</x:v>
      </x:c>
      <x:c r="O44" s="26"/>
      <x:c r="P44" s="26" t="str"/>
      <x:c r="Q44" s="26" t="str"/>
      <x:c r="R44" s="26"/>
      <x:c r="S44" s="36"/>
      <x:c r="T44" s="26"/>
      <x:c r="U44" s="26"/>
      <x:c r="V44" s="26"/>
      <x:c r="W44" s="26" t="n">
        <x:v>1</x:v>
      </x:c>
      <x:c r="X44" s="26" t="n">
        <x:v>0</x:v>
      </x:c>
      <x:c r="Y44" s="26" t="n">
        <x:v>4</x:v>
      </x:c>
      <x:c r="Z44" s="26" t="n">
        <x:v>0</x:v>
      </x:c>
      <x:c r="AA44" s="26" t="n">
        <x:v>4</x:v>
      </x:c>
      <x:c r="AB44" s="38" t="n">
        <x:v>0</x:v>
      </x:c>
      <x:c r="AC44" s="26" t="str">
        <x:v>Committed / Not Delivered</x:v>
      </x:c>
      <x:c r="AD44" s="26" t="str">
        <x:v>Approval not recorded in response</x:v>
      </x:c>
      <x:c r="AE44" s="27" t="b">
        <x:v>1</x:v>
      </x:c>
      <x:c r="AF44" s="34" t="n">
        <x:v>46219.85306712963</x:v>
      </x:c>
      <x:c r="AG44" s="34"/>
      <x:c r="AH44" s="26" t="str">
        <x:v>Contribution API fields only; original project JSON needed for line-item names/centres/category</x:v>
      </x:c>
      <x:c r="AI44" s="26" t="str"/>
      <x:c r="AJ44" s="26" t="str">
        <x:v>Not Started</x:v>
      </x:c>
      <x:c r="AK44" s="26" t="str"/>
      <x:c r="AL44" s="26" t="str"/>
    </x:row>
    <x:row r="45">
      <x:c r="A45" s="26" t="n">
        <x:v>78</x:v>
      </x:c>
      <x:c r="B45" s="26" t="n">
        <x:v>214</x:v>
      </x:c>
      <x:c r="C45" s="26" t="str">
        <x:v>Medak</x:v>
      </x:c>
      <x:c r="D45" s="26" t="str">
        <x:v>Telangana</x:v>
      </x:c>
      <x:c r="E45" s="26" t="n">
        <x:v>123912</x:v>
      </x:c>
      <x:c r="F45" s="26" t="str">
        <x:v>PRJ-2026-0123912</x:v>
      </x:c>
      <x:c r="G45" s="26" t="str">
        <x:v>Upgradation of awc</x:v>
      </x:c>
      <x:c r="H45" s="26" t="str">
        <x:v>Mission Saksham Anganwadi &amp; POSHAN 2.0</x:v>
      </x:c>
      <x:c r="I45" s="32" t="n">
        <x:v>46202</x:v>
      </x:c>
      <x:c r="J45" s="32" t="n">
        <x:v>46384</x:v>
      </x:c>
      <x:c r="K45" s="32"/>
      <x:c r="L45" s="26" t="str">
        <x:v>Active: On/After 01-Aug-2026</x:v>
      </x:c>
      <x:c r="M45" s="26" t="str">
        <x:v>Pending Mapping</x:v>
      </x:c>
      <x:c r="N45" s="26" t="str">
        <x:v>Original project JSON not available</x:v>
      </x:c>
      <x:c r="O45" s="26"/>
      <x:c r="P45" s="26" t="str"/>
      <x:c r="Q45" s="26" t="str"/>
      <x:c r="R45" s="26"/>
      <x:c r="S45" s="36"/>
      <x:c r="T45" s="26"/>
      <x:c r="U45" s="26"/>
      <x:c r="V45" s="26"/>
      <x:c r="W45" s="26" t="n">
        <x:v>1</x:v>
      </x:c>
      <x:c r="X45" s="26" t="n">
        <x:v>0</x:v>
      </x:c>
      <x:c r="Y45" s="26" t="n">
        <x:v>5</x:v>
      </x:c>
      <x:c r="Z45" s="26" t="n">
        <x:v>0</x:v>
      </x:c>
      <x:c r="AA45" s="26" t="n">
        <x:v>5</x:v>
      </x:c>
      <x:c r="AB45" s="38" t="n">
        <x:v>0</x:v>
      </x:c>
      <x:c r="AC45" s="26" t="str">
        <x:v>Committed / Not Delivered</x:v>
      </x:c>
      <x:c r="AD45" s="26" t="str">
        <x:v>Approval not recorded in response</x:v>
      </x:c>
      <x:c r="AE45" s="27" t="b">
        <x:v>1</x:v>
      </x:c>
      <x:c r="AF45" s="34" t="n">
        <x:v>46219.853055555555</x:v>
      </x:c>
      <x:c r="AG45" s="34"/>
      <x:c r="AH45" s="26" t="str">
        <x:v>Contribution API fields only; original project JSON needed for line-item names/centres/category</x:v>
      </x:c>
      <x:c r="AI45" s="26" t="str"/>
      <x:c r="AJ45" s="26" t="str">
        <x:v>Not Started</x:v>
      </x:c>
      <x:c r="AK45" s="26" t="str"/>
      <x:c r="AL45" s="26" t="str"/>
    </x:row>
    <x:row r="46">
      <x:c r="A46" s="26" t="n">
        <x:v>79</x:v>
      </x:c>
      <x:c r="B46" s="26" t="n">
        <x:v>213</x:v>
      </x:c>
      <x:c r="C46" s="26" t="str">
        <x:v>Medak</x:v>
      </x:c>
      <x:c r="D46" s="26" t="str">
        <x:v>Telangana</x:v>
      </x:c>
      <x:c r="E46" s="26" t="n">
        <x:v>114693</x:v>
      </x:c>
      <x:c r="F46" s="26" t="str">
        <x:v>PRJ-2026-0114693</x:v>
      </x:c>
      <x:c r="G46" s="26" t="str">
        <x:v>AWC Upgradation of Veldurthy-IV</x:v>
      </x:c>
      <x:c r="H46" s="26" t="str">
        <x:v>Mission Saksham Anganwadi &amp; POSHAN 2.0</x:v>
      </x:c>
      <x:c r="I46" s="32" t="n">
        <x:v>46198</x:v>
      </x:c>
      <x:c r="J46" s="32" t="n">
        <x:v>46381</x:v>
      </x:c>
      <x:c r="K46" s="32"/>
      <x:c r="L46" s="26" t="str">
        <x:v>Active: On/After 01-Aug-2026</x:v>
      </x:c>
      <x:c r="M46" s="26" t="str">
        <x:v>Pending Mapping</x:v>
      </x:c>
      <x:c r="N46" s="26" t="str">
        <x:v>Original project JSON not available</x:v>
      </x:c>
      <x:c r="O46" s="26"/>
      <x:c r="P46" s="26" t="str"/>
      <x:c r="Q46" s="26" t="str"/>
      <x:c r="R46" s="26"/>
      <x:c r="S46" s="36"/>
      <x:c r="T46" s="26"/>
      <x:c r="U46" s="26"/>
      <x:c r="V46" s="26"/>
      <x:c r="W46" s="26" t="n">
        <x:v>5</x:v>
      </x:c>
      <x:c r="X46" s="26" t="n">
        <x:v>0</x:v>
      </x:c>
      <x:c r="Y46" s="26" t="n">
        <x:v>37</x:v>
      </x:c>
      <x:c r="Z46" s="26" t="n">
        <x:v>0</x:v>
      </x:c>
      <x:c r="AA46" s="26" t="n">
        <x:v>37</x:v>
      </x:c>
      <x:c r="AB46" s="38" t="n">
        <x:v>0</x:v>
      </x:c>
      <x:c r="AC46" s="26" t="str">
        <x:v>Committed / Not Delivered</x:v>
      </x:c>
      <x:c r="AD46" s="26" t="str">
        <x:v>Approval not recorded in response</x:v>
      </x:c>
      <x:c r="AE46" s="27" t="b">
        <x:v>1</x:v>
      </x:c>
      <x:c r="AF46" s="34" t="n">
        <x:v>46219.850752314815</x:v>
      </x:c>
      <x:c r="AG46" s="34"/>
      <x:c r="AH46" s="26" t="str">
        <x:v>Contribution API fields only; original project JSON needed for line-item names/centres/category</x:v>
      </x:c>
      <x:c r="AI46" s="26" t="str"/>
      <x:c r="AJ46" s="26" t="str">
        <x:v>Not Started</x:v>
      </x:c>
      <x:c r="AK46" s="26" t="str"/>
      <x:c r="AL46" s="26" t="str"/>
    </x:row>
    <x:row r="47">
      <x:c r="A47" s="26" t="n">
        <x:v>80</x:v>
      </x:c>
      <x:c r="B47" s="26" t="n">
        <x:v>212</x:v>
      </x:c>
      <x:c r="C47" s="26" t="str">
        <x:v>Medak</x:v>
      </x:c>
      <x:c r="D47" s="26" t="str">
        <x:v>Telangana</x:v>
      </x:c>
      <x:c r="E47" s="26" t="n">
        <x:v>114660</x:v>
      </x:c>
      <x:c r="F47" s="26" t="str">
        <x:v>PRJ-2026-0114660</x:v>
      </x:c>
      <x:c r="G47" s="26" t="str">
        <x:v>AWC Upgradation of Aragudem</x:v>
      </x:c>
      <x:c r="H47" s="26" t="str">
        <x:v>Mission Saksham Anganwadi &amp; POSHAN 2.0</x:v>
      </x:c>
      <x:c r="I47" s="32" t="n">
        <x:v>46198</x:v>
      </x:c>
      <x:c r="J47" s="32" t="n">
        <x:v>46381</x:v>
      </x:c>
      <x:c r="K47" s="32"/>
      <x:c r="L47" s="26" t="str">
        <x:v>Active: On/After 01-Aug-2026</x:v>
      </x:c>
      <x:c r="M47" s="26" t="str">
        <x:v>Pending Mapping</x:v>
      </x:c>
      <x:c r="N47" s="26" t="str">
        <x:v>Original project JSON not available</x:v>
      </x:c>
      <x:c r="O47" s="26"/>
      <x:c r="P47" s="26" t="str"/>
      <x:c r="Q47" s="26" t="str"/>
      <x:c r="R47" s="26"/>
      <x:c r="S47" s="36"/>
      <x:c r="T47" s="26"/>
      <x:c r="U47" s="26"/>
      <x:c r="V47" s="26"/>
      <x:c r="W47" s="26" t="n">
        <x:v>4</x:v>
      </x:c>
      <x:c r="X47" s="26" t="n">
        <x:v>0</x:v>
      </x:c>
      <x:c r="Y47" s="26" t="n">
        <x:v>33</x:v>
      </x:c>
      <x:c r="Z47" s="26" t="n">
        <x:v>0</x:v>
      </x:c>
      <x:c r="AA47" s="26" t="n">
        <x:v>33</x:v>
      </x:c>
      <x:c r="AB47" s="38" t="n">
        <x:v>0</x:v>
      </x:c>
      <x:c r="AC47" s="26" t="str">
        <x:v>Committed / Not Delivered</x:v>
      </x:c>
      <x:c r="AD47" s="26" t="str">
        <x:v>Approval not recorded in response</x:v>
      </x:c>
      <x:c r="AE47" s="27" t="b">
        <x:v>1</x:v>
      </x:c>
      <x:c r="AF47" s="34" t="n">
        <x:v>46219.85074074074</x:v>
      </x:c>
      <x:c r="AG47" s="34"/>
      <x:c r="AH47" s="26" t="str">
        <x:v>Contribution API fields only; original project JSON needed for line-item names/centres/category</x:v>
      </x:c>
      <x:c r="AI47" s="26" t="str"/>
      <x:c r="AJ47" s="26" t="str">
        <x:v>Not Started</x:v>
      </x:c>
      <x:c r="AK47" s="26" t="str"/>
      <x:c r="AL47" s="26" t="str"/>
    </x:row>
    <x:row r="48">
      <x:c r="A48" s="26" t="n">
        <x:v>81</x:v>
      </x:c>
      <x:c r="B48" s="26" t="n">
        <x:v>210</x:v>
      </x:c>
      <x:c r="C48" s="26" t="str">
        <x:v>Medak</x:v>
      </x:c>
      <x:c r="D48" s="26" t="str">
        <x:v>Telangana</x:v>
      </x:c>
      <x:c r="E48" s="26" t="n">
        <x:v>114707</x:v>
      </x:c>
      <x:c r="F48" s="26" t="str">
        <x:v>PRJ-2026-0114707</x:v>
      </x:c>
      <x:c r="G48" s="26" t="str">
        <x:v>AWC Upgradation of Veldurthy-I</x:v>
      </x:c>
      <x:c r="H48" s="26" t="str">
        <x:v>Mission Saksham Anganwadi &amp; POSHAN 2.0</x:v>
      </x:c>
      <x:c r="I48" s="32" t="n">
        <x:v>46198</x:v>
      </x:c>
      <x:c r="J48" s="32" t="n">
        <x:v>46381</x:v>
      </x:c>
      <x:c r="K48" s="32"/>
      <x:c r="L48" s="26" t="str">
        <x:v>Active: On/After 01-Aug-2026</x:v>
      </x:c>
      <x:c r="M48" s="26" t="str">
        <x:v>Pending Mapping</x:v>
      </x:c>
      <x:c r="N48" s="26" t="str">
        <x:v>Original project JSON not available</x:v>
      </x:c>
      <x:c r="O48" s="26"/>
      <x:c r="P48" s="26" t="str"/>
      <x:c r="Q48" s="26" t="str"/>
      <x:c r="R48" s="26"/>
      <x:c r="S48" s="36"/>
      <x:c r="T48" s="26"/>
      <x:c r="U48" s="26"/>
      <x:c r="V48" s="26"/>
      <x:c r="W48" s="26" t="n">
        <x:v>4</x:v>
      </x:c>
      <x:c r="X48" s="26" t="n">
        <x:v>0</x:v>
      </x:c>
      <x:c r="Y48" s="26" t="n">
        <x:v>39</x:v>
      </x:c>
      <x:c r="Z48" s="26" t="n">
        <x:v>0</x:v>
      </x:c>
      <x:c r="AA48" s="26" t="n">
        <x:v>39</x:v>
      </x:c>
      <x:c r="AB48" s="38" t="n">
        <x:v>0</x:v>
      </x:c>
      <x:c r="AC48" s="26" t="str">
        <x:v>Committed / Not Delivered</x:v>
      </x:c>
      <x:c r="AD48" s="26" t="str">
        <x:v>Approval not recorded in response</x:v>
      </x:c>
      <x:c r="AE48" s="27" t="b">
        <x:v>1</x:v>
      </x:c>
      <x:c r="AF48" s="34" t="n">
        <x:v>46219.85072916667</x:v>
      </x:c>
      <x:c r="AG48" s="34"/>
      <x:c r="AH48" s="26" t="str">
        <x:v>Contribution API fields only; original project JSON needed for line-item names/centres/category</x:v>
      </x:c>
      <x:c r="AI48" s="26" t="str"/>
      <x:c r="AJ48" s="26" t="str">
        <x:v>Not Started</x:v>
      </x:c>
      <x:c r="AK48" s="26" t="str"/>
      <x:c r="AL48" s="26" t="str"/>
    </x:row>
    <x:row r="49">
      <x:c r="A49" s="26" t="n">
        <x:v>82</x:v>
      </x:c>
      <x:c r="B49" s="26" t="n">
        <x:v>211</x:v>
      </x:c>
      <x:c r="C49" s="26" t="str">
        <x:v>Medak</x:v>
      </x:c>
      <x:c r="D49" s="26" t="str">
        <x:v>Telangana</x:v>
      </x:c>
      <x:c r="E49" s="26" t="n">
        <x:v>114757</x:v>
      </x:c>
      <x:c r="F49" s="26" t="str">
        <x:v>PRJ-2026-0114757</x:v>
      </x:c>
      <x:c r="G49" s="26" t="str">
        <x:v>Upgradation of awc</x:v>
      </x:c>
      <x:c r="H49" s="26" t="str">
        <x:v>Mission Saksham Anganwadi &amp; POSHAN 2.0</x:v>
      </x:c>
      <x:c r="I49" s="32" t="n">
        <x:v>46198</x:v>
      </x:c>
      <x:c r="J49" s="32" t="n">
        <x:v>46380</x:v>
      </x:c>
      <x:c r="K49" s="32"/>
      <x:c r="L49" s="26" t="str">
        <x:v>Active: On/After 01-Aug-2026</x:v>
      </x:c>
      <x:c r="M49" s="26" t="str">
        <x:v>Pending Mapping</x:v>
      </x:c>
      <x:c r="N49" s="26" t="str">
        <x:v>Original project JSON not available</x:v>
      </x:c>
      <x:c r="O49" s="26"/>
      <x:c r="P49" s="26" t="str"/>
      <x:c r="Q49" s="26" t="str"/>
      <x:c r="R49" s="26"/>
      <x:c r="S49" s="36"/>
      <x:c r="T49" s="26"/>
      <x:c r="U49" s="26"/>
      <x:c r="V49" s="26"/>
      <x:c r="W49" s="26" t="n">
        <x:v>1</x:v>
      </x:c>
      <x:c r="X49" s="26" t="n">
        <x:v>0</x:v>
      </x:c>
      <x:c r="Y49" s="26" t="n">
        <x:v>5</x:v>
      </x:c>
      <x:c r="Z49" s="26" t="n">
        <x:v>0</x:v>
      </x:c>
      <x:c r="AA49" s="26" t="n">
        <x:v>5</x:v>
      </x:c>
      <x:c r="AB49" s="38" t="n">
        <x:v>0</x:v>
      </x:c>
      <x:c r="AC49" s="26" t="str">
        <x:v>Committed / Not Delivered</x:v>
      </x:c>
      <x:c r="AD49" s="26" t="str">
        <x:v>Approval not recorded in response</x:v>
      </x:c>
      <x:c r="AE49" s="27" t="b">
        <x:v>1</x:v>
      </x:c>
      <x:c r="AF49" s="34" t="n">
        <x:v>46219.85072916667</x:v>
      </x:c>
      <x:c r="AG49" s="34"/>
      <x:c r="AH49" s="26" t="str">
        <x:v>Contribution API fields only; original project JSON needed for line-item names/centres/category</x:v>
      </x:c>
      <x:c r="AI49" s="26" t="str"/>
      <x:c r="AJ49" s="26" t="str">
        <x:v>Not Started</x:v>
      </x:c>
      <x:c r="AK49" s="26" t="str"/>
      <x:c r="AL49" s="26" t="str"/>
    </x:row>
    <x:row r="50">
      <x:c r="A50" s="26" t="n">
        <x:v>83</x:v>
      </x:c>
      <x:c r="B50" s="26" t="n">
        <x:v>208</x:v>
      </x:c>
      <x:c r="C50" s="26" t="str">
        <x:v>Medak</x:v>
      </x:c>
      <x:c r="D50" s="26" t="str">
        <x:v>Telangana</x:v>
      </x:c>
      <x:c r="E50" s="26" t="n">
        <x:v>114799</x:v>
      </x:c>
      <x:c r="F50" s="26" t="str">
        <x:v>PRJ-2026-0114799</x:v>
      </x:c>
      <x:c r="G50" s="26" t="str">
        <x:v>Upgradation of awc</x:v>
      </x:c>
      <x:c r="H50" s="26" t="str">
        <x:v>Mission Saksham Anganwadi &amp; POSHAN 2.0</x:v>
      </x:c>
      <x:c r="I50" s="32" t="n">
        <x:v>46198</x:v>
      </x:c>
      <x:c r="J50" s="32" t="n">
        <x:v>46385</x:v>
      </x:c>
      <x:c r="K50" s="32"/>
      <x:c r="L50" s="26" t="str">
        <x:v>Active: On/After 01-Aug-2026</x:v>
      </x:c>
      <x:c r="M50" s="26" t="str">
        <x:v>Pending Mapping</x:v>
      </x:c>
      <x:c r="N50" s="26" t="str">
        <x:v>Original project JSON not available</x:v>
      </x:c>
      <x:c r="O50" s="26"/>
      <x:c r="P50" s="26" t="str"/>
      <x:c r="Q50" s="26" t="str"/>
      <x:c r="R50" s="26"/>
      <x:c r="S50" s="36"/>
      <x:c r="T50" s="26"/>
      <x:c r="U50" s="26"/>
      <x:c r="V50" s="26"/>
      <x:c r="W50" s="26" t="n">
        <x:v>1</x:v>
      </x:c>
      <x:c r="X50" s="26" t="n">
        <x:v>0</x:v>
      </x:c>
      <x:c r="Y50" s="26" t="n">
        <x:v>7</x:v>
      </x:c>
      <x:c r="Z50" s="26" t="n">
        <x:v>0</x:v>
      </x:c>
      <x:c r="AA50" s="26" t="n">
        <x:v>7</x:v>
      </x:c>
      <x:c r="AB50" s="38" t="n">
        <x:v>0</x:v>
      </x:c>
      <x:c r="AC50" s="26" t="str">
        <x:v>Committed / Not Delivered</x:v>
      </x:c>
      <x:c r="AD50" s="26" t="str">
        <x:v>Approval not recorded in response</x:v>
      </x:c>
      <x:c r="AE50" s="27" t="b">
        <x:v>1</x:v>
      </x:c>
      <x:c r="AF50" s="34" t="n">
        <x:v>46219.85071759259</x:v>
      </x:c>
      <x:c r="AG50" s="34"/>
      <x:c r="AH50" s="26" t="str">
        <x:v>Contribution API fields only; original project JSON needed for line-item names/centres/category</x:v>
      </x:c>
      <x:c r="AI50" s="26" t="str"/>
      <x:c r="AJ50" s="26" t="str">
        <x:v>Not Started</x:v>
      </x:c>
      <x:c r="AK50" s="26" t="str"/>
      <x:c r="AL50" s="26" t="str"/>
    </x:row>
    <x:row r="51">
      <x:c r="A51" s="26" t="n">
        <x:v>84</x:v>
      </x:c>
      <x:c r="B51" s="26" t="n">
        <x:v>209</x:v>
      </x:c>
      <x:c r="C51" s="26" t="str">
        <x:v>Medak</x:v>
      </x:c>
      <x:c r="D51" s="26" t="str">
        <x:v>Telangana</x:v>
      </x:c>
      <x:c r="E51" s="26" t="n">
        <x:v>114776</x:v>
      </x:c>
      <x:c r="F51" s="26" t="str">
        <x:v>PRJ-2026-0114776</x:v>
      </x:c>
      <x:c r="G51" s="26" t="str">
        <x:v>Upgradation of awc</x:v>
      </x:c>
      <x:c r="H51" s="26" t="str">
        <x:v>Mission Saksham Anganwadi &amp; POSHAN 2.0</x:v>
      </x:c>
      <x:c r="I51" s="32" t="n">
        <x:v>46198</x:v>
      </x:c>
      <x:c r="J51" s="32" t="n">
        <x:v>46381</x:v>
      </x:c>
      <x:c r="K51" s="32"/>
      <x:c r="L51" s="26" t="str">
        <x:v>Active: On/After 01-Aug-2026</x:v>
      </x:c>
      <x:c r="M51" s="26" t="str">
        <x:v>Pending Mapping</x:v>
      </x:c>
      <x:c r="N51" s="26" t="str">
        <x:v>Original project JSON not available</x:v>
      </x:c>
      <x:c r="O51" s="26"/>
      <x:c r="P51" s="26" t="str"/>
      <x:c r="Q51" s="26" t="str"/>
      <x:c r="R51" s="26"/>
      <x:c r="S51" s="36"/>
      <x:c r="T51" s="26"/>
      <x:c r="U51" s="26"/>
      <x:c r="V51" s="26"/>
      <x:c r="W51" s="26" t="n">
        <x:v>1</x:v>
      </x:c>
      <x:c r="X51" s="26" t="n">
        <x:v>0</x:v>
      </x:c>
      <x:c r="Y51" s="26" t="n">
        <x:v>5</x:v>
      </x:c>
      <x:c r="Z51" s="26" t="n">
        <x:v>0</x:v>
      </x:c>
      <x:c r="AA51" s="26" t="n">
        <x:v>5</x:v>
      </x:c>
      <x:c r="AB51" s="38" t="n">
        <x:v>0</x:v>
      </x:c>
      <x:c r="AC51" s="26" t="str">
        <x:v>Committed / Not Delivered</x:v>
      </x:c>
      <x:c r="AD51" s="26" t="str">
        <x:v>Approval not recorded in response</x:v>
      </x:c>
      <x:c r="AE51" s="27" t="b">
        <x:v>1</x:v>
      </x:c>
      <x:c r="AF51" s="34" t="n">
        <x:v>46219.85071759259</x:v>
      </x:c>
      <x:c r="AG51" s="34"/>
      <x:c r="AH51" s="26" t="str">
        <x:v>Contribution API fields only; original project JSON needed for line-item names/centres/category</x:v>
      </x:c>
      <x:c r="AI51" s="26" t="str"/>
      <x:c r="AJ51" s="26" t="str">
        <x:v>Not Started</x:v>
      </x:c>
      <x:c r="AK51" s="26" t="str"/>
      <x:c r="AL51" s="26" t="str"/>
    </x:row>
    <x:row r="52">
      <x:c r="A52" s="26" t="n">
        <x:v>85</x:v>
      </x:c>
      <x:c r="B52" s="26" t="n">
        <x:v>207</x:v>
      </x:c>
      <x:c r="C52" s="26" t="str">
        <x:v>Medak</x:v>
      </x:c>
      <x:c r="D52" s="26" t="str">
        <x:v>Telangana</x:v>
      </x:c>
      <x:c r="E52" s="26" t="n">
        <x:v>114815</x:v>
      </x:c>
      <x:c r="F52" s="26" t="str">
        <x:v>PRJ-2026-0114815</x:v>
      </x:c>
      <x:c r="G52" s="26" t="str">
        <x:v>Upgradation of awc</x:v>
      </x:c>
      <x:c r="H52" s="26" t="str">
        <x:v>Mission Saksham Anganwadi &amp; POSHAN 2.0</x:v>
      </x:c>
      <x:c r="I52" s="32" t="n">
        <x:v>46198</x:v>
      </x:c>
      <x:c r="J52" s="32" t="n">
        <x:v>46381</x:v>
      </x:c>
      <x:c r="K52" s="32"/>
      <x:c r="L52" s="26" t="str">
        <x:v>Active: On/After 01-Aug-2026</x:v>
      </x:c>
      <x:c r="M52" s="26" t="str">
        <x:v>Pending Mapping</x:v>
      </x:c>
      <x:c r="N52" s="26" t="str">
        <x:v>Original project JSON not available</x:v>
      </x:c>
      <x:c r="O52" s="26"/>
      <x:c r="P52" s="26" t="str"/>
      <x:c r="Q52" s="26" t="str"/>
      <x:c r="R52" s="26"/>
      <x:c r="S52" s="36"/>
      <x:c r="T52" s="26"/>
      <x:c r="U52" s="26"/>
      <x:c r="V52" s="26"/>
      <x:c r="W52" s="26" t="n">
        <x:v>1</x:v>
      </x:c>
      <x:c r="X52" s="26" t="n">
        <x:v>0</x:v>
      </x:c>
      <x:c r="Y52" s="26" t="n">
        <x:v>4</x:v>
      </x:c>
      <x:c r="Z52" s="26" t="n">
        <x:v>0</x:v>
      </x:c>
      <x:c r="AA52" s="26" t="n">
        <x:v>4</x:v>
      </x:c>
      <x:c r="AB52" s="38" t="n">
        <x:v>0</x:v>
      </x:c>
      <x:c r="AC52" s="26" t="str">
        <x:v>Committed / Not Delivered</x:v>
      </x:c>
      <x:c r="AD52" s="26" t="str">
        <x:v>Approval not recorded in response</x:v>
      </x:c>
      <x:c r="AE52" s="27" t="b">
        <x:v>1</x:v>
      </x:c>
      <x:c r="AF52" s="34" t="n">
        <x:v>46219.85070601852</x:v>
      </x:c>
      <x:c r="AG52" s="34"/>
      <x:c r="AH52" s="26" t="str">
        <x:v>Contribution API fields only; original project JSON needed for line-item names/centres/category</x:v>
      </x:c>
      <x:c r="AI52" s="26" t="str"/>
      <x:c r="AJ52" s="26" t="str">
        <x:v>Not Started</x:v>
      </x:c>
      <x:c r="AK52" s="26" t="str"/>
      <x:c r="AL52" s="26" t="str"/>
    </x:row>
    <x:row r="53">
      <x:c r="A53" s="26" t="n">
        <x:v>86</x:v>
      </x:c>
      <x:c r="B53" s="26" t="n">
        <x:v>205</x:v>
      </x:c>
      <x:c r="C53" s="26" t="str">
        <x:v>Medak</x:v>
      </x:c>
      <x:c r="D53" s="26" t="str">
        <x:v>Telangana</x:v>
      </x:c>
      <x:c r="E53" s="26" t="n">
        <x:v>123931</x:v>
      </x:c>
      <x:c r="F53" s="26" t="str">
        <x:v>PRJ-2026-0123931</x:v>
      </x:c>
      <x:c r="G53" s="26" t="str">
        <x:v>Upgradation of awc</x:v>
      </x:c>
      <x:c r="H53" s="26" t="str">
        <x:v>Mission Saksham Anganwadi &amp; POSHAN 2.0</x:v>
      </x:c>
      <x:c r="I53" s="32" t="n">
        <x:v>46202</x:v>
      </x:c>
      <x:c r="J53" s="32" t="n">
        <x:v>46386</x:v>
      </x:c>
      <x:c r="K53" s="32"/>
      <x:c r="L53" s="26" t="str">
        <x:v>Active: On/After 01-Aug-2026</x:v>
      </x:c>
      <x:c r="M53" s="26" t="str">
        <x:v>Pending Mapping</x:v>
      </x:c>
      <x:c r="N53" s="26" t="str">
        <x:v>Original project JSON not available</x:v>
      </x:c>
      <x:c r="O53" s="26"/>
      <x:c r="P53" s="26" t="str"/>
      <x:c r="Q53" s="26" t="str"/>
      <x:c r="R53" s="26"/>
      <x:c r="S53" s="36"/>
      <x:c r="T53" s="26"/>
      <x:c r="U53" s="26"/>
      <x:c r="V53" s="26"/>
      <x:c r="W53" s="26" t="n">
        <x:v>1</x:v>
      </x:c>
      <x:c r="X53" s="26" t="n">
        <x:v>0</x:v>
      </x:c>
      <x:c r="Y53" s="26" t="n">
        <x:v>5</x:v>
      </x:c>
      <x:c r="Z53" s="26" t="n">
        <x:v>0</x:v>
      </x:c>
      <x:c r="AA53" s="26" t="n">
        <x:v>5</x:v>
      </x:c>
      <x:c r="AB53" s="38" t="n">
        <x:v>0</x:v>
      </x:c>
      <x:c r="AC53" s="26" t="str">
        <x:v>Committed / Not Delivered</x:v>
      </x:c>
      <x:c r="AD53" s="26" t="str">
        <x:v>Approval not recorded in response</x:v>
      </x:c>
      <x:c r="AE53" s="27" t="b">
        <x:v>1</x:v>
      </x:c>
      <x:c r="AF53" s="34" t="n">
        <x:v>46219.850694444445</x:v>
      </x:c>
      <x:c r="AG53" s="34"/>
      <x:c r="AH53" s="26" t="str">
        <x:v>Contribution API fields only; original project JSON needed for line-item names/centres/category</x:v>
      </x:c>
      <x:c r="AI53" s="26" t="str"/>
      <x:c r="AJ53" s="26" t="str">
        <x:v>Not Started</x:v>
      </x:c>
      <x:c r="AK53" s="26" t="str"/>
      <x:c r="AL53" s="26" t="str"/>
    </x:row>
    <x:row r="54">
      <x:c r="A54" s="26" t="n">
        <x:v>87</x:v>
      </x:c>
      <x:c r="B54" s="26" t="n">
        <x:v>206</x:v>
      </x:c>
      <x:c r="C54" s="26" t="str">
        <x:v>Medak</x:v>
      </x:c>
      <x:c r="D54" s="26" t="str">
        <x:v>Telangana</x:v>
      </x:c>
      <x:c r="E54" s="26" t="n">
        <x:v>114833</x:v>
      </x:c>
      <x:c r="F54" s="26" t="str">
        <x:v>PRJ-2026-0114833</x:v>
      </x:c>
      <x:c r="G54" s="26" t="str">
        <x:v>Upgradation of awc</x:v>
      </x:c>
      <x:c r="H54" s="26" t="str">
        <x:v>Mission Saksham Anganwadi &amp; POSHAN 2.0</x:v>
      </x:c>
      <x:c r="I54" s="32" t="n">
        <x:v>46198</x:v>
      </x:c>
      <x:c r="J54" s="32" t="n">
        <x:v>46380</x:v>
      </x:c>
      <x:c r="K54" s="32"/>
      <x:c r="L54" s="26" t="str">
        <x:v>Active: On/After 01-Aug-2026</x:v>
      </x:c>
      <x:c r="M54" s="26" t="str">
        <x:v>Pending Mapping</x:v>
      </x:c>
      <x:c r="N54" s="26" t="str">
        <x:v>Original project JSON not available</x:v>
      </x:c>
      <x:c r="O54" s="26"/>
      <x:c r="P54" s="26" t="str"/>
      <x:c r="Q54" s="26" t="str"/>
      <x:c r="R54" s="26"/>
      <x:c r="S54" s="36"/>
      <x:c r="T54" s="26"/>
      <x:c r="U54" s="26"/>
      <x:c r="V54" s="26"/>
      <x:c r="W54" s="26" t="n">
        <x:v>1</x:v>
      </x:c>
      <x:c r="X54" s="26" t="n">
        <x:v>0</x:v>
      </x:c>
      <x:c r="Y54" s="26" t="n">
        <x:v>5</x:v>
      </x:c>
      <x:c r="Z54" s="26" t="n">
        <x:v>0</x:v>
      </x:c>
      <x:c r="AA54" s="26" t="n">
        <x:v>5</x:v>
      </x:c>
      <x:c r="AB54" s="38" t="n">
        <x:v>0</x:v>
      </x:c>
      <x:c r="AC54" s="26" t="str">
        <x:v>Committed / Not Delivered</x:v>
      </x:c>
      <x:c r="AD54" s="26" t="str">
        <x:v>Approval not recorded in response</x:v>
      </x:c>
      <x:c r="AE54" s="27" t="b">
        <x:v>1</x:v>
      </x:c>
      <x:c r="AF54" s="34" t="n">
        <x:v>46219.850694444445</x:v>
      </x:c>
      <x:c r="AG54" s="34"/>
      <x:c r="AH54" s="26" t="str">
        <x:v>Contribution API fields only; original project JSON needed for line-item names/centres/category</x:v>
      </x:c>
      <x:c r="AI54" s="26" t="str"/>
      <x:c r="AJ54" s="26" t="str">
        <x:v>Not Started</x:v>
      </x:c>
      <x:c r="AK54" s="26" t="str"/>
      <x:c r="AL54" s="26" t="str"/>
    </x:row>
    <x:row r="55">
      <x:c r="A55" s="26" t="n">
        <x:v>88</x:v>
      </x:c>
      <x:c r="B55" s="26" t="n">
        <x:v>204</x:v>
      </x:c>
      <x:c r="C55" s="26" t="str">
        <x:v>Medak</x:v>
      </x:c>
      <x:c r="D55" s="26" t="str">
        <x:v>Telangana</x:v>
      </x:c>
      <x:c r="E55" s="26" t="n">
        <x:v>123955</x:v>
      </x:c>
      <x:c r="F55" s="26" t="str">
        <x:v>PRJ-2026-0123955</x:v>
      </x:c>
      <x:c r="G55" s="26" t="str">
        <x:v>Upgradation of awc</x:v>
      </x:c>
      <x:c r="H55" s="26" t="str">
        <x:v>Mission Saksham Anganwadi &amp; POSHAN 2.0</x:v>
      </x:c>
      <x:c r="I55" s="32" t="n">
        <x:v>46202</x:v>
      </x:c>
      <x:c r="J55" s="32" t="n">
        <x:v>46385</x:v>
      </x:c>
      <x:c r="K55" s="32"/>
      <x:c r="L55" s="26" t="str">
        <x:v>Active: On/After 01-Aug-2026</x:v>
      </x:c>
      <x:c r="M55" s="26" t="str">
        <x:v>Pending Mapping</x:v>
      </x:c>
      <x:c r="N55" s="26" t="str">
        <x:v>Original project JSON not available</x:v>
      </x:c>
      <x:c r="O55" s="26"/>
      <x:c r="P55" s="26" t="str"/>
      <x:c r="Q55" s="26" t="str"/>
      <x:c r="R55" s="26"/>
      <x:c r="S55" s="36"/>
      <x:c r="T55" s="26"/>
      <x:c r="U55" s="26"/>
      <x:c r="V55" s="26"/>
      <x:c r="W55" s="26" t="n">
        <x:v>1</x:v>
      </x:c>
      <x:c r="X55" s="26" t="n">
        <x:v>0</x:v>
      </x:c>
      <x:c r="Y55" s="26" t="n">
        <x:v>6</x:v>
      </x:c>
      <x:c r="Z55" s="26" t="n">
        <x:v>0</x:v>
      </x:c>
      <x:c r="AA55" s="26" t="n">
        <x:v>6</x:v>
      </x:c>
      <x:c r="AB55" s="38" t="n">
        <x:v>0</x:v>
      </x:c>
      <x:c r="AC55" s="26" t="str">
        <x:v>Committed / Not Delivered</x:v>
      </x:c>
      <x:c r="AD55" s="26" t="str">
        <x:v>Approval not recorded in response</x:v>
      </x:c>
      <x:c r="AE55" s="27" t="b">
        <x:v>1</x:v>
      </x:c>
      <x:c r="AF55" s="34" t="n">
        <x:v>46219.85068287037</x:v>
      </x:c>
      <x:c r="AG55" s="34"/>
      <x:c r="AH55" s="26" t="str">
        <x:v>Contribution API fields only; original project JSON needed for line-item names/centres/category</x:v>
      </x:c>
      <x:c r="AI55" s="26" t="str"/>
      <x:c r="AJ55" s="26" t="str">
        <x:v>Not Started</x:v>
      </x:c>
      <x:c r="AK55" s="26" t="str"/>
      <x:c r="AL55" s="26" t="str"/>
    </x:row>
    <x:row r="56">
      <x:c r="A56" s="26" t="n">
        <x:v>103</x:v>
      </x:c>
      <x:c r="B56" s="26" t="n">
        <x:v>189</x:v>
      </x:c>
      <x:c r="C56" s="26" t="str">
        <x:v>Kumuram Bheem Asifabad</x:v>
      </x:c>
      <x:c r="D56" s="26" t="str">
        <x:v>Telangana</x:v>
      </x:c>
      <x:c r="E56" s="26" t="n">
        <x:v>11243</x:v>
      </x:c>
      <x:c r="F56" s="26" t="str">
        <x:v>PRJ-2026-0011243</x:v>
      </x:c>
      <x:c r="G56" s="26" t="str">
        <x:v>Water filter, solar pyanal </x:v>
      </x:c>
      <x:c r="H56" s="26" t="str">
        <x:v>Mission Saksham Anganwadi &amp; POSHAN 2.0</x:v>
      </x:c>
      <x:c r="I56" s="32" t="n">
        <x:v>46164</x:v>
      </x:c>
      <x:c r="J56" s="32" t="n">
        <x:v>46265</x:v>
      </x:c>
      <x:c r="K56" s="32"/>
      <x:c r="L56" s="26" t="str">
        <x:v>Active: On/After 01-Aug-2026</x:v>
      </x:c>
      <x:c r="M56" s="26" t="str">
        <x:v>Pending Mapping</x:v>
      </x:c>
      <x:c r="N56" s="26" t="str">
        <x:v>Original project JSON not available</x:v>
      </x:c>
      <x:c r="O56" s="26"/>
      <x:c r="P56" s="26" t="str"/>
      <x:c r="Q56" s="26" t="str"/>
      <x:c r="R56" s="26"/>
      <x:c r="S56" s="36"/>
      <x:c r="T56" s="26"/>
      <x:c r="U56" s="26"/>
      <x:c r="V56" s="26"/>
      <x:c r="W56" s="26" t="n">
        <x:v>6</x:v>
      </x:c>
      <x:c r="X56" s="26" t="n">
        <x:v>0</x:v>
      </x:c>
      <x:c r="Y56" s="26" t="n">
        <x:v>9</x:v>
      </x:c>
      <x:c r="Z56" s="26" t="n">
        <x:v>0</x:v>
      </x:c>
      <x:c r="AA56" s="26" t="n">
        <x:v>9</x:v>
      </x:c>
      <x:c r="AB56" s="38" t="n">
        <x:v>0</x:v>
      </x:c>
      <x:c r="AC56" s="26" t="str">
        <x:v>Committed / Not Delivered</x:v>
      </x:c>
      <x:c r="AD56" s="26" t="str">
        <x:v>Approval not recorded in response</x:v>
      </x:c>
      <x:c r="AE56" s="27" t="b">
        <x:v>1</x:v>
      </x:c>
      <x:c r="AF56" s="34" t="n">
        <x:v>46219.71761574074</x:v>
      </x:c>
      <x:c r="AG56" s="34"/>
      <x:c r="AH56" s="26" t="str">
        <x:v>Contribution API fields only; original project JSON needed for line-item names/centres/category</x:v>
      </x:c>
      <x:c r="AI56" s="26" t="str"/>
      <x:c r="AJ56" s="26" t="str">
        <x:v>Not Started</x:v>
      </x:c>
      <x:c r="AK56" s="26" t="str"/>
      <x:c r="AL56" s="26" t="str"/>
    </x:row>
    <x:row r="57">
      <x:c r="A57" s="26" t="n">
        <x:v>104</x:v>
      </x:c>
      <x:c r="B57" s="26" t="n">
        <x:v>173</x:v>
      </x:c>
      <x:c r="C57" s="26" t="str">
        <x:v>Kumuram Bheem Asifabad</x:v>
      </x:c>
      <x:c r="D57" s="26" t="str">
        <x:v>Telangana</x:v>
      </x:c>
      <x:c r="E57" s="26" t="n">
        <x:v>7329</x:v>
      </x:c>
      <x:c r="F57" s="26" t="str">
        <x:v>PRJ-2026-0007329</x:v>
      </x:c>
      <x:c r="G57" s="26" t="str">
        <x:v>Water filter</x:v>
      </x:c>
      <x:c r="H57" s="26" t="str">
        <x:v>Mission Saksham Anganwadi &amp; POSHAN 2.0</x:v>
      </x:c>
      <x:c r="I57" s="32" t="n">
        <x:v>46164</x:v>
      </x:c>
      <x:c r="J57" s="32" t="n">
        <x:v>46265</x:v>
      </x:c>
      <x:c r="K57" s="32"/>
      <x:c r="L57" s="26" t="str">
        <x:v>Active: On/After 01-Aug-2026</x:v>
      </x:c>
      <x:c r="M57" s="26" t="str">
        <x:v>Pending Mapping</x:v>
      </x:c>
      <x:c r="N57" s="26" t="str">
        <x:v>Original project JSON not available</x:v>
      </x:c>
      <x:c r="O57" s="26"/>
      <x:c r="P57" s="26" t="str"/>
      <x:c r="Q57" s="26" t="str"/>
      <x:c r="R57" s="26"/>
      <x:c r="S57" s="36"/>
      <x:c r="T57" s="26"/>
      <x:c r="U57" s="26"/>
      <x:c r="V57" s="26"/>
      <x:c r="W57" s="26" t="n">
        <x:v>1</x:v>
      </x:c>
      <x:c r="X57" s="26" t="n">
        <x:v>0</x:v>
      </x:c>
      <x:c r="Y57" s="26" t="n">
        <x:v>1</x:v>
      </x:c>
      <x:c r="Z57" s="26" t="n">
        <x:v>0</x:v>
      </x:c>
      <x:c r="AA57" s="26" t="n">
        <x:v>1</x:v>
      </x:c>
      <x:c r="AB57" s="38" t="n">
        <x:v>0</x:v>
      </x:c>
      <x:c r="AC57" s="26" t="str">
        <x:v>Committed / Not Delivered</x:v>
      </x:c>
      <x:c r="AD57" s="26" t="str">
        <x:v>Approval not recorded in response</x:v>
      </x:c>
      <x:c r="AE57" s="27" t="b">
        <x:v>1</x:v>
      </x:c>
      <x:c r="AF57" s="34" t="n">
        <x:v>46219.438935185186</x:v>
      </x:c>
      <x:c r="AG57" s="34"/>
      <x:c r="AH57" s="26" t="str">
        <x:v>Contribution API fields only; original project JSON needed for line-item names/centres/category</x:v>
      </x:c>
      <x:c r="AI57" s="26" t="str"/>
      <x:c r="AJ57" s="26" t="str">
        <x:v>Not Started</x:v>
      </x:c>
      <x:c r="AK57" s="26" t="str"/>
      <x:c r="AL57" s="26" t="str"/>
    </x:row>
    <x:row r="58">
      <x:c r="A58" s="26" t="n">
        <x:v>105</x:v>
      </x:c>
      <x:c r="B58" s="26" t="n">
        <x:v>184</x:v>
      </x:c>
      <x:c r="C58" s="26" t="str">
        <x:v>Kumuram Bheem Asifabad</x:v>
      </x:c>
      <x:c r="D58" s="26" t="str">
        <x:v>Telangana</x:v>
      </x:c>
      <x:c r="E58" s="26" t="n">
        <x:v>10044</x:v>
      </x:c>
      <x:c r="F58" s="26" t="str">
        <x:v>PRJ-2026-0010044</x:v>
      </x:c>
      <x:c r="G58" s="26" t="str">
        <x:v>Water filter </x:v>
      </x:c>
      <x:c r="H58" s="26" t="str">
        <x:v>Mission Saksham Anganwadi &amp; POSHAN 2.0</x:v>
      </x:c>
      <x:c r="I58" s="32" t="n">
        <x:v>46164</x:v>
      </x:c>
      <x:c r="J58" s="32" t="n">
        <x:v>46265</x:v>
      </x:c>
      <x:c r="K58" s="32"/>
      <x:c r="L58" s="26" t="str">
        <x:v>Active: On/After 01-Aug-2026</x:v>
      </x:c>
      <x:c r="M58" s="26" t="str">
        <x:v>Pending Mapping</x:v>
      </x:c>
      <x:c r="N58" s="26" t="str">
        <x:v>Original project JSON not available</x:v>
      </x:c>
      <x:c r="O58" s="26"/>
      <x:c r="P58" s="26" t="str"/>
      <x:c r="Q58" s="26" t="str"/>
      <x:c r="R58" s="26"/>
      <x:c r="S58" s="36"/>
      <x:c r="T58" s="26"/>
      <x:c r="U58" s="26"/>
      <x:c r="V58" s="26"/>
      <x:c r="W58" s="26" t="n">
        <x:v>1</x:v>
      </x:c>
      <x:c r="X58" s="26" t="n">
        <x:v>0</x:v>
      </x:c>
      <x:c r="Y58" s="26" t="n">
        <x:v>1</x:v>
      </x:c>
      <x:c r="Z58" s="26" t="n">
        <x:v>0</x:v>
      </x:c>
      <x:c r="AA58" s="26" t="n">
        <x:v>1</x:v>
      </x:c>
      <x:c r="AB58" s="38" t="n">
        <x:v>0</x:v>
      </x:c>
      <x:c r="AC58" s="26" t="str">
        <x:v>Committed / Not Delivered</x:v>
      </x:c>
      <x:c r="AD58" s="26" t="str">
        <x:v>Approval not recorded in response</x:v>
      </x:c>
      <x:c r="AE58" s="27" t="b">
        <x:v>1</x:v>
      </x:c>
      <x:c r="AF58" s="34" t="n">
        <x:v>46219.438935185186</x:v>
      </x:c>
      <x:c r="AG58" s="34"/>
      <x:c r="AH58" s="26" t="str">
        <x:v>Contribution API fields only; original project JSON needed for line-item names/centres/category</x:v>
      </x:c>
      <x:c r="AI58" s="26" t="str"/>
      <x:c r="AJ58" s="26" t="str">
        <x:v>Not Started</x:v>
      </x:c>
      <x:c r="AK58" s="26" t="str"/>
      <x:c r="AL58" s="26" t="str"/>
    </x:row>
    <x:row r="59">
      <x:c r="A59" s="26" t="n">
        <x:v>106</x:v>
      </x:c>
      <x:c r="B59" s="26" t="n">
        <x:v>185</x:v>
      </x:c>
      <x:c r="C59" s="26" t="str">
        <x:v>Kumuram Bheem Asifabad</x:v>
      </x:c>
      <x:c r="D59" s="26" t="str">
        <x:v>Telangana</x:v>
      </x:c>
      <x:c r="E59" s="26" t="n">
        <x:v>10183</x:v>
      </x:c>
      <x:c r="F59" s="26" t="str">
        <x:v>PRJ-2026-0010183</x:v>
      </x:c>
      <x:c r="G59" s="26" t="str">
        <x:v>Water filter </x:v>
      </x:c>
      <x:c r="H59" s="26" t="str">
        <x:v>Mission Saksham Anganwadi &amp; POSHAN 2.0</x:v>
      </x:c>
      <x:c r="I59" s="32" t="n">
        <x:v>46165</x:v>
      </x:c>
      <x:c r="J59" s="32" t="n">
        <x:v>46265</x:v>
      </x:c>
      <x:c r="K59" s="32"/>
      <x:c r="L59" s="26" t="str">
        <x:v>Active: On/After 01-Aug-2026</x:v>
      </x:c>
      <x:c r="M59" s="26" t="str">
        <x:v>Pending Mapping</x:v>
      </x:c>
      <x:c r="N59" s="26" t="str">
        <x:v>Original project JSON not available</x:v>
      </x:c>
      <x:c r="O59" s="26"/>
      <x:c r="P59" s="26" t="str"/>
      <x:c r="Q59" s="26" t="str"/>
      <x:c r="R59" s="26"/>
      <x:c r="S59" s="36"/>
      <x:c r="T59" s="26"/>
      <x:c r="U59" s="26"/>
      <x:c r="V59" s="26"/>
      <x:c r="W59" s="26" t="n">
        <x:v>1</x:v>
      </x:c>
      <x:c r="X59" s="26" t="n">
        <x:v>0</x:v>
      </x:c>
      <x:c r="Y59" s="26" t="n">
        <x:v>1</x:v>
      </x:c>
      <x:c r="Z59" s="26" t="n">
        <x:v>0</x:v>
      </x:c>
      <x:c r="AA59" s="26" t="n">
        <x:v>1</x:v>
      </x:c>
      <x:c r="AB59" s="38" t="n">
        <x:v>0</x:v>
      </x:c>
      <x:c r="AC59" s="26" t="str">
        <x:v>Committed / Not Delivered</x:v>
      </x:c>
      <x:c r="AD59" s="26" t="str">
        <x:v>Approval not recorded in response</x:v>
      </x:c>
      <x:c r="AE59" s="27" t="b">
        <x:v>1</x:v>
      </x:c>
      <x:c r="AF59" s="34" t="n">
        <x:v>46219.43892361111</x:v>
      </x:c>
      <x:c r="AG59" s="34"/>
      <x:c r="AH59" s="26" t="str">
        <x:v>Contribution API fields only; original project JSON needed for line-item names/centres/category</x:v>
      </x:c>
      <x:c r="AI59" s="26" t="str"/>
      <x:c r="AJ59" s="26" t="str">
        <x:v>Not Started</x:v>
      </x:c>
      <x:c r="AK59" s="26" t="str"/>
      <x:c r="AL59" s="26" t="str"/>
    </x:row>
    <x:row r="60">
      <x:c r="A60" s="26" t="n">
        <x:v>107</x:v>
      </x:c>
      <x:c r="B60" s="26" t="n">
        <x:v>186</x:v>
      </x:c>
      <x:c r="C60" s="26" t="str">
        <x:v>Kumuram Bheem Asifabad</x:v>
      </x:c>
      <x:c r="D60" s="26" t="str">
        <x:v>Telangana</x:v>
      </x:c>
      <x:c r="E60" s="26" t="n">
        <x:v>10282</x:v>
      </x:c>
      <x:c r="F60" s="26" t="str">
        <x:v>PRJ-2026-0010282</x:v>
      </x:c>
      <x:c r="G60" s="26" t="str">
        <x:v>Water filter, gas stove, ECCE metirial </x:v>
      </x:c>
      <x:c r="H60" s="26" t="str">
        <x:v>Mission Saksham Anganwadi &amp; POSHAN 2.0</x:v>
      </x:c>
      <x:c r="I60" s="32" t="n">
        <x:v>46164</x:v>
      </x:c>
      <x:c r="J60" s="32" t="n">
        <x:v>46265</x:v>
      </x:c>
      <x:c r="K60" s="32"/>
      <x:c r="L60" s="26" t="str">
        <x:v>Active: On/After 01-Aug-2026</x:v>
      </x:c>
      <x:c r="M60" s="26" t="str">
        <x:v>Pending Mapping</x:v>
      </x:c>
      <x:c r="N60" s="26" t="str">
        <x:v>Original project JSON not available</x:v>
      </x:c>
      <x:c r="O60" s="26"/>
      <x:c r="P60" s="26" t="str"/>
      <x:c r="Q60" s="26" t="str"/>
      <x:c r="R60" s="26"/>
      <x:c r="S60" s="36"/>
      <x:c r="T60" s="26"/>
      <x:c r="U60" s="26"/>
      <x:c r="V60" s="26"/>
      <x:c r="W60" s="26" t="n">
        <x:v>2</x:v>
      </x:c>
      <x:c r="X60" s="26" t="n">
        <x:v>0</x:v>
      </x:c>
      <x:c r="Y60" s="26" t="n">
        <x:v>2</x:v>
      </x:c>
      <x:c r="Z60" s="26" t="n">
        <x:v>0</x:v>
      </x:c>
      <x:c r="AA60" s="26" t="n">
        <x:v>2</x:v>
      </x:c>
      <x:c r="AB60" s="38" t="n">
        <x:v>0</x:v>
      </x:c>
      <x:c r="AC60" s="26" t="str">
        <x:v>Committed / Not Delivered</x:v>
      </x:c>
      <x:c r="AD60" s="26" t="str">
        <x:v>Approval not recorded in response</x:v>
      </x:c>
      <x:c r="AE60" s="27" t="b">
        <x:v>1</x:v>
      </x:c>
      <x:c r="AF60" s="34" t="n">
        <x:v>46219.43891203704</x:v>
      </x:c>
      <x:c r="AG60" s="34"/>
      <x:c r="AH60" s="26" t="str">
        <x:v>Contribution API fields only; original project JSON needed for line-item names/centres/category</x:v>
      </x:c>
      <x:c r="AI60" s="26" t="str"/>
      <x:c r="AJ60" s="26" t="str">
        <x:v>Not Started</x:v>
      </x:c>
      <x:c r="AK60" s="26" t="str"/>
      <x:c r="AL60" s="26" t="str"/>
    </x:row>
    <x:row r="61">
      <x:c r="A61" s="26" t="n">
        <x:v>108</x:v>
      </x:c>
      <x:c r="B61" s="26" t="n">
        <x:v>131</x:v>
      </x:c>
      <x:c r="C61" s="26" t="str">
        <x:v>Kumuram Bheem Asifabad</x:v>
      </x:c>
      <x:c r="D61" s="26" t="str">
        <x:v>Telangana</x:v>
      </x:c>
      <x:c r="E61" s="26" t="n">
        <x:v>10279</x:v>
      </x:c>
      <x:c r="F61" s="26" t="str">
        <x:v>PRJ-2026-0010279</x:v>
      </x:c>
      <x:c r="G61" s="26" t="str">
        <x:v>Rain Water Harvesting System : Water Filter Kitchen Construction : Poshan Vatika  kitchen Shelves : Gas stove, regulator : Solar Panel : Civil Repair : Toilet</x:v>
      </x:c>
      <x:c r="H61" s="26" t="str">
        <x:v>Mission Saksham Anganwadi &amp; POSHAN 2.0</x:v>
      </x:c>
      <x:c r="I61" s="32" t="n">
        <x:v>46164</x:v>
      </x:c>
      <x:c r="J61" s="32" t="n">
        <x:v>46255</x:v>
      </x:c>
      <x:c r="K61" s="32"/>
      <x:c r="L61" s="26" t="str">
        <x:v>Active: On/After 01-Aug-2026</x:v>
      </x:c>
      <x:c r="M61" s="26" t="str">
        <x:v>Pending Mapping</x:v>
      </x:c>
      <x:c r="N61" s="26" t="str">
        <x:v>Original project JSON not available</x:v>
      </x:c>
      <x:c r="O61" s="26"/>
      <x:c r="P61" s="26" t="str"/>
      <x:c r="Q61" s="26" t="str"/>
      <x:c r="R61" s="26"/>
      <x:c r="S61" s="36"/>
      <x:c r="T61" s="26"/>
      <x:c r="U61" s="26"/>
      <x:c r="V61" s="26"/>
      <x:c r="W61" s="26" t="n">
        <x:v>1</x:v>
      </x:c>
      <x:c r="X61" s="26" t="n">
        <x:v>0</x:v>
      </x:c>
      <x:c r="Y61" s="26" t="n">
        <x:v>1</x:v>
      </x:c>
      <x:c r="Z61" s="26" t="n">
        <x:v>0</x:v>
      </x:c>
      <x:c r="AA61" s="26" t="n">
        <x:v>1</x:v>
      </x:c>
      <x:c r="AB61" s="38" t="n">
        <x:v>0</x:v>
      </x:c>
      <x:c r="AC61" s="26" t="str">
        <x:v>Committed / Not Delivered</x:v>
      </x:c>
      <x:c r="AD61" s="26" t="str">
        <x:v>Approval not recorded in response</x:v>
      </x:c>
      <x:c r="AE61" s="27" t="b">
        <x:v>1</x:v>
      </x:c>
      <x:c r="AF61" s="34" t="n">
        <x:v>46219.42805555555</x:v>
      </x:c>
      <x:c r="AG61" s="34"/>
      <x:c r="AH61" s="26" t="str">
        <x:v>Contribution API fields only; original project JSON needed for line-item names/centres/category</x:v>
      </x:c>
      <x:c r="AI61" s="26" t="str"/>
      <x:c r="AJ61" s="26" t="str">
        <x:v>Not Started</x:v>
      </x:c>
      <x:c r="AK61" s="26" t="str"/>
      <x:c r="AL61" s="26" t="str"/>
    </x:row>
    <x:row r="62">
      <x:c r="A62" s="26" t="n">
        <x:v>109</x:v>
      </x:c>
      <x:c r="B62" s="26" t="n">
        <x:v>133</x:v>
      </x:c>
      <x:c r="C62" s="26" t="str">
        <x:v>Kumuram Bheem Asifabad</x:v>
      </x:c>
      <x:c r="D62" s="26" t="str">
        <x:v>Telangana</x:v>
      </x:c>
      <x:c r="E62" s="26" t="n">
        <x:v>83</x:v>
      </x:c>
      <x:c r="F62" s="26" t="str">
        <x:v>PRJ-2026-0000083</x:v>
      </x:c>
      <x:c r="G62" s="26" t="str">
        <x:v>Requirement of Water Filter, ECCE, GMD</x:v>
      </x:c>
      <x:c r="H62" s="26" t="str">
        <x:v>Mission Saksham Anganwadi &amp; POSHAN 2.0</x:v>
      </x:c>
      <x:c r="I62" s="32" t="n">
        <x:v>46163</x:v>
      </x:c>
      <x:c r="J62" s="32" t="n">
        <x:v>46316</x:v>
      </x:c>
      <x:c r="K62" s="32"/>
      <x:c r="L62" s="26" t="str">
        <x:v>Active: On/After 01-Aug-2026</x:v>
      </x:c>
      <x:c r="M62" s="26" t="str">
        <x:v>Pending Mapping</x:v>
      </x:c>
      <x:c r="N62" s="26" t="str">
        <x:v>Original project JSON not available</x:v>
      </x:c>
      <x:c r="O62" s="26"/>
      <x:c r="P62" s="26" t="str"/>
      <x:c r="Q62" s="26" t="str"/>
      <x:c r="R62" s="26"/>
      <x:c r="S62" s="36"/>
      <x:c r="T62" s="26"/>
      <x:c r="U62" s="26"/>
      <x:c r="V62" s="26"/>
      <x:c r="W62" s="26" t="n">
        <x:v>2</x:v>
      </x:c>
      <x:c r="X62" s="26" t="n">
        <x:v>0</x:v>
      </x:c>
      <x:c r="Y62" s="26" t="n">
        <x:v>3</x:v>
      </x:c>
      <x:c r="Z62" s="26" t="n">
        <x:v>0</x:v>
      </x:c>
      <x:c r="AA62" s="26" t="n">
        <x:v>3</x:v>
      </x:c>
      <x:c r="AB62" s="38" t="n">
        <x:v>0</x:v>
      </x:c>
      <x:c r="AC62" s="26" t="str">
        <x:v>Committed / Not Delivered</x:v>
      </x:c>
      <x:c r="AD62" s="26" t="str">
        <x:v>Approval not recorded in response</x:v>
      </x:c>
      <x:c r="AE62" s="27" t="b">
        <x:v>1</x:v>
      </x:c>
      <x:c r="AF62" s="34" t="n">
        <x:v>46219.41050925926</x:v>
      </x:c>
      <x:c r="AG62" s="34"/>
      <x:c r="AH62" s="26" t="str">
        <x:v>Contribution API fields only; original project JSON needed for line-item names/centres/category</x:v>
      </x:c>
      <x:c r="AI62" s="26" t="str"/>
      <x:c r="AJ62" s="26" t="str">
        <x:v>Not Started</x:v>
      </x:c>
      <x:c r="AK62" s="26" t="str"/>
      <x:c r="AL62" s="26" t="str"/>
    </x:row>
    <x:row r="63">
      <x:c r="A63" s="26" t="n">
        <x:v>110</x:v>
      </x:c>
      <x:c r="B63" s="26" t="n">
        <x:v>140</x:v>
      </x:c>
      <x:c r="C63" s="26" t="str">
        <x:v>Kumuram Bheem Asifabad</x:v>
      </x:c>
      <x:c r="D63" s="26" t="str">
        <x:v>Telangana</x:v>
      </x:c>
      <x:c r="E63" s="26" t="n">
        <x:v>1228</x:v>
      </x:c>
      <x:c r="F63" s="26" t="str">
        <x:v>PRJ-2026-0001228</x:v>
      </x:c>
      <x:c r="G63" s="26" t="str">
        <x:v>Materials (Games, Toys, Balls)  </x:v>
      </x:c>
      <x:c r="H63" s="26" t="str">
        <x:v>Mission Saksham Anganwadi &amp; POSHAN 2.0</x:v>
      </x:c>
      <x:c r="I63" s="32" t="n">
        <x:v>46163</x:v>
      </x:c>
      <x:c r="J63" s="32" t="n">
        <x:v>46316</x:v>
      </x:c>
      <x:c r="K63" s="32"/>
      <x:c r="L63" s="26" t="str">
        <x:v>Active: On/After 01-Aug-2026</x:v>
      </x:c>
      <x:c r="M63" s="26" t="str">
        <x:v>Pending Mapping</x:v>
      </x:c>
      <x:c r="N63" s="26" t="str">
        <x:v>Original project JSON not available</x:v>
      </x:c>
      <x:c r="O63" s="26"/>
      <x:c r="P63" s="26" t="str"/>
      <x:c r="Q63" s="26" t="str"/>
      <x:c r="R63" s="26"/>
      <x:c r="S63" s="36"/>
      <x:c r="T63" s="26"/>
      <x:c r="U63" s="26"/>
      <x:c r="V63" s="26"/>
      <x:c r="W63" s="26" t="n">
        <x:v>3</x:v>
      </x:c>
      <x:c r="X63" s="26" t="n">
        <x:v>0</x:v>
      </x:c>
      <x:c r="Y63" s="26" t="n">
        <x:v>25</x:v>
      </x:c>
      <x:c r="Z63" s="26" t="n">
        <x:v>0</x:v>
      </x:c>
      <x:c r="AA63" s="26" t="n">
        <x:v>25</x:v>
      </x:c>
      <x:c r="AB63" s="38" t="n">
        <x:v>0</x:v>
      </x:c>
      <x:c r="AC63" s="26" t="str">
        <x:v>Committed / Not Delivered</x:v>
      </x:c>
      <x:c r="AD63" s="26" t="str">
        <x:v>Approval not recorded in response</x:v>
      </x:c>
      <x:c r="AE63" s="27" t="b">
        <x:v>1</x:v>
      </x:c>
      <x:c r="AF63" s="34" t="n">
        <x:v>46219.41050925926</x:v>
      </x:c>
      <x:c r="AG63" s="34"/>
      <x:c r="AH63" s="26" t="str">
        <x:v>Contribution API fields only; original project JSON needed for line-item names/centres/category</x:v>
      </x:c>
      <x:c r="AI63" s="26" t="str"/>
      <x:c r="AJ63" s="26" t="str">
        <x:v>Not Started</x:v>
      </x:c>
      <x:c r="AK63" s="26" t="str"/>
      <x:c r="AL63" s="26" t="str"/>
    </x:row>
    <x:row r="64">
      <x:c r="A64" s="26" t="n">
        <x:v>111</x:v>
      </x:c>
      <x:c r="B64" s="26" t="n">
        <x:v>141</x:v>
      </x:c>
      <x:c r="C64" s="26" t="str">
        <x:v>Kumuram Bheem Asifabad</x:v>
      </x:c>
      <x:c r="D64" s="26" t="str">
        <x:v>Telangana</x:v>
      </x:c>
      <x:c r="E64" s="26" t="n">
        <x:v>1273</x:v>
      </x:c>
      <x:c r="F64" s="26" t="str">
        <x:v>PRJ-2026-0001273</x:v>
      </x:c>
      <x:c r="G64" s="26" t="str">
        <x:v>Materials (Games, Toys, Balls)  </x:v>
      </x:c>
      <x:c r="H64" s="26" t="str">
        <x:v>Mission Saksham Anganwadi &amp; POSHAN 2.0</x:v>
      </x:c>
      <x:c r="I64" s="32" t="n">
        <x:v>46163</x:v>
      </x:c>
      <x:c r="J64" s="32" t="n">
        <x:v>46316</x:v>
      </x:c>
      <x:c r="K64" s="32"/>
      <x:c r="L64" s="26" t="str">
        <x:v>Active: On/After 01-Aug-2026</x:v>
      </x:c>
      <x:c r="M64" s="26" t="str">
        <x:v>Pending Mapping</x:v>
      </x:c>
      <x:c r="N64" s="26" t="str">
        <x:v>Original project JSON not available</x:v>
      </x:c>
      <x:c r="O64" s="26"/>
      <x:c r="P64" s="26" t="str"/>
      <x:c r="Q64" s="26" t="str"/>
      <x:c r="R64" s="26"/>
      <x:c r="S64" s="36"/>
      <x:c r="T64" s="26"/>
      <x:c r="U64" s="26"/>
      <x:c r="V64" s="26"/>
      <x:c r="W64" s="26" t="n">
        <x:v>3</x:v>
      </x:c>
      <x:c r="X64" s="26" t="n">
        <x:v>0</x:v>
      </x:c>
      <x:c r="Y64" s="26" t="n">
        <x:v>45</x:v>
      </x:c>
      <x:c r="Z64" s="26" t="n">
        <x:v>0</x:v>
      </x:c>
      <x:c r="AA64" s="26" t="n">
        <x:v>45</x:v>
      </x:c>
      <x:c r="AB64" s="38" t="n">
        <x:v>0</x:v>
      </x:c>
      <x:c r="AC64" s="26" t="str">
        <x:v>Committed / Not Delivered</x:v>
      </x:c>
      <x:c r="AD64" s="26" t="str">
        <x:v>Approval not recorded in response</x:v>
      </x:c>
      <x:c r="AE64" s="27" t="b">
        <x:v>1</x:v>
      </x:c>
      <x:c r="AF64" s="34" t="n">
        <x:v>46219.41049768519</x:v>
      </x:c>
      <x:c r="AG64" s="34"/>
      <x:c r="AH64" s="26" t="str">
        <x:v>Contribution API fields only; original project JSON needed for line-item names/centres/category</x:v>
      </x:c>
      <x:c r="AI64" s="26" t="str"/>
      <x:c r="AJ64" s="26" t="str">
        <x:v>Not Started</x:v>
      </x:c>
      <x:c r="AK64" s="26" t="str"/>
      <x:c r="AL64" s="26" t="str"/>
    </x:row>
    <x:row r="65">
      <x:c r="A65" s="26" t="n">
        <x:v>112</x:v>
      </x:c>
      <x:c r="B65" s="26" t="n">
        <x:v>142</x:v>
      </x:c>
      <x:c r="C65" s="26" t="str">
        <x:v>Kumuram Bheem Asifabad</x:v>
      </x:c>
      <x:c r="D65" s="26" t="str">
        <x:v>Telangana</x:v>
      </x:c>
      <x:c r="E65" s="26" t="n">
        <x:v>1962</x:v>
      </x:c>
      <x:c r="F65" s="26" t="str">
        <x:v>PRJ-2026-0001962</x:v>
      </x:c>
      <x:c r="G65" s="26" t="str">
        <x:v>requirement of anganwadi fecilitices</x:v>
      </x:c>
      <x:c r="H65" s="26" t="str">
        <x:v>Mission Saksham Anganwadi &amp; POSHAN 2.0</x:v>
      </x:c>
      <x:c r="I65" s="32" t="n">
        <x:v>46163</x:v>
      </x:c>
      <x:c r="J65" s="32" t="n">
        <x:v>46347</x:v>
      </x:c>
      <x:c r="K65" s="32"/>
      <x:c r="L65" s="26" t="str">
        <x:v>Active: On/After 01-Aug-2026</x:v>
      </x:c>
      <x:c r="M65" s="26" t="str">
        <x:v>Pending Mapping</x:v>
      </x:c>
      <x:c r="N65" s="26" t="str">
        <x:v>Original project JSON not available</x:v>
      </x:c>
      <x:c r="O65" s="26"/>
      <x:c r="P65" s="26" t="str"/>
      <x:c r="Q65" s="26" t="str"/>
      <x:c r="R65" s="26"/>
      <x:c r="S65" s="36"/>
      <x:c r="T65" s="26"/>
      <x:c r="U65" s="26"/>
      <x:c r="V65" s="26"/>
      <x:c r="W65" s="26" t="n">
        <x:v>1</x:v>
      </x:c>
      <x:c r="X65" s="26" t="n">
        <x:v>0</x:v>
      </x:c>
      <x:c r="Y65" s="26" t="n">
        <x:v>1</x:v>
      </x:c>
      <x:c r="Z65" s="26" t="n">
        <x:v>0</x:v>
      </x:c>
      <x:c r="AA65" s="26" t="n">
        <x:v>1</x:v>
      </x:c>
      <x:c r="AB65" s="38" t="n">
        <x:v>0</x:v>
      </x:c>
      <x:c r="AC65" s="26" t="str">
        <x:v>Committed / Not Delivered</x:v>
      </x:c>
      <x:c r="AD65" s="26" t="str">
        <x:v>Approval not recorded in response</x:v>
      </x:c>
      <x:c r="AE65" s="27" t="b">
        <x:v>1</x:v>
      </x:c>
      <x:c r="AF65" s="34" t="n">
        <x:v>46219.41048611111</x:v>
      </x:c>
      <x:c r="AG65" s="34"/>
      <x:c r="AH65" s="26" t="str">
        <x:v>Contribution API fields only; original project JSON needed for line-item names/centres/category</x:v>
      </x:c>
      <x:c r="AI65" s="26" t="str"/>
      <x:c r="AJ65" s="26" t="str">
        <x:v>Not Started</x:v>
      </x:c>
      <x:c r="AK65" s="26" t="str"/>
      <x:c r="AL65" s="26" t="str"/>
    </x:row>
    <x:row r="66">
      <x:c r="A66" s="26" t="n">
        <x:v>113</x:v>
      </x:c>
      <x:c r="B66" s="26" t="n">
        <x:v>143</x:v>
      </x:c>
      <x:c r="C66" s="26" t="str">
        <x:v>Kumuram Bheem Asifabad</x:v>
      </x:c>
      <x:c r="D66" s="26" t="str">
        <x:v>Telangana</x:v>
      </x:c>
      <x:c r="E66" s="26" t="n">
        <x:v>2002</x:v>
      </x:c>
      <x:c r="F66" s="26" t="str">
        <x:v>PRJ-2026-0002002</x:v>
      </x:c>
      <x:c r="G66" s="26" t="str">
        <x:v>requirement of anganwadi facilities</x:v>
      </x:c>
      <x:c r="H66" s="26" t="str">
        <x:v>Mission Saksham Anganwadi &amp; POSHAN 2.0</x:v>
      </x:c>
      <x:c r="I66" s="32" t="n">
        <x:v>46163</x:v>
      </x:c>
      <x:c r="J66" s="32" t="n">
        <x:v>46316</x:v>
      </x:c>
      <x:c r="K66" s="32"/>
      <x:c r="L66" s="26" t="str">
        <x:v>Active: On/After 01-Aug-2026</x:v>
      </x:c>
      <x:c r="M66" s="26" t="str">
        <x:v>Pending Mapping</x:v>
      </x:c>
      <x:c r="N66" s="26" t="str">
        <x:v>Original project JSON not available</x:v>
      </x:c>
      <x:c r="O66" s="26"/>
      <x:c r="P66" s="26" t="str"/>
      <x:c r="Q66" s="26" t="str"/>
      <x:c r="R66" s="26"/>
      <x:c r="S66" s="36"/>
      <x:c r="T66" s="26"/>
      <x:c r="U66" s="26"/>
      <x:c r="V66" s="26"/>
      <x:c r="W66" s="26" t="n">
        <x:v>1</x:v>
      </x:c>
      <x:c r="X66" s="26" t="n">
        <x:v>0</x:v>
      </x:c>
      <x:c r="Y66" s="26" t="n">
        <x:v>1</x:v>
      </x:c>
      <x:c r="Z66" s="26" t="n">
        <x:v>0</x:v>
      </x:c>
      <x:c r="AA66" s="26" t="n">
        <x:v>1</x:v>
      </x:c>
      <x:c r="AB66" s="38" t="n">
        <x:v>0</x:v>
      </x:c>
      <x:c r="AC66" s="26" t="str">
        <x:v>Committed / Not Delivered</x:v>
      </x:c>
      <x:c r="AD66" s="26" t="str">
        <x:v>Approval not recorded in response</x:v>
      </x:c>
      <x:c r="AE66" s="27" t="b">
        <x:v>1</x:v>
      </x:c>
      <x:c r="AF66" s="34" t="n">
        <x:v>46219.410474537035</x:v>
      </x:c>
      <x:c r="AG66" s="34"/>
      <x:c r="AH66" s="26" t="str">
        <x:v>Contribution API fields only; original project JSON needed for line-item names/centres/category</x:v>
      </x:c>
      <x:c r="AI66" s="26" t="str"/>
      <x:c r="AJ66" s="26" t="str">
        <x:v>Not Started</x:v>
      </x:c>
      <x:c r="AK66" s="26" t="str"/>
      <x:c r="AL66" s="26" t="str"/>
    </x:row>
    <x:row r="67">
      <x:c r="A67" s="26" t="n">
        <x:v>114</x:v>
      </x:c>
      <x:c r="B67" s="26" t="n">
        <x:v>145</x:v>
      </x:c>
      <x:c r="C67" s="26" t="str">
        <x:v>Kumuram Bheem Asifabad</x:v>
      </x:c>
      <x:c r="D67" s="26" t="str">
        <x:v>Telangana</x:v>
      </x:c>
      <x:c r="E67" s="26" t="n">
        <x:v>2310</x:v>
      </x:c>
      <x:c r="F67" s="26" t="str">
        <x:v>PRJ-2026-0002310</x:v>
      </x:c>
      <x:c r="G67" s="26" t="str">
        <x:v>Materials (Gardening Equipment, Seeds, Other resources)  </x:v>
      </x:c>
      <x:c r="H67" s="26" t="str">
        <x:v>Mission Saksham Anganwadi &amp; POSHAN 2.0</x:v>
      </x:c>
      <x:c r="I67" s="32" t="n">
        <x:v>46163</x:v>
      </x:c>
      <x:c r="J67" s="32" t="n">
        <x:v>46316</x:v>
      </x:c>
      <x:c r="K67" s="32"/>
      <x:c r="L67" s="26" t="str">
        <x:v>Active: On/After 01-Aug-2026</x:v>
      </x:c>
      <x:c r="M67" s="26" t="str">
        <x:v>Pending Mapping</x:v>
      </x:c>
      <x:c r="N67" s="26" t="str">
        <x:v>Original project JSON not available</x:v>
      </x:c>
      <x:c r="O67" s="26"/>
      <x:c r="P67" s="26" t="str"/>
      <x:c r="Q67" s="26" t="str"/>
      <x:c r="R67" s="26"/>
      <x:c r="S67" s="36"/>
      <x:c r="T67" s="26"/>
      <x:c r="U67" s="26"/>
      <x:c r="V67" s="26"/>
      <x:c r="W67" s="26" t="n">
        <x:v>3</x:v>
      </x:c>
      <x:c r="X67" s="26" t="n">
        <x:v>0</x:v>
      </x:c>
      <x:c r="Y67" s="26" t="n">
        <x:v>21</x:v>
      </x:c>
      <x:c r="Z67" s="26" t="n">
        <x:v>0</x:v>
      </x:c>
      <x:c r="AA67" s="26" t="n">
        <x:v>21</x:v>
      </x:c>
      <x:c r="AB67" s="38" t="n">
        <x:v>0</x:v>
      </x:c>
      <x:c r="AC67" s="26" t="str">
        <x:v>Committed / Not Delivered</x:v>
      </x:c>
      <x:c r="AD67" s="26" t="str">
        <x:v>Approval not recorded in response</x:v>
      </x:c>
      <x:c r="AE67" s="27" t="b">
        <x:v>1</x:v>
      </x:c>
      <x:c r="AF67" s="34" t="n">
        <x:v>46219.410474537035</x:v>
      </x:c>
      <x:c r="AG67" s="34"/>
      <x:c r="AH67" s="26" t="str">
        <x:v>Contribution API fields only; original project JSON needed for line-item names/centres/category</x:v>
      </x:c>
      <x:c r="AI67" s="26" t="str"/>
      <x:c r="AJ67" s="26" t="str">
        <x:v>Not Started</x:v>
      </x:c>
      <x:c r="AK67" s="26" t="str"/>
      <x:c r="AL67" s="26" t="str"/>
    </x:row>
    <x:row r="68">
      <x:c r="A68" s="26" t="n">
        <x:v>115</x:v>
      </x:c>
      <x:c r="B68" s="26" t="n">
        <x:v>146</x:v>
      </x:c>
      <x:c r="C68" s="26" t="str">
        <x:v>Kumuram Bheem Asifabad</x:v>
      </x:c>
      <x:c r="D68" s="26" t="str">
        <x:v>Telangana</x:v>
      </x:c>
      <x:c r="E68" s="26" t="n">
        <x:v>2380</x:v>
      </x:c>
      <x:c r="F68" s="26" t="str">
        <x:v>PRJ-2026-0002380</x:v>
      </x:c>
      <x:c r="G68" s="26" t="str">
        <x:v>requirement of anganwadi facilities</x:v>
      </x:c>
      <x:c r="H68" s="26" t="str">
        <x:v>Mission Saksham Anganwadi &amp; POSHAN 2.0</x:v>
      </x:c>
      <x:c r="I68" s="32" t="n">
        <x:v>46163</x:v>
      </x:c>
      <x:c r="J68" s="32" t="n">
        <x:v>46316</x:v>
      </x:c>
      <x:c r="K68" s="32"/>
      <x:c r="L68" s="26" t="str">
        <x:v>Active: On/After 01-Aug-2026</x:v>
      </x:c>
      <x:c r="M68" s="26" t="str">
        <x:v>Pending Mapping</x:v>
      </x:c>
      <x:c r="N68" s="26" t="str">
        <x:v>Original project JSON not available</x:v>
      </x:c>
      <x:c r="O68" s="26"/>
      <x:c r="P68" s="26" t="str"/>
      <x:c r="Q68" s="26" t="str"/>
      <x:c r="R68" s="26"/>
      <x:c r="S68" s="36"/>
      <x:c r="T68" s="26"/>
      <x:c r="U68" s="26"/>
      <x:c r="V68" s="26"/>
      <x:c r="W68" s="26" t="n">
        <x:v>2</x:v>
      </x:c>
      <x:c r="X68" s="26" t="n">
        <x:v>0</x:v>
      </x:c>
      <x:c r="Y68" s="26" t="n">
        <x:v>20</x:v>
      </x:c>
      <x:c r="Z68" s="26" t="n">
        <x:v>0</x:v>
      </x:c>
      <x:c r="AA68" s="26" t="n">
        <x:v>20</x:v>
      </x:c>
      <x:c r="AB68" s="38" t="n">
        <x:v>0</x:v>
      </x:c>
      <x:c r="AC68" s="26" t="str">
        <x:v>Committed / Not Delivered</x:v>
      </x:c>
      <x:c r="AD68" s="26" t="str">
        <x:v>Approval not recorded in response</x:v>
      </x:c>
      <x:c r="AE68" s="27" t="b">
        <x:v>1</x:v>
      </x:c>
      <x:c r="AF68" s="34" t="n">
        <x:v>46219.410462962966</x:v>
      </x:c>
      <x:c r="AG68" s="34"/>
      <x:c r="AH68" s="26" t="str">
        <x:v>Contribution API fields only; original project JSON needed for line-item names/centres/category</x:v>
      </x:c>
      <x:c r="AI68" s="26" t="str"/>
      <x:c r="AJ68" s="26" t="str">
        <x:v>Not Started</x:v>
      </x:c>
      <x:c r="AK68" s="26" t="str"/>
      <x:c r="AL68" s="26" t="str"/>
    </x:row>
    <x:row r="69">
      <x:c r="A69" s="26" t="n">
        <x:v>116</x:v>
      </x:c>
      <x:c r="B69" s="26" t="n">
        <x:v>147</x:v>
      </x:c>
      <x:c r="C69" s="26" t="str">
        <x:v>Kumuram Bheem Asifabad</x:v>
      </x:c>
      <x:c r="D69" s="26" t="str">
        <x:v>Telangana</x:v>
      </x:c>
      <x:c r="E69" s="26" t="n">
        <x:v>2431</x:v>
      </x:c>
      <x:c r="F69" s="26" t="str">
        <x:v>PRJ-2026-0002431</x:v>
      </x:c>
      <x:c r="G69" s="26" t="str">
        <x:v>requirement of anganwadi  facilties</x:v>
      </x:c>
      <x:c r="H69" s="26" t="str">
        <x:v>Mission Saksham Anganwadi &amp; POSHAN 2.0</x:v>
      </x:c>
      <x:c r="I69" s="32" t="n">
        <x:v>46163</x:v>
      </x:c>
      <x:c r="J69" s="32" t="n">
        <x:v>46316</x:v>
      </x:c>
      <x:c r="K69" s="32"/>
      <x:c r="L69" s="26" t="str">
        <x:v>Active: On/After 01-Aug-2026</x:v>
      </x:c>
      <x:c r="M69" s="26" t="str">
        <x:v>Pending Mapping</x:v>
      </x:c>
      <x:c r="N69" s="26" t="str">
        <x:v>Original project JSON not available</x:v>
      </x:c>
      <x:c r="O69" s="26"/>
      <x:c r="P69" s="26" t="str"/>
      <x:c r="Q69" s="26" t="str"/>
      <x:c r="R69" s="26"/>
      <x:c r="S69" s="36"/>
      <x:c r="T69" s="26"/>
      <x:c r="U69" s="26"/>
      <x:c r="V69" s="26"/>
      <x:c r="W69" s="26" t="n">
        <x:v>1</x:v>
      </x:c>
      <x:c r="X69" s="26" t="n">
        <x:v>0</x:v>
      </x:c>
      <x:c r="Y69" s="26" t="n">
        <x:v>1</x:v>
      </x:c>
      <x:c r="Z69" s="26" t="n">
        <x:v>0</x:v>
      </x:c>
      <x:c r="AA69" s="26" t="n">
        <x:v>1</x:v>
      </x:c>
      <x:c r="AB69" s="38" t="n">
        <x:v>0</x:v>
      </x:c>
      <x:c r="AC69" s="26" t="str">
        <x:v>Committed / Not Delivered</x:v>
      </x:c>
      <x:c r="AD69" s="26" t="str">
        <x:v>Approval not recorded in response</x:v>
      </x:c>
      <x:c r="AE69" s="27" t="b">
        <x:v>1</x:v>
      </x:c>
      <x:c r="AF69" s="34" t="n">
        <x:v>46219.41045138889</x:v>
      </x:c>
      <x:c r="AG69" s="34"/>
      <x:c r="AH69" s="26" t="str">
        <x:v>Contribution API fields only; original project JSON needed for line-item names/centres/category</x:v>
      </x:c>
      <x:c r="AI69" s="26" t="str"/>
      <x:c r="AJ69" s="26" t="str">
        <x:v>Not Started</x:v>
      </x:c>
      <x:c r="AK69" s="26" t="str"/>
      <x:c r="AL69" s="26" t="str"/>
    </x:row>
    <x:row r="70">
      <x:c r="A70" s="26" t="n">
        <x:v>117</x:v>
      </x:c>
      <x:c r="B70" s="26" t="n">
        <x:v>152</x:v>
      </x:c>
      <x:c r="C70" s="26" t="str">
        <x:v>Kumuram Bheem Asifabad</x:v>
      </x:c>
      <x:c r="D70" s="26" t="str">
        <x:v>Telangana</x:v>
      </x:c>
      <x:c r="E70" s="26" t="n">
        <x:v>3208</x:v>
      </x:c>
      <x:c r="F70" s="26" t="str">
        <x:v>PRJ-2026-0003208</x:v>
      </x:c>
      <x:c r="G70" s="26" t="str">
        <x:v>water filter</x:v>
      </x:c>
      <x:c r="H70" s="26" t="str">
        <x:v>Mission Saksham Anganwadi &amp; POSHAN 2.0</x:v>
      </x:c>
      <x:c r="I70" s="32" t="n">
        <x:v>46163</x:v>
      </x:c>
      <x:c r="J70" s="32" t="n">
        <x:v>46316</x:v>
      </x:c>
      <x:c r="K70" s="32"/>
      <x:c r="L70" s="26" t="str">
        <x:v>Active: On/After 01-Aug-2026</x:v>
      </x:c>
      <x:c r="M70" s="26" t="str">
        <x:v>Pending Mapping</x:v>
      </x:c>
      <x:c r="N70" s="26" t="str">
        <x:v>Original project JSON not available</x:v>
      </x:c>
      <x:c r="O70" s="26"/>
      <x:c r="P70" s="26" t="str"/>
      <x:c r="Q70" s="26" t="str"/>
      <x:c r="R70" s="26"/>
      <x:c r="S70" s="36"/>
      <x:c r="T70" s="26"/>
      <x:c r="U70" s="26"/>
      <x:c r="V70" s="26"/>
      <x:c r="W70" s="26" t="n">
        <x:v>1</x:v>
      </x:c>
      <x:c r="X70" s="26" t="n">
        <x:v>0</x:v>
      </x:c>
      <x:c r="Y70" s="26" t="n">
        <x:v>1</x:v>
      </x:c>
      <x:c r="Z70" s="26" t="n">
        <x:v>0</x:v>
      </x:c>
      <x:c r="AA70" s="26" t="n">
        <x:v>1</x:v>
      </x:c>
      <x:c r="AB70" s="38" t="n">
        <x:v>0</x:v>
      </x:c>
      <x:c r="AC70" s="26" t="str">
        <x:v>Committed / Not Delivered</x:v>
      </x:c>
      <x:c r="AD70" s="26" t="str">
        <x:v>Approval not recorded in response</x:v>
      </x:c>
      <x:c r="AE70" s="27" t="b">
        <x:v>1</x:v>
      </x:c>
      <x:c r="AF70" s="34" t="n">
        <x:v>46219.41045138889</x:v>
      </x:c>
      <x:c r="AG70" s="34"/>
      <x:c r="AH70" s="26" t="str">
        <x:v>Contribution API fields only; original project JSON needed for line-item names/centres/category</x:v>
      </x:c>
      <x:c r="AI70" s="26" t="str"/>
      <x:c r="AJ70" s="26" t="str">
        <x:v>Not Started</x:v>
      </x:c>
      <x:c r="AK70" s="26" t="str"/>
      <x:c r="AL70" s="26" t="str"/>
    </x:row>
    <x:row r="71">
      <x:c r="A71" s="26" t="n">
        <x:v>118</x:v>
      </x:c>
      <x:c r="B71" s="26" t="n">
        <x:v>153</x:v>
      </x:c>
      <x:c r="C71" s="26" t="str">
        <x:v>Kumuram Bheem Asifabad</x:v>
      </x:c>
      <x:c r="D71" s="26" t="str">
        <x:v>Telangana</x:v>
      </x:c>
      <x:c r="E71" s="26" t="n">
        <x:v>3245</x:v>
      </x:c>
      <x:c r="F71" s="26" t="str">
        <x:v>PRJ-2026-0003245</x:v>
      </x:c>
      <x:c r="G71" s="26" t="str">
        <x:v>water filter</x:v>
      </x:c>
      <x:c r="H71" s="26" t="str">
        <x:v>Mission Saksham Anganwadi &amp; POSHAN 2.0</x:v>
      </x:c>
      <x:c r="I71" s="32" t="n">
        <x:v>46163</x:v>
      </x:c>
      <x:c r="J71" s="32" t="n">
        <x:v>46316</x:v>
      </x:c>
      <x:c r="K71" s="32"/>
      <x:c r="L71" s="26" t="str">
        <x:v>Active: On/After 01-Aug-2026</x:v>
      </x:c>
      <x:c r="M71" s="26" t="str">
        <x:v>Pending Mapping</x:v>
      </x:c>
      <x:c r="N71" s="26" t="str">
        <x:v>Original project JSON not available</x:v>
      </x:c>
      <x:c r="O71" s="26"/>
      <x:c r="P71" s="26" t="str"/>
      <x:c r="Q71" s="26" t="str"/>
      <x:c r="R71" s="26"/>
      <x:c r="S71" s="36"/>
      <x:c r="T71" s="26"/>
      <x:c r="U71" s="26"/>
      <x:c r="V71" s="26"/>
      <x:c r="W71" s="26" t="n">
        <x:v>1</x:v>
      </x:c>
      <x:c r="X71" s="26" t="n">
        <x:v>0</x:v>
      </x:c>
      <x:c r="Y71" s="26" t="n">
        <x:v>1</x:v>
      </x:c>
      <x:c r="Z71" s="26" t="n">
        <x:v>0</x:v>
      </x:c>
      <x:c r="AA71" s="26" t="n">
        <x:v>1</x:v>
      </x:c>
      <x:c r="AB71" s="38" t="n">
        <x:v>0</x:v>
      </x:c>
      <x:c r="AC71" s="26" t="str">
        <x:v>Committed / Not Delivered</x:v>
      </x:c>
      <x:c r="AD71" s="26" t="str">
        <x:v>Approval not recorded in response</x:v>
      </x:c>
      <x:c r="AE71" s="27" t="b">
        <x:v>1</x:v>
      </x:c>
      <x:c r="AF71" s="34" t="n">
        <x:v>46219.41043981481</x:v>
      </x:c>
      <x:c r="AG71" s="34"/>
      <x:c r="AH71" s="26" t="str">
        <x:v>Contribution API fields only; original project JSON needed for line-item names/centres/category</x:v>
      </x:c>
      <x:c r="AI71" s="26" t="str"/>
      <x:c r="AJ71" s="26" t="str">
        <x:v>Not Started</x:v>
      </x:c>
      <x:c r="AK71" s="26" t="str"/>
      <x:c r="AL71" s="26" t="str"/>
    </x:row>
    <x:row r="72">
      <x:c r="A72" s="26" t="n">
        <x:v>119</x:v>
      </x:c>
      <x:c r="B72" s="26" t="n">
        <x:v>156</x:v>
      </x:c>
      <x:c r="C72" s="26" t="str">
        <x:v>Kumuram Bheem Asifabad</x:v>
      </x:c>
      <x:c r="D72" s="26" t="str">
        <x:v>Telangana</x:v>
      </x:c>
      <x:c r="E72" s="26" t="n">
        <x:v>3859</x:v>
      </x:c>
      <x:c r="F72" s="26" t="str">
        <x:v>PRJ-2026-0003859</x:v>
      </x:c>
      <x:c r="G72" s="26" t="str">
        <x:v>requirement of anganwadi facilities</x:v>
      </x:c>
      <x:c r="H72" s="26" t="str">
        <x:v>Mission Saksham Anganwadi &amp; POSHAN 2.0</x:v>
      </x:c>
      <x:c r="I72" s="32" t="n">
        <x:v>46163</x:v>
      </x:c>
      <x:c r="J72" s="32" t="n">
        <x:v>46316</x:v>
      </x:c>
      <x:c r="K72" s="32"/>
      <x:c r="L72" s="26" t="str">
        <x:v>Active: On/After 01-Aug-2026</x:v>
      </x:c>
      <x:c r="M72" s="26" t="str">
        <x:v>Pending Mapping</x:v>
      </x:c>
      <x:c r="N72" s="26" t="str">
        <x:v>Original project JSON not available</x:v>
      </x:c>
      <x:c r="O72" s="26"/>
      <x:c r="P72" s="26" t="str"/>
      <x:c r="Q72" s="26" t="str"/>
      <x:c r="R72" s="26"/>
      <x:c r="S72" s="36"/>
      <x:c r="T72" s="26"/>
      <x:c r="U72" s="26"/>
      <x:c r="V72" s="26"/>
      <x:c r="W72" s="26" t="n">
        <x:v>1</x:v>
      </x:c>
      <x:c r="X72" s="26" t="n">
        <x:v>0</x:v>
      </x:c>
      <x:c r="Y72" s="26" t="n">
        <x:v>1</x:v>
      </x:c>
      <x:c r="Z72" s="26" t="n">
        <x:v>0</x:v>
      </x:c>
      <x:c r="AA72" s="26" t="n">
        <x:v>1</x:v>
      </x:c>
      <x:c r="AB72" s="38" t="n">
        <x:v>0</x:v>
      </x:c>
      <x:c r="AC72" s="26" t="str">
        <x:v>Committed / Not Delivered</x:v>
      </x:c>
      <x:c r="AD72" s="26" t="str">
        <x:v>Approval not recorded in response</x:v>
      </x:c>
      <x:c r="AE72" s="27" t="b">
        <x:v>1</x:v>
      </x:c>
      <x:c r="AF72" s="34" t="n">
        <x:v>46219.41042824074</x:v>
      </x:c>
      <x:c r="AG72" s="34"/>
      <x:c r="AH72" s="26" t="str">
        <x:v>Contribution API fields only; original project JSON needed for line-item names/centres/category</x:v>
      </x:c>
      <x:c r="AI72" s="26" t="str"/>
      <x:c r="AJ72" s="26" t="str">
        <x:v>Not Started</x:v>
      </x:c>
      <x:c r="AK72" s="26" t="str"/>
      <x:c r="AL72" s="26" t="str"/>
    </x:row>
    <x:row r="73">
      <x:c r="A73" s="26" t="n">
        <x:v>120</x:v>
      </x:c>
      <x:c r="B73" s="26" t="n">
        <x:v>158</x:v>
      </x:c>
      <x:c r="C73" s="26" t="str">
        <x:v>Kumuram Bheem Asifabad</x:v>
      </x:c>
      <x:c r="D73" s="26" t="str">
        <x:v>Telangana</x:v>
      </x:c>
      <x:c r="E73" s="26" t="n">
        <x:v>4105</x:v>
      </x:c>
      <x:c r="F73" s="26" t="str">
        <x:v>PRJ-2026-0004105</x:v>
      </x:c>
      <x:c r="G73" s="26" t="str">
        <x:v>water filter</x:v>
      </x:c>
      <x:c r="H73" s="26" t="str">
        <x:v>Mission Saksham Anganwadi &amp; POSHAN 2.0</x:v>
      </x:c>
      <x:c r="I73" s="32" t="n">
        <x:v>46163</x:v>
      </x:c>
      <x:c r="J73" s="32" t="n">
        <x:v>46316</x:v>
      </x:c>
      <x:c r="K73" s="32"/>
      <x:c r="L73" s="26" t="str">
        <x:v>Active: On/After 01-Aug-2026</x:v>
      </x:c>
      <x:c r="M73" s="26" t="str">
        <x:v>Pending Mapping</x:v>
      </x:c>
      <x:c r="N73" s="26" t="str">
        <x:v>Original project JSON not available</x:v>
      </x:c>
      <x:c r="O73" s="26"/>
      <x:c r="P73" s="26" t="str"/>
      <x:c r="Q73" s="26" t="str"/>
      <x:c r="R73" s="26"/>
      <x:c r="S73" s="36"/>
      <x:c r="T73" s="26"/>
      <x:c r="U73" s="26"/>
      <x:c r="V73" s="26"/>
      <x:c r="W73" s="26" t="n">
        <x:v>1</x:v>
      </x:c>
      <x:c r="X73" s="26" t="n">
        <x:v>0</x:v>
      </x:c>
      <x:c r="Y73" s="26" t="n">
        <x:v>1</x:v>
      </x:c>
      <x:c r="Z73" s="26" t="n">
        <x:v>0</x:v>
      </x:c>
      <x:c r="AA73" s="26" t="n">
        <x:v>1</x:v>
      </x:c>
      <x:c r="AB73" s="38" t="n">
        <x:v>0</x:v>
      </x:c>
      <x:c r="AC73" s="26" t="str">
        <x:v>Committed / Not Delivered</x:v>
      </x:c>
      <x:c r="AD73" s="26" t="str">
        <x:v>Approval not recorded in response</x:v>
      </x:c>
      <x:c r="AE73" s="27" t="b">
        <x:v>1</x:v>
      </x:c>
      <x:c r="AF73" s="34" t="n">
        <x:v>46219.41042824074</x:v>
      </x:c>
      <x:c r="AG73" s="34"/>
      <x:c r="AH73" s="26" t="str">
        <x:v>Contribution API fields only; original project JSON needed for line-item names/centres/category</x:v>
      </x:c>
      <x:c r="AI73" s="26" t="str"/>
      <x:c r="AJ73" s="26" t="str">
        <x:v>Not Started</x:v>
      </x:c>
      <x:c r="AK73" s="26" t="str"/>
      <x:c r="AL73" s="26" t="str"/>
    </x:row>
    <x:row r="74">
      <x:c r="A74" s="26" t="n">
        <x:v>121</x:v>
      </x:c>
      <x:c r="B74" s="26" t="n">
        <x:v>159</x:v>
      </x:c>
      <x:c r="C74" s="26" t="str">
        <x:v>Kumuram Bheem Asifabad</x:v>
      </x:c>
      <x:c r="D74" s="26" t="str">
        <x:v>Telangana</x:v>
      </x:c>
      <x:c r="E74" s="26" t="n">
        <x:v>4137</x:v>
      </x:c>
      <x:c r="F74" s="26" t="str">
        <x:v>PRJ-2026-0004137</x:v>
      </x:c>
      <x:c r="G74" s="26" t="str">
        <x:v>water filter</x:v>
      </x:c>
      <x:c r="H74" s="26" t="str">
        <x:v>Mission Saksham Anganwadi &amp; POSHAN 2.0</x:v>
      </x:c>
      <x:c r="I74" s="32" t="n">
        <x:v>46163</x:v>
      </x:c>
      <x:c r="J74" s="32" t="n">
        <x:v>46316</x:v>
      </x:c>
      <x:c r="K74" s="32"/>
      <x:c r="L74" s="26" t="str">
        <x:v>Active: On/After 01-Aug-2026</x:v>
      </x:c>
      <x:c r="M74" s="26" t="str">
        <x:v>Pending Mapping</x:v>
      </x:c>
      <x:c r="N74" s="26" t="str">
        <x:v>Original project JSON not available</x:v>
      </x:c>
      <x:c r="O74" s="26"/>
      <x:c r="P74" s="26" t="str"/>
      <x:c r="Q74" s="26" t="str"/>
      <x:c r="R74" s="26"/>
      <x:c r="S74" s="36"/>
      <x:c r="T74" s="26"/>
      <x:c r="U74" s="26"/>
      <x:c r="V74" s="26"/>
      <x:c r="W74" s="26" t="n">
        <x:v>1</x:v>
      </x:c>
      <x:c r="X74" s="26" t="n">
        <x:v>0</x:v>
      </x:c>
      <x:c r="Y74" s="26" t="n">
        <x:v>1</x:v>
      </x:c>
      <x:c r="Z74" s="26" t="n">
        <x:v>0</x:v>
      </x:c>
      <x:c r="AA74" s="26" t="n">
        <x:v>1</x:v>
      </x:c>
      <x:c r="AB74" s="38" t="n">
        <x:v>0</x:v>
      </x:c>
      <x:c r="AC74" s="26" t="str">
        <x:v>Committed / Not Delivered</x:v>
      </x:c>
      <x:c r="AD74" s="26" t="str">
        <x:v>Approval not recorded in response</x:v>
      </x:c>
      <x:c r="AE74" s="27" t="b">
        <x:v>1</x:v>
      </x:c>
      <x:c r="AF74" s="34" t="n">
        <x:v>46219.410416666666</x:v>
      </x:c>
      <x:c r="AG74" s="34"/>
      <x:c r="AH74" s="26" t="str">
        <x:v>Contribution API fields only; original project JSON needed for line-item names/centres/category</x:v>
      </x:c>
      <x:c r="AI74" s="26" t="str"/>
      <x:c r="AJ74" s="26" t="str">
        <x:v>Not Started</x:v>
      </x:c>
      <x:c r="AK74" s="26" t="str"/>
      <x:c r="AL74" s="26" t="str"/>
    </x:row>
    <x:row r="75">
      <x:c r="A75" s="26" t="n">
        <x:v>122</x:v>
      </x:c>
      <x:c r="B75" s="26" t="n">
        <x:v>161</x:v>
      </x:c>
      <x:c r="C75" s="26" t="str">
        <x:v>Kumuram Bheem Asifabad</x:v>
      </x:c>
      <x:c r="D75" s="26" t="str">
        <x:v>Telangana</x:v>
      </x:c>
      <x:c r="E75" s="26" t="n">
        <x:v>4303</x:v>
      </x:c>
      <x:c r="F75" s="26" t="str">
        <x:v>PRJ-2026-0004303</x:v>
      </x:c>
      <x:c r="G75" s="26" t="str">
        <x:v>Provision of water suppliers</x:v>
      </x:c>
      <x:c r="H75" s="26" t="str">
        <x:v>Mission Saksham Anganwadi &amp; POSHAN 2.0</x:v>
      </x:c>
      <x:c r="I75" s="32" t="n">
        <x:v>46163</x:v>
      </x:c>
      <x:c r="J75" s="32" t="n">
        <x:v>46255</x:v>
      </x:c>
      <x:c r="K75" s="32"/>
      <x:c r="L75" s="26" t="str">
        <x:v>Active: On/After 01-Aug-2026</x:v>
      </x:c>
      <x:c r="M75" s="26" t="str">
        <x:v>Pending Mapping</x:v>
      </x:c>
      <x:c r="N75" s="26" t="str">
        <x:v>Original project JSON not available</x:v>
      </x:c>
      <x:c r="O75" s="26"/>
      <x:c r="P75" s="26" t="str"/>
      <x:c r="Q75" s="26" t="str"/>
      <x:c r="R75" s="26"/>
      <x:c r="S75" s="36"/>
      <x:c r="T75" s="26"/>
      <x:c r="U75" s="26"/>
      <x:c r="V75" s="26"/>
      <x:c r="W75" s="26" t="n">
        <x:v>1</x:v>
      </x:c>
      <x:c r="X75" s="26" t="n">
        <x:v>0</x:v>
      </x:c>
      <x:c r="Y75" s="26" t="n">
        <x:v>1</x:v>
      </x:c>
      <x:c r="Z75" s="26" t="n">
        <x:v>0</x:v>
      </x:c>
      <x:c r="AA75" s="26" t="n">
        <x:v>1</x:v>
      </x:c>
      <x:c r="AB75" s="38" t="n">
        <x:v>0</x:v>
      </x:c>
      <x:c r="AC75" s="26" t="str">
        <x:v>Committed / Not Delivered</x:v>
      </x:c>
      <x:c r="AD75" s="26" t="str">
        <x:v>Approval not recorded in response</x:v>
      </x:c>
      <x:c r="AE75" s="27" t="b">
        <x:v>1</x:v>
      </x:c>
      <x:c r="AF75" s="34" t="n">
        <x:v>46219.410405092596</x:v>
      </x:c>
      <x:c r="AG75" s="34"/>
      <x:c r="AH75" s="26" t="str">
        <x:v>Contribution API fields only; original project JSON needed for line-item names/centres/category</x:v>
      </x:c>
      <x:c r="AI75" s="26" t="str"/>
      <x:c r="AJ75" s="26" t="str">
        <x:v>Not Started</x:v>
      </x:c>
      <x:c r="AK75" s="26" t="str"/>
      <x:c r="AL75" s="26" t="str"/>
    </x:row>
    <x:row r="76">
      <x:c r="A76" s="26" t="n">
        <x:v>123</x:v>
      </x:c>
      <x:c r="B76" s="26" t="n">
        <x:v>162</x:v>
      </x:c>
      <x:c r="C76" s="26" t="str">
        <x:v>Kumuram Bheem Asifabad</x:v>
      </x:c>
      <x:c r="D76" s="26" t="str">
        <x:v>Telangana</x:v>
      </x:c>
      <x:c r="E76" s="26" t="n">
        <x:v>4379</x:v>
      </x:c>
      <x:c r="F76" s="26" t="str">
        <x:v>PRJ-2026-0004379</x:v>
      </x:c>
      <x:c r="G76" s="26" t="str">
        <x:v>provision of water suppliers</x:v>
      </x:c>
      <x:c r="H76" s="26" t="str">
        <x:v>Mission Saksham Anganwadi &amp; POSHAN 2.0</x:v>
      </x:c>
      <x:c r="I76" s="32" t="n">
        <x:v>46163</x:v>
      </x:c>
      <x:c r="J76" s="32" t="n">
        <x:v>46255</x:v>
      </x:c>
      <x:c r="K76" s="32"/>
      <x:c r="L76" s="26" t="str">
        <x:v>Active: On/After 01-Aug-2026</x:v>
      </x:c>
      <x:c r="M76" s="26" t="str">
        <x:v>Pending Mapping</x:v>
      </x:c>
      <x:c r="N76" s="26" t="str">
        <x:v>Original project JSON not available</x:v>
      </x:c>
      <x:c r="O76" s="26"/>
      <x:c r="P76" s="26" t="str"/>
      <x:c r="Q76" s="26" t="str"/>
      <x:c r="R76" s="26"/>
      <x:c r="S76" s="36"/>
      <x:c r="T76" s="26"/>
      <x:c r="U76" s="26"/>
      <x:c r="V76" s="26"/>
      <x:c r="W76" s="26" t="n">
        <x:v>1</x:v>
      </x:c>
      <x:c r="X76" s="26" t="n">
        <x:v>0</x:v>
      </x:c>
      <x:c r="Y76" s="26" t="n">
        <x:v>1</x:v>
      </x:c>
      <x:c r="Z76" s="26" t="n">
        <x:v>0</x:v>
      </x:c>
      <x:c r="AA76" s="26" t="n">
        <x:v>1</x:v>
      </x:c>
      <x:c r="AB76" s="38" t="n">
        <x:v>0</x:v>
      </x:c>
      <x:c r="AC76" s="26" t="str">
        <x:v>Committed / Not Delivered</x:v>
      </x:c>
      <x:c r="AD76" s="26" t="str">
        <x:v>Approval not recorded in response</x:v>
      </x:c>
      <x:c r="AE76" s="27" t="b">
        <x:v>1</x:v>
      </x:c>
      <x:c r="AF76" s="34" t="n">
        <x:v>46219.410405092596</x:v>
      </x:c>
      <x:c r="AG76" s="34"/>
      <x:c r="AH76" s="26" t="str">
        <x:v>Contribution API fields only; original project JSON needed for line-item names/centres/category</x:v>
      </x:c>
      <x:c r="AI76" s="26" t="str"/>
      <x:c r="AJ76" s="26" t="str">
        <x:v>Not Started</x:v>
      </x:c>
      <x:c r="AK76" s="26" t="str"/>
      <x:c r="AL76" s="26" t="str"/>
    </x:row>
    <x:row r="77">
      <x:c r="A77" s="26" t="n">
        <x:v>124</x:v>
      </x:c>
      <x:c r="B77" s="26" t="n">
        <x:v>163</x:v>
      </x:c>
      <x:c r="C77" s="26" t="str">
        <x:v>Kumuram Bheem Asifabad</x:v>
      </x:c>
      <x:c r="D77" s="26" t="str">
        <x:v>Telangana</x:v>
      </x:c>
      <x:c r="E77" s="26" t="n">
        <x:v>4454</x:v>
      </x:c>
      <x:c r="F77" s="26" t="str">
        <x:v>PRJ-2026-0004454</x:v>
      </x:c>
      <x:c r="G77" s="26" t="str">
        <x:v>provision of water supplier</x:v>
      </x:c>
      <x:c r="H77" s="26" t="str">
        <x:v>Mission Saksham Anganwadi &amp; POSHAN 2.0</x:v>
      </x:c>
      <x:c r="I77" s="32" t="n">
        <x:v>46163</x:v>
      </x:c>
      <x:c r="J77" s="32" t="n">
        <x:v>46255</x:v>
      </x:c>
      <x:c r="K77" s="32"/>
      <x:c r="L77" s="26" t="str">
        <x:v>Active: On/After 01-Aug-2026</x:v>
      </x:c>
      <x:c r="M77" s="26" t="str">
        <x:v>Pending Mapping</x:v>
      </x:c>
      <x:c r="N77" s="26" t="str">
        <x:v>Original project JSON not available</x:v>
      </x:c>
      <x:c r="O77" s="26"/>
      <x:c r="P77" s="26" t="str"/>
      <x:c r="Q77" s="26" t="str"/>
      <x:c r="R77" s="26"/>
      <x:c r="S77" s="36"/>
      <x:c r="T77" s="26"/>
      <x:c r="U77" s="26"/>
      <x:c r="V77" s="26"/>
      <x:c r="W77" s="26" t="n">
        <x:v>1</x:v>
      </x:c>
      <x:c r="X77" s="26" t="n">
        <x:v>0</x:v>
      </x:c>
      <x:c r="Y77" s="26" t="n">
        <x:v>1</x:v>
      </x:c>
      <x:c r="Z77" s="26" t="n">
        <x:v>0</x:v>
      </x:c>
      <x:c r="AA77" s="26" t="n">
        <x:v>1</x:v>
      </x:c>
      <x:c r="AB77" s="38" t="n">
        <x:v>0</x:v>
      </x:c>
      <x:c r="AC77" s="26" t="str">
        <x:v>Committed / Not Delivered</x:v>
      </x:c>
      <x:c r="AD77" s="26" t="str">
        <x:v>Approval not recorded in response</x:v>
      </x:c>
      <x:c r="AE77" s="27" t="b">
        <x:v>1</x:v>
      </x:c>
      <x:c r="AF77" s="34" t="n">
        <x:v>46219.41039351852</x:v>
      </x:c>
      <x:c r="AG77" s="34"/>
      <x:c r="AH77" s="26" t="str">
        <x:v>Contribution API fields only; original project JSON needed for line-item names/centres/category</x:v>
      </x:c>
      <x:c r="AI77" s="26" t="str"/>
      <x:c r="AJ77" s="26" t="str">
        <x:v>Not Started</x:v>
      </x:c>
      <x:c r="AK77" s="26" t="str"/>
      <x:c r="AL77" s="26" t="str"/>
    </x:row>
    <x:row r="78">
      <x:c r="A78" s="26" t="n">
        <x:v>125</x:v>
      </x:c>
      <x:c r="B78" s="26" t="n">
        <x:v>164</x:v>
      </x:c>
      <x:c r="C78" s="26" t="str">
        <x:v>Kumuram Bheem Asifabad</x:v>
      </x:c>
      <x:c r="D78" s="26" t="str">
        <x:v>Telangana</x:v>
      </x:c>
      <x:c r="E78" s="26" t="n">
        <x:v>4522</x:v>
      </x:c>
      <x:c r="F78" s="26" t="str">
        <x:v>PRJ-2026-0004522</x:v>
      </x:c>
      <x:c r="G78" s="26" t="str">
        <x:v>provision of water supplier</x:v>
      </x:c>
      <x:c r="H78" s="26" t="str">
        <x:v>Mission Saksham Anganwadi &amp; POSHAN 2.0</x:v>
      </x:c>
      <x:c r="I78" s="32" t="n">
        <x:v>46163</x:v>
      </x:c>
      <x:c r="J78" s="32" t="n">
        <x:v>46255</x:v>
      </x:c>
      <x:c r="K78" s="32"/>
      <x:c r="L78" s="26" t="str">
        <x:v>Active: On/After 01-Aug-2026</x:v>
      </x:c>
      <x:c r="M78" s="26" t="str">
        <x:v>Pending Mapping</x:v>
      </x:c>
      <x:c r="N78" s="26" t="str">
        <x:v>Original project JSON not available</x:v>
      </x:c>
      <x:c r="O78" s="26"/>
      <x:c r="P78" s="26" t="str"/>
      <x:c r="Q78" s="26" t="str"/>
      <x:c r="R78" s="26"/>
      <x:c r="S78" s="36"/>
      <x:c r="T78" s="26"/>
      <x:c r="U78" s="26"/>
      <x:c r="V78" s="26"/>
      <x:c r="W78" s="26" t="n">
        <x:v>1</x:v>
      </x:c>
      <x:c r="X78" s="26" t="n">
        <x:v>0</x:v>
      </x:c>
      <x:c r="Y78" s="26" t="n">
        <x:v>1</x:v>
      </x:c>
      <x:c r="Z78" s="26" t="n">
        <x:v>0</x:v>
      </x:c>
      <x:c r="AA78" s="26" t="n">
        <x:v>1</x:v>
      </x:c>
      <x:c r="AB78" s="38" t="n">
        <x:v>0</x:v>
      </x:c>
      <x:c r="AC78" s="26" t="str">
        <x:v>Committed / Not Delivered</x:v>
      </x:c>
      <x:c r="AD78" s="26" t="str">
        <x:v>Approval not recorded in response</x:v>
      </x:c>
      <x:c r="AE78" s="27" t="b">
        <x:v>1</x:v>
      </x:c>
      <x:c r="AF78" s="34" t="n">
        <x:v>46219.41038194444</x:v>
      </x:c>
      <x:c r="AG78" s="34"/>
      <x:c r="AH78" s="26" t="str">
        <x:v>Contribution API fields only; original project JSON needed for line-item names/centres/category</x:v>
      </x:c>
      <x:c r="AI78" s="26" t="str"/>
      <x:c r="AJ78" s="26" t="str">
        <x:v>Not Started</x:v>
      </x:c>
      <x:c r="AK78" s="26" t="str"/>
      <x:c r="AL78" s="26" t="str"/>
    </x:row>
    <x:row r="79">
      <x:c r="A79" s="26" t="n">
        <x:v>126</x:v>
      </x:c>
      <x:c r="B79" s="26" t="n">
        <x:v>166</x:v>
      </x:c>
      <x:c r="C79" s="26" t="str">
        <x:v>Kumuram Bheem Asifabad</x:v>
      </x:c>
      <x:c r="D79" s="26" t="str">
        <x:v>Telangana</x:v>
      </x:c>
      <x:c r="E79" s="26" t="n">
        <x:v>5279</x:v>
      </x:c>
      <x:c r="F79" s="26" t="str">
        <x:v>PRJ-2026-0005279</x:v>
      </x:c>
      <x:c r="G79" s="26" t="str">
        <x:v>Upgradation of Anganwadi </x:v>
      </x:c>
      <x:c r="H79" s="26" t="str">
        <x:v>Mission Saksham Anganwadi &amp; POSHAN 2.0</x:v>
      </x:c>
      <x:c r="I79" s="32" t="n">
        <x:v>46163</x:v>
      </x:c>
      <x:c r="J79" s="32" t="n">
        <x:v>46254</x:v>
      </x:c>
      <x:c r="K79" s="32"/>
      <x:c r="L79" s="26" t="str">
        <x:v>Active: On/After 01-Aug-2026</x:v>
      </x:c>
      <x:c r="M79" s="26" t="str">
        <x:v>Pending Mapping</x:v>
      </x:c>
      <x:c r="N79" s="26" t="str">
        <x:v>Original project JSON not available</x:v>
      </x:c>
      <x:c r="O79" s="26"/>
      <x:c r="P79" s="26" t="str"/>
      <x:c r="Q79" s="26" t="str"/>
      <x:c r="R79" s="26"/>
      <x:c r="S79" s="36"/>
      <x:c r="T79" s="26"/>
      <x:c r="U79" s="26"/>
      <x:c r="V79" s="26"/>
      <x:c r="W79" s="26" t="n">
        <x:v>1</x:v>
      </x:c>
      <x:c r="X79" s="26" t="n">
        <x:v>0</x:v>
      </x:c>
      <x:c r="Y79" s="26" t="n">
        <x:v>2</x:v>
      </x:c>
      <x:c r="Z79" s="26" t="n">
        <x:v>0</x:v>
      </x:c>
      <x:c r="AA79" s="26" t="n">
        <x:v>2</x:v>
      </x:c>
      <x:c r="AB79" s="38" t="n">
        <x:v>0</x:v>
      </x:c>
      <x:c r="AC79" s="26" t="str">
        <x:v>Committed / Not Delivered</x:v>
      </x:c>
      <x:c r="AD79" s="26" t="str">
        <x:v>Approval not recorded in response</x:v>
      </x:c>
      <x:c r="AE79" s="27" t="b">
        <x:v>1</x:v>
      </x:c>
      <x:c r="AF79" s="34" t="n">
        <x:v>46219.41038194444</x:v>
      </x:c>
      <x:c r="AG79" s="34"/>
      <x:c r="AH79" s="26" t="str">
        <x:v>Contribution API fields only; original project JSON needed for line-item names/centres/category</x:v>
      </x:c>
      <x:c r="AI79" s="26" t="str"/>
      <x:c r="AJ79" s="26" t="str">
        <x:v>Not Started</x:v>
      </x:c>
      <x:c r="AK79" s="26" t="str"/>
      <x:c r="AL79" s="26" t="str"/>
    </x:row>
    <x:row r="80">
      <x:c r="A80" s="26" t="n">
        <x:v>127</x:v>
      </x:c>
      <x:c r="B80" s="26" t="n">
        <x:v>167</x:v>
      </x:c>
      <x:c r="C80" s="26" t="str">
        <x:v>Kumuram Bheem Asifabad</x:v>
      </x:c>
      <x:c r="D80" s="26" t="str">
        <x:v>Telangana</x:v>
      </x:c>
      <x:c r="E80" s="26" t="n">
        <x:v>5725</x:v>
      </x:c>
      <x:c r="F80" s="26" t="str">
        <x:v>PRJ-2026-0005725</x:v>
      </x:c>
      <x:c r="G80" s="26" t="str">
        <x:v>Upgradation of Anganwadies</x:v>
      </x:c>
      <x:c r="H80" s="26" t="str">
        <x:v>Mission Saksham Anganwadi &amp; POSHAN 2.0</x:v>
      </x:c>
      <x:c r="I80" s="32" t="n">
        <x:v>46163</x:v>
      </x:c>
      <x:c r="J80" s="32" t="n">
        <x:v>46255</x:v>
      </x:c>
      <x:c r="K80" s="32"/>
      <x:c r="L80" s="26" t="str">
        <x:v>Active: On/After 01-Aug-2026</x:v>
      </x:c>
      <x:c r="M80" s="26" t="str">
        <x:v>Pending Mapping</x:v>
      </x:c>
      <x:c r="N80" s="26" t="str">
        <x:v>Original project JSON not available</x:v>
      </x:c>
      <x:c r="O80" s="26"/>
      <x:c r="P80" s="26" t="str"/>
      <x:c r="Q80" s="26" t="str"/>
      <x:c r="R80" s="26"/>
      <x:c r="S80" s="36"/>
      <x:c r="T80" s="26"/>
      <x:c r="U80" s="26"/>
      <x:c r="V80" s="26"/>
      <x:c r="W80" s="26" t="n">
        <x:v>2</x:v>
      </x:c>
      <x:c r="X80" s="26" t="n">
        <x:v>0</x:v>
      </x:c>
      <x:c r="Y80" s="26" t="n">
        <x:v>12</x:v>
      </x:c>
      <x:c r="Z80" s="26" t="n">
        <x:v>0</x:v>
      </x:c>
      <x:c r="AA80" s="26" t="n">
        <x:v>12</x:v>
      </x:c>
      <x:c r="AB80" s="38" t="n">
        <x:v>0</x:v>
      </x:c>
      <x:c r="AC80" s="26" t="str">
        <x:v>Committed / Not Delivered</x:v>
      </x:c>
      <x:c r="AD80" s="26" t="str">
        <x:v>Approval not recorded in response</x:v>
      </x:c>
      <x:c r="AE80" s="27" t="b">
        <x:v>1</x:v>
      </x:c>
      <x:c r="AF80" s="34" t="n">
        <x:v>46219.41037037037</x:v>
      </x:c>
      <x:c r="AG80" s="34"/>
      <x:c r="AH80" s="26" t="str">
        <x:v>Contribution API fields only; original project JSON needed for line-item names/centres/category</x:v>
      </x:c>
      <x:c r="AI80" s="26" t="str"/>
      <x:c r="AJ80" s="26" t="str">
        <x:v>Not Started</x:v>
      </x:c>
      <x:c r="AK80" s="26" t="str"/>
      <x:c r="AL80" s="26" t="str"/>
    </x:row>
    <x:row r="81">
      <x:c r="A81" s="26" t="n">
        <x:v>128</x:v>
      </x:c>
      <x:c r="B81" s="26" t="n">
        <x:v>180</x:v>
      </x:c>
      <x:c r="C81" s="26" t="str">
        <x:v>Kumuram Bheem Asifabad</x:v>
      </x:c>
      <x:c r="D81" s="26" t="str">
        <x:v>Telangana</x:v>
      </x:c>
      <x:c r="E81" s="26" t="n">
        <x:v>9159</x:v>
      </x:c>
      <x:c r="F81" s="26" t="str">
        <x:v>PRJ-2026-0009159</x:v>
      </x:c>
      <x:c r="G81" s="26" t="str">
        <x:v>Proposal for upgradation of Anganwadi centre</x:v>
      </x:c>
      <x:c r="H81" s="26" t="str">
        <x:v>Mission Saksham Anganwadi &amp; POSHAN 2.0</x:v>
      </x:c>
      <x:c r="I81" s="32" t="n">
        <x:v>46164</x:v>
      </x:c>
      <x:c r="J81" s="32" t="n">
        <x:v>46295</x:v>
      </x:c>
      <x:c r="K81" s="32"/>
      <x:c r="L81" s="26" t="str">
        <x:v>Active: On/After 01-Aug-2026</x:v>
      </x:c>
      <x:c r="M81" s="26" t="str">
        <x:v>Pending Mapping</x:v>
      </x:c>
      <x:c r="N81" s="26" t="str">
        <x:v>Original project JSON not available</x:v>
      </x:c>
      <x:c r="O81" s="26"/>
      <x:c r="P81" s="26" t="str"/>
      <x:c r="Q81" s="26" t="str"/>
      <x:c r="R81" s="26"/>
      <x:c r="S81" s="36"/>
      <x:c r="T81" s="26"/>
      <x:c r="U81" s="26"/>
      <x:c r="V81" s="26"/>
      <x:c r="W81" s="26" t="n">
        <x:v>4</x:v>
      </x:c>
      <x:c r="X81" s="26" t="n">
        <x:v>0</x:v>
      </x:c>
      <x:c r="Y81" s="26" t="n">
        <x:v>8</x:v>
      </x:c>
      <x:c r="Z81" s="26" t="n">
        <x:v>0</x:v>
      </x:c>
      <x:c r="AA81" s="26" t="n">
        <x:v>8</x:v>
      </x:c>
      <x:c r="AB81" s="38" t="n">
        <x:v>0</x:v>
      </x:c>
      <x:c r="AC81" s="26" t="str">
        <x:v>Committed / Not Delivered</x:v>
      </x:c>
      <x:c r="AD81" s="26" t="str">
        <x:v>Approval not recorded in response</x:v>
      </x:c>
      <x:c r="AE81" s="27" t="b">
        <x:v>1</x:v>
      </x:c>
      <x:c r="AF81" s="34" t="n">
        <x:v>46219.40943287037</x:v>
      </x:c>
      <x:c r="AG81" s="34"/>
      <x:c r="AH81" s="26" t="str">
        <x:v>Contribution API fields only; original project JSON needed for line-item names/centres/category</x:v>
      </x:c>
      <x:c r="AI81" s="26" t="str"/>
      <x:c r="AJ81" s="26" t="str">
        <x:v>Not Started</x:v>
      </x:c>
      <x:c r="AK81" s="26" t="str"/>
      <x:c r="AL81" s="26" t="str"/>
    </x:row>
    <x:row r="82">
      <x:c r="A82" s="26" t="n">
        <x:v>129</x:v>
      </x:c>
      <x:c r="B82" s="26" t="n">
        <x:v>181</x:v>
      </x:c>
      <x:c r="C82" s="26" t="str">
        <x:v>Kumuram Bheem Asifabad</x:v>
      </x:c>
      <x:c r="D82" s="26" t="str">
        <x:v>Telangana</x:v>
      </x:c>
      <x:c r="E82" s="26" t="n">
        <x:v>9651</x:v>
      </x:c>
      <x:c r="F82" s="26" t="str">
        <x:v>PRJ-2026-0009651</x:v>
      </x:c>
      <x:c r="G82" s="26" t="str">
        <x:v>Proposal for upgradation of Anganwadi centre</x:v>
      </x:c>
      <x:c r="H82" s="26" t="str">
        <x:v>Mission Saksham Anganwadi &amp; POSHAN 2.0</x:v>
      </x:c>
      <x:c r="I82" s="32" t="n">
        <x:v>46164</x:v>
      </x:c>
      <x:c r="J82" s="32" t="n">
        <x:v>46295</x:v>
      </x:c>
      <x:c r="K82" s="32"/>
      <x:c r="L82" s="26" t="str">
        <x:v>Active: On/After 01-Aug-2026</x:v>
      </x:c>
      <x:c r="M82" s="26" t="str">
        <x:v>Pending Mapping</x:v>
      </x:c>
      <x:c r="N82" s="26" t="str">
        <x:v>Original project JSON not available</x:v>
      </x:c>
      <x:c r="O82" s="26"/>
      <x:c r="P82" s="26" t="str"/>
      <x:c r="Q82" s="26" t="str"/>
      <x:c r="R82" s="26"/>
      <x:c r="S82" s="36"/>
      <x:c r="T82" s="26"/>
      <x:c r="U82" s="26"/>
      <x:c r="V82" s="26"/>
      <x:c r="W82" s="26" t="n">
        <x:v>5</x:v>
      </x:c>
      <x:c r="X82" s="26" t="n">
        <x:v>0</x:v>
      </x:c>
      <x:c r="Y82" s="26" t="n">
        <x:v>23</x:v>
      </x:c>
      <x:c r="Z82" s="26" t="n">
        <x:v>0</x:v>
      </x:c>
      <x:c r="AA82" s="26" t="n">
        <x:v>23</x:v>
      </x:c>
      <x:c r="AB82" s="38" t="n">
        <x:v>0</x:v>
      </x:c>
      <x:c r="AC82" s="26" t="str">
        <x:v>Committed / Not Delivered</x:v>
      </x:c>
      <x:c r="AD82" s="26" t="str">
        <x:v>Approval not recorded in response</x:v>
      </x:c>
      <x:c r="AE82" s="27" t="b">
        <x:v>1</x:v>
      </x:c>
      <x:c r="AF82" s="34" t="n">
        <x:v>46219.40943287037</x:v>
      </x:c>
      <x:c r="AG82" s="34"/>
      <x:c r="AH82" s="26" t="str">
        <x:v>Contribution API fields only; original project JSON needed for line-item names/centres/category</x:v>
      </x:c>
      <x:c r="AI82" s="26" t="str"/>
      <x:c r="AJ82" s="26" t="str">
        <x:v>Not Started</x:v>
      </x:c>
      <x:c r="AK82" s="26" t="str"/>
      <x:c r="AL82" s="26" t="str"/>
    </x:row>
    <x:row r="83">
      <x:c r="A83" s="26" t="n">
        <x:v>130</x:v>
      </x:c>
      <x:c r="B83" s="26" t="n">
        <x:v>182</x:v>
      </x:c>
      <x:c r="C83" s="26" t="str">
        <x:v>Kumuram Bheem Asifabad</x:v>
      </x:c>
      <x:c r="D83" s="26" t="str">
        <x:v>Telangana</x:v>
      </x:c>
      <x:c r="E83" s="26" t="n">
        <x:v>9717</x:v>
      </x:c>
      <x:c r="F83" s="26" t="str">
        <x:v>PRJ-2026-0009717</x:v>
      </x:c>
      <x:c r="G83" s="26" t="str">
        <x:v>Proposal for Upgradation of Anganwadi centre</x:v>
      </x:c>
      <x:c r="H83" s="26" t="str">
        <x:v>Mission Saksham Anganwadi &amp; POSHAN 2.0</x:v>
      </x:c>
      <x:c r="I83" s="32" t="n">
        <x:v>46164</x:v>
      </x:c>
      <x:c r="J83" s="32" t="n">
        <x:v>46295</x:v>
      </x:c>
      <x:c r="K83" s="32"/>
      <x:c r="L83" s="26" t="str">
        <x:v>Active: On/After 01-Aug-2026</x:v>
      </x:c>
      <x:c r="M83" s="26" t="str">
        <x:v>Pending Mapping</x:v>
      </x:c>
      <x:c r="N83" s="26" t="str">
        <x:v>Original project JSON not available</x:v>
      </x:c>
      <x:c r="O83" s="26"/>
      <x:c r="P83" s="26" t="str"/>
      <x:c r="Q83" s="26" t="str"/>
      <x:c r="R83" s="26"/>
      <x:c r="S83" s="36"/>
      <x:c r="T83" s="26"/>
      <x:c r="U83" s="26"/>
      <x:c r="V83" s="26"/>
      <x:c r="W83" s="26" t="n">
        <x:v>4</x:v>
      </x:c>
      <x:c r="X83" s="26" t="n">
        <x:v>0</x:v>
      </x:c>
      <x:c r="Y83" s="26" t="n">
        <x:v>8</x:v>
      </x:c>
      <x:c r="Z83" s="26" t="n">
        <x:v>0</x:v>
      </x:c>
      <x:c r="AA83" s="26" t="n">
        <x:v>8</x:v>
      </x:c>
      <x:c r="AB83" s="38" t="n">
        <x:v>0</x:v>
      </x:c>
      <x:c r="AC83" s="26" t="str">
        <x:v>Committed / Not Delivered</x:v>
      </x:c>
      <x:c r="AD83" s="26" t="str">
        <x:v>Approval not recorded in response</x:v>
      </x:c>
      <x:c r="AE83" s="27" t="b">
        <x:v>1</x:v>
      </x:c>
      <x:c r="AF83" s="34" t="n">
        <x:v>46219.409421296295</x:v>
      </x:c>
      <x:c r="AG83" s="34"/>
      <x:c r="AH83" s="26" t="str">
        <x:v>Contribution API fields only; original project JSON needed for line-item names/centres/category</x:v>
      </x:c>
      <x:c r="AI83" s="26" t="str"/>
      <x:c r="AJ83" s="26" t="str">
        <x:v>Not Started</x:v>
      </x:c>
      <x:c r="AK83" s="26" t="str"/>
      <x:c r="AL83" s="26" t="str"/>
    </x:row>
    <x:row r="84">
      <x:c r="A84" s="26" t="n">
        <x:v>131</x:v>
      </x:c>
      <x:c r="B84" s="26" t="n">
        <x:v>183</x:v>
      </x:c>
      <x:c r="C84" s="26" t="str">
        <x:v>Kumuram Bheem Asifabad</x:v>
      </x:c>
      <x:c r="D84" s="26" t="str">
        <x:v>Telangana</x:v>
      </x:c>
      <x:c r="E84" s="26" t="n">
        <x:v>9810</x:v>
      </x:c>
      <x:c r="F84" s="26" t="str">
        <x:v>PRJ-2026-0009810</x:v>
      </x:c>
      <x:c r="G84" s="26" t="str">
        <x:v>Proposal for upgradation of Anganwadi centre</x:v>
      </x:c>
      <x:c r="H84" s="26" t="str">
        <x:v>Mission Saksham Anganwadi &amp; POSHAN 2.0</x:v>
      </x:c>
      <x:c r="I84" s="32" t="n">
        <x:v>46164</x:v>
      </x:c>
      <x:c r="J84" s="32" t="n">
        <x:v>46295</x:v>
      </x:c>
      <x:c r="K84" s="32"/>
      <x:c r="L84" s="26" t="str">
        <x:v>Active: On/After 01-Aug-2026</x:v>
      </x:c>
      <x:c r="M84" s="26" t="str">
        <x:v>Pending Mapping</x:v>
      </x:c>
      <x:c r="N84" s="26" t="str">
        <x:v>Original project JSON not available</x:v>
      </x:c>
      <x:c r="O84" s="26"/>
      <x:c r="P84" s="26" t="str"/>
      <x:c r="Q84" s="26" t="str"/>
      <x:c r="R84" s="26"/>
      <x:c r="S84" s="36"/>
      <x:c r="T84" s="26"/>
      <x:c r="U84" s="26"/>
      <x:c r="V84" s="26"/>
      <x:c r="W84" s="26" t="n">
        <x:v>5</x:v>
      </x:c>
      <x:c r="X84" s="26" t="n">
        <x:v>0</x:v>
      </x:c>
      <x:c r="Y84" s="26" t="n">
        <x:v>23</x:v>
      </x:c>
      <x:c r="Z84" s="26" t="n">
        <x:v>0</x:v>
      </x:c>
      <x:c r="AA84" s="26" t="n">
        <x:v>23</x:v>
      </x:c>
      <x:c r="AB84" s="38" t="n">
        <x:v>0</x:v>
      </x:c>
      <x:c r="AC84" s="26" t="str">
        <x:v>Committed / Not Delivered</x:v>
      </x:c>
      <x:c r="AD84" s="26" t="str">
        <x:v>Approval not recorded in response</x:v>
      </x:c>
      <x:c r="AE84" s="27" t="b">
        <x:v>1</x:v>
      </x:c>
      <x:c r="AF84" s="34" t="n">
        <x:v>46219.40940972222</x:v>
      </x:c>
      <x:c r="AG84" s="34"/>
      <x:c r="AH84" s="26" t="str">
        <x:v>Contribution API fields only; original project JSON needed for line-item names/centres/category</x:v>
      </x:c>
      <x:c r="AI84" s="26" t="str"/>
      <x:c r="AJ84" s="26" t="str">
        <x:v>Not Started</x:v>
      </x:c>
      <x:c r="AK84" s="26" t="str"/>
      <x:c r="AL84" s="26" t="str"/>
    </x:row>
    <x:row r="85">
      <x:c r="A85" s="26" t="n">
        <x:v>132</x:v>
      </x:c>
      <x:c r="B85" s="26" t="n">
        <x:v>187</x:v>
      </x:c>
      <x:c r="C85" s="26" t="str">
        <x:v>Kumuram Bheem Asifabad</x:v>
      </x:c>
      <x:c r="D85" s="26" t="str">
        <x:v>Telangana</x:v>
      </x:c>
      <x:c r="E85" s="26" t="n">
        <x:v>10421</x:v>
      </x:c>
      <x:c r="F85" s="26" t="str">
        <x:v>PRJ-2026-0010421</x:v>
      </x:c>
      <x:c r="G85" s="26" t="str">
        <x:v>Water filter, gas stove, ECCE metirial </x:v>
      </x:c>
      <x:c r="H85" s="26" t="str">
        <x:v>Mission Saksham Anganwadi &amp; POSHAN 2.0</x:v>
      </x:c>
      <x:c r="I85" s="32" t="n">
        <x:v>46164</x:v>
      </x:c>
      <x:c r="J85" s="32" t="n">
        <x:v>46265</x:v>
      </x:c>
      <x:c r="K85" s="32"/>
      <x:c r="L85" s="26" t="str">
        <x:v>Active: On/After 01-Aug-2026</x:v>
      </x:c>
      <x:c r="M85" s="26" t="str">
        <x:v>Pending Mapping</x:v>
      </x:c>
      <x:c r="N85" s="26" t="str">
        <x:v>Original project JSON not available</x:v>
      </x:c>
      <x:c r="O85" s="26"/>
      <x:c r="P85" s="26" t="str"/>
      <x:c r="Q85" s="26" t="str"/>
      <x:c r="R85" s="26"/>
      <x:c r="S85" s="36"/>
      <x:c r="T85" s="26"/>
      <x:c r="U85" s="26"/>
      <x:c r="V85" s="26"/>
      <x:c r="W85" s="26" t="n">
        <x:v>2</x:v>
      </x:c>
      <x:c r="X85" s="26" t="n">
        <x:v>0</x:v>
      </x:c>
      <x:c r="Y85" s="26" t="n">
        <x:v>2</x:v>
      </x:c>
      <x:c r="Z85" s="26" t="n">
        <x:v>0</x:v>
      </x:c>
      <x:c r="AA85" s="26" t="n">
        <x:v>2</x:v>
      </x:c>
      <x:c r="AB85" s="38" t="n">
        <x:v>0</x:v>
      </x:c>
      <x:c r="AC85" s="26" t="str">
        <x:v>Committed / Not Delivered</x:v>
      </x:c>
      <x:c r="AD85" s="26" t="str">
        <x:v>Approval not recorded in response</x:v>
      </x:c>
      <x:c r="AE85" s="27" t="b">
        <x:v>1</x:v>
      </x:c>
      <x:c r="AF85" s="34" t="n">
        <x:v>46219.40938657407</x:v>
      </x:c>
      <x:c r="AG85" s="34"/>
      <x:c r="AH85" s="26" t="str">
        <x:v>Contribution API fields only; original project JSON needed for line-item names/centres/category</x:v>
      </x:c>
      <x:c r="AI85" s="26" t="str"/>
      <x:c r="AJ85" s="26" t="str">
        <x:v>Not Started</x:v>
      </x:c>
      <x:c r="AK85" s="26" t="str"/>
      <x:c r="AL85" s="26" t="str"/>
    </x:row>
    <x:row r="86">
      <x:c r="A86" s="26" t="n">
        <x:v>133</x:v>
      </x:c>
      <x:c r="B86" s="26" t="n">
        <x:v>188</x:v>
      </x:c>
      <x:c r="C86" s="26" t="str">
        <x:v>Kumuram Bheem Asifabad</x:v>
      </x:c>
      <x:c r="D86" s="26" t="str">
        <x:v>Telangana</x:v>
      </x:c>
      <x:c r="E86" s="26" t="n">
        <x:v>10521</x:v>
      </x:c>
      <x:c r="F86" s="26" t="str">
        <x:v>PRJ-2026-0010521</x:v>
      </x:c>
      <x:c r="G86" s="26" t="str">
        <x:v>Water filter, ECCE metirial </x:v>
      </x:c>
      <x:c r="H86" s="26" t="str">
        <x:v>Mission Saksham Anganwadi &amp; POSHAN 2.0</x:v>
      </x:c>
      <x:c r="I86" s="32" t="n">
        <x:v>46164</x:v>
      </x:c>
      <x:c r="J86" s="32" t="n">
        <x:v>46265</x:v>
      </x:c>
      <x:c r="K86" s="32"/>
      <x:c r="L86" s="26" t="str">
        <x:v>Active: On/After 01-Aug-2026</x:v>
      </x:c>
      <x:c r="M86" s="26" t="str">
        <x:v>Pending Mapping</x:v>
      </x:c>
      <x:c r="N86" s="26" t="str">
        <x:v>Original project JSON not available</x:v>
      </x:c>
      <x:c r="O86" s="26"/>
      <x:c r="P86" s="26" t="str"/>
      <x:c r="Q86" s="26" t="str"/>
      <x:c r="R86" s="26"/>
      <x:c r="S86" s="36"/>
      <x:c r="T86" s="26"/>
      <x:c r="U86" s="26"/>
      <x:c r="V86" s="26"/>
      <x:c r="W86" s="26" t="n">
        <x:v>5</x:v>
      </x:c>
      <x:c r="X86" s="26" t="n">
        <x:v>0</x:v>
      </x:c>
      <x:c r="Y86" s="26" t="n">
        <x:v>8</x:v>
      </x:c>
      <x:c r="Z86" s="26" t="n">
        <x:v>0</x:v>
      </x:c>
      <x:c r="AA86" s="26" t="n">
        <x:v>8</x:v>
      </x:c>
      <x:c r="AB86" s="38" t="n">
        <x:v>0</x:v>
      </x:c>
      <x:c r="AC86" s="26" t="str">
        <x:v>Committed / Not Delivered</x:v>
      </x:c>
      <x:c r="AD86" s="26" t="str">
        <x:v>Approval not recorded in response</x:v>
      </x:c>
      <x:c r="AE86" s="27" t="b">
        <x:v>1</x:v>
      </x:c>
      <x:c r="AF86" s="34" t="n">
        <x:v>46219.409375</x:v>
      </x:c>
      <x:c r="AG86" s="34"/>
      <x:c r="AH86" s="26" t="str">
        <x:v>Contribution API fields only; original project JSON needed for line-item names/centres/category</x:v>
      </x:c>
      <x:c r="AI86" s="26" t="str"/>
      <x:c r="AJ86" s="26" t="str">
        <x:v>Not Started</x:v>
      </x:c>
      <x:c r="AK86" s="26" t="str"/>
      <x:c r="AL86" s="26" t="str"/>
    </x:row>
    <x:row r="87">
      <x:c r="A87" s="26" t="n">
        <x:v>134</x:v>
      </x:c>
      <x:c r="B87" s="26" t="n">
        <x:v>130</x:v>
      </x:c>
      <x:c r="C87" s="26" t="str">
        <x:v>Siddipet</x:v>
      </x:c>
      <x:c r="D87" s="26" t="str">
        <x:v>Telangana</x:v>
      </x:c>
      <x:c r="E87" s="26" t="n">
        <x:v>3649</x:v>
      </x:c>
      <x:c r="F87" s="26" t="str">
        <x:v>PRJ-2026-0003649</x:v>
      </x:c>
      <x:c r="G87" s="26" t="str">
        <x:v>doulthabad 1 requirement</x:v>
      </x:c>
      <x:c r="H87" s="26" t="str">
        <x:v>Mission Saksham Anganwadi &amp; POSHAN 2.0</x:v>
      </x:c>
      <x:c r="I87" s="32" t="n">
        <x:v>46200</x:v>
      </x:c>
      <x:c r="J87" s="32" t="n">
        <x:v>46326</x:v>
      </x:c>
      <x:c r="K87" s="32"/>
      <x:c r="L87" s="26" t="str">
        <x:v>Active: On/After 01-Aug-2026</x:v>
      </x:c>
      <x:c r="M87" s="26" t="str">
        <x:v>Pending Mapping</x:v>
      </x:c>
      <x:c r="N87" s="26" t="str">
        <x:v>Original project JSON not available</x:v>
      </x:c>
      <x:c r="O87" s="26"/>
      <x:c r="P87" s="26" t="str"/>
      <x:c r="Q87" s="26" t="str"/>
      <x:c r="R87" s="26"/>
      <x:c r="S87" s="36"/>
      <x:c r="T87" s="26"/>
      <x:c r="U87" s="26"/>
      <x:c r="V87" s="26"/>
      <x:c r="W87" s="26" t="n">
        <x:v>3</x:v>
      </x:c>
      <x:c r="X87" s="26" t="n">
        <x:v>0</x:v>
      </x:c>
      <x:c r="Y87" s="26" t="n">
        <x:v>3</x:v>
      </x:c>
      <x:c r="Z87" s="26" t="n">
        <x:v>0</x:v>
      </x:c>
      <x:c r="AA87" s="26" t="n">
        <x:v>3</x:v>
      </x:c>
      <x:c r="AB87" s="38" t="n">
        <x:v>0</x:v>
      </x:c>
      <x:c r="AC87" s="26" t="str">
        <x:v>Committed / Not Delivered</x:v>
      </x:c>
      <x:c r="AD87" s="26" t="str">
        <x:v>Approval not recorded in response</x:v>
      </x:c>
      <x:c r="AE87" s="27" t="b">
        <x:v>1</x:v>
      </x:c>
      <x:c r="AF87" s="34" t="n">
        <x:v>46219.40523148148</x:v>
      </x:c>
      <x:c r="AG87" s="34"/>
      <x:c r="AH87" s="26" t="str">
        <x:v>Contribution API fields only; original project JSON needed for line-item names/centres/category</x:v>
      </x:c>
      <x:c r="AI87" s="26" t="str"/>
      <x:c r="AJ87" s="26" t="str">
        <x:v>Not Started</x:v>
      </x:c>
      <x:c r="AK87" s="26" t="str"/>
      <x:c r="AL87" s="26" t="str"/>
    </x:row>
    <x:row r="88">
      <x:c r="A88" s="26" t="n">
        <x:v>135</x:v>
      </x:c>
      <x:c r="B88" s="26" t="n">
        <x:v>129</x:v>
      </x:c>
      <x:c r="C88" s="26" t="str">
        <x:v>Kumuram Bheem Asifabad</x:v>
      </x:c>
      <x:c r="D88" s="26" t="str">
        <x:v>Telangana</x:v>
      </x:c>
      <x:c r="E88" s="26" t="n">
        <x:v>4191</x:v>
      </x:c>
      <x:c r="F88" s="26" t="str">
        <x:v>PRJ-2026-0004191</x:v>
      </x:c>
      <x:c r="G88" s="26" t="str">
        <x:v>water filter</x:v>
      </x:c>
      <x:c r="H88" s="26" t="str">
        <x:v>Mission Saksham Anganwadi &amp; POSHAN 2.0</x:v>
      </x:c>
      <x:c r="I88" s="32" t="n">
        <x:v>46163</x:v>
      </x:c>
      <x:c r="J88" s="32" t="n">
        <x:v>46316</x:v>
      </x:c>
      <x:c r="K88" s="32"/>
      <x:c r="L88" s="26" t="str">
        <x:v>Active: On/After 01-Aug-2026</x:v>
      </x:c>
      <x:c r="M88" s="26" t="str">
        <x:v>Pending Mapping</x:v>
      </x:c>
      <x:c r="N88" s="26" t="str">
        <x:v>Original project JSON not available</x:v>
      </x:c>
      <x:c r="O88" s="26"/>
      <x:c r="P88" s="26" t="str"/>
      <x:c r="Q88" s="26" t="str"/>
      <x:c r="R88" s="26"/>
      <x:c r="S88" s="36"/>
      <x:c r="T88" s="26"/>
      <x:c r="U88" s="26"/>
      <x:c r="V88" s="26"/>
      <x:c r="W88" s="26" t="n">
        <x:v>1</x:v>
      </x:c>
      <x:c r="X88" s="26" t="n">
        <x:v>0</x:v>
      </x:c>
      <x:c r="Y88" s="26" t="n">
        <x:v>1</x:v>
      </x:c>
      <x:c r="Z88" s="26" t="n">
        <x:v>0</x:v>
      </x:c>
      <x:c r="AA88" s="26" t="n">
        <x:v>1</x:v>
      </x:c>
      <x:c r="AB88" s="38" t="n">
        <x:v>0</x:v>
      </x:c>
      <x:c r="AC88" s="26" t="str">
        <x:v>Committed / Not Delivered</x:v>
      </x:c>
      <x:c r="AD88" s="26" t="str">
        <x:v>Approval not recorded in response</x:v>
      </x:c>
      <x:c r="AE88" s="27" t="b">
        <x:v>1</x:v>
      </x:c>
      <x:c r="AF88" s="34" t="n">
        <x:v>46219.38929398148</x:v>
      </x:c>
      <x:c r="AG88" s="34"/>
      <x:c r="AH88" s="26" t="str">
        <x:v>Contribution API fields only; original project JSON needed for line-item names/centres/category</x:v>
      </x:c>
      <x:c r="AI88" s="26" t="str"/>
      <x:c r="AJ88" s="26" t="str">
        <x:v>Not Started</x:v>
      </x:c>
      <x:c r="AK88" s="26" t="str"/>
      <x:c r="AL88" s="26" t="str"/>
    </x:row>
    <x:row r="89">
      <x:c r="A89" s="26" t="n">
        <x:v>136</x:v>
      </x:c>
      <x:c r="B89" s="26" t="n">
        <x:v>128</x:v>
      </x:c>
      <x:c r="C89" s="26" t="str">
        <x:v>Kumuram Bheem Asifabad</x:v>
      </x:c>
      <x:c r="D89" s="26" t="str">
        <x:v>Telangana</x:v>
      </x:c>
      <x:c r="E89" s="26" t="n">
        <x:v>144</x:v>
      </x:c>
      <x:c r="F89" s="26" t="str">
        <x:v>PRJ-2026-0000144</x:v>
      </x:c>
      <x:c r="G89" s="26" t="str">
        <x:v>Upgradation of Anganwadi center</x:v>
      </x:c>
      <x:c r="H89" s="26" t="str">
        <x:v>Mission Saksham Anganwadi &amp; POSHAN 2.0</x:v>
      </x:c>
      <x:c r="I89" s="32" t="n">
        <x:v>46162</x:v>
      </x:c>
      <x:c r="J89" s="32" t="n">
        <x:v>46254</x:v>
      </x:c>
      <x:c r="K89" s="32"/>
      <x:c r="L89" s="26" t="str">
        <x:v>Active: On/After 01-Aug-2026</x:v>
      </x:c>
      <x:c r="M89" s="26" t="str">
        <x:v>Pending Mapping</x:v>
      </x:c>
      <x:c r="N89" s="26" t="str">
        <x:v>Original project JSON not available</x:v>
      </x:c>
      <x:c r="O89" s="26"/>
      <x:c r="P89" s="26" t="str"/>
      <x:c r="Q89" s="26" t="str"/>
      <x:c r="R89" s="26"/>
      <x:c r="S89" s="36"/>
      <x:c r="T89" s="26"/>
      <x:c r="U89" s="26"/>
      <x:c r="V89" s="26"/>
      <x:c r="W89" s="26" t="n">
        <x:v>3</x:v>
      </x:c>
      <x:c r="X89" s="26" t="n">
        <x:v>0</x:v>
      </x:c>
      <x:c r="Y89" s="26" t="n">
        <x:v>9</x:v>
      </x:c>
      <x:c r="Z89" s="26" t="n">
        <x:v>0</x:v>
      </x:c>
      <x:c r="AA89" s="26" t="n">
        <x:v>9</x:v>
      </x:c>
      <x:c r="AB89" s="38" t="n">
        <x:v>0</x:v>
      </x:c>
      <x:c r="AC89" s="26" t="str">
        <x:v>Committed / Not Delivered</x:v>
      </x:c>
      <x:c r="AD89" s="26" t="str">
        <x:v>Approval not recorded in response</x:v>
      </x:c>
      <x:c r="AE89" s="27" t="b">
        <x:v>1</x:v>
      </x:c>
      <x:c r="AF89" s="34" t="n">
        <x:v>46219.37427083333</x:v>
      </x:c>
      <x:c r="AG89" s="34"/>
      <x:c r="AH89" s="26" t="str">
        <x:v>Contribution API fields only; original project JSON needed for line-item names/centres/category</x:v>
      </x:c>
      <x:c r="AI89" s="26" t="str"/>
      <x:c r="AJ89" s="26" t="str">
        <x:v>Not Started</x:v>
      </x:c>
      <x:c r="AK89" s="26" t="str"/>
      <x:c r="AL89" s="26" t="str"/>
    </x:row>
    <x:row r="90">
      <x:c r="A90" s="26" t="n">
        <x:v>137</x:v>
      </x:c>
      <x:c r="B90" s="26" t="n">
        <x:v>132</x:v>
      </x:c>
      <x:c r="C90" s="26" t="str">
        <x:v>Kumuram Bheem Asifabad</x:v>
      </x:c>
      <x:c r="D90" s="26" t="str">
        <x:v>Telangana</x:v>
      </x:c>
      <x:c r="E90" s="26" t="n">
        <x:v>82</x:v>
      </x:c>
      <x:c r="F90" s="26" t="str">
        <x:v>PRJ-2026-0000082</x:v>
      </x:c>
      <x:c r="G90" s="26" t="str">
        <x:v>Requirement of Water Filter, Door,Ramps</x:v>
      </x:c>
      <x:c r="H90" s="26" t="str">
        <x:v>Mission Saksham Anganwadi &amp; POSHAN 2.0</x:v>
      </x:c>
      <x:c r="I90" s="32" t="n">
        <x:v>46163</x:v>
      </x:c>
      <x:c r="J90" s="32" t="n">
        <x:v>46347</x:v>
      </x:c>
      <x:c r="K90" s="32"/>
      <x:c r="L90" s="26" t="str">
        <x:v>Active: On/After 01-Aug-2026</x:v>
      </x:c>
      <x:c r="M90" s="26" t="str">
        <x:v>Pending Mapping</x:v>
      </x:c>
      <x:c r="N90" s="26" t="str">
        <x:v>Original project JSON not available</x:v>
      </x:c>
      <x:c r="O90" s="26"/>
      <x:c r="P90" s="26" t="str"/>
      <x:c r="Q90" s="26" t="str"/>
      <x:c r="R90" s="26"/>
      <x:c r="S90" s="36"/>
      <x:c r="T90" s="26"/>
      <x:c r="U90" s="26"/>
      <x:c r="V90" s="26"/>
      <x:c r="W90" s="26" t="n">
        <x:v>2</x:v>
      </x:c>
      <x:c r="X90" s="26" t="n">
        <x:v>0</x:v>
      </x:c>
      <x:c r="Y90" s="26" t="n">
        <x:v>2</x:v>
      </x:c>
      <x:c r="Z90" s="26" t="n">
        <x:v>0</x:v>
      </x:c>
      <x:c r="AA90" s="26" t="n">
        <x:v>2</x:v>
      </x:c>
      <x:c r="AB90" s="38" t="n">
        <x:v>0</x:v>
      </x:c>
      <x:c r="AC90" s="26" t="str">
        <x:v>Committed / Not Delivered</x:v>
      </x:c>
      <x:c r="AD90" s="26" t="str">
        <x:v>Approval not recorded in response</x:v>
      </x:c>
      <x:c r="AE90" s="27" t="b">
        <x:v>1</x:v>
      </x:c>
      <x:c r="AF90" s="34" t="n">
        <x:v>46218.51111111111</x:v>
      </x:c>
      <x:c r="AG90" s="34"/>
      <x:c r="AH90" s="26" t="str">
        <x:v>Contribution API fields only; original project JSON needed for line-item names/centres/category</x:v>
      </x:c>
      <x:c r="AI90" s="26" t="str"/>
      <x:c r="AJ90" s="26" t="str">
        <x:v>Not Started</x:v>
      </x:c>
      <x:c r="AK90" s="26" t="str"/>
      <x:c r="AL90" s="26" t="str"/>
    </x:row>
    <x:row r="91">
      <x:c r="A91" s="26" t="n">
        <x:v>138</x:v>
      </x:c>
      <x:c r="B91" s="26" t="n">
        <x:v>134</x:v>
      </x:c>
      <x:c r="C91" s="26" t="str">
        <x:v>Kumuram Bheem Asifabad</x:v>
      </x:c>
      <x:c r="D91" s="26" t="str">
        <x:v>Telangana</x:v>
      </x:c>
      <x:c r="E91" s="26" t="n">
        <x:v>223</x:v>
      </x:c>
      <x:c r="F91" s="26" t="str">
        <x:v>PRJ-2026-0000223</x:v>
      </x:c>
      <x:c r="G91" s="26" t="str">
        <x:v>Requirement of Toilet, Water filter, Poshan Vatika, Solar panel</x:v>
      </x:c>
      <x:c r="H91" s="26" t="str">
        <x:v>Mission Saksham Anganwadi &amp; POSHAN 2.0</x:v>
      </x:c>
      <x:c r="I91" s="32" t="n">
        <x:v>46163</x:v>
      </x:c>
      <x:c r="J91" s="32" t="n">
        <x:v>46347</x:v>
      </x:c>
      <x:c r="K91" s="32"/>
      <x:c r="L91" s="26" t="str">
        <x:v>Active: On/After 01-Aug-2026</x:v>
      </x:c>
      <x:c r="M91" s="26" t="str">
        <x:v>Pending Mapping</x:v>
      </x:c>
      <x:c r="N91" s="26" t="str">
        <x:v>Original project JSON not available</x:v>
      </x:c>
      <x:c r="O91" s="26"/>
      <x:c r="P91" s="26" t="str"/>
      <x:c r="Q91" s="26" t="str"/>
      <x:c r="R91" s="26"/>
      <x:c r="S91" s="36"/>
      <x:c r="T91" s="26"/>
      <x:c r="U91" s="26"/>
      <x:c r="V91" s="26"/>
      <x:c r="W91" s="26" t="n">
        <x:v>4</x:v>
      </x:c>
      <x:c r="X91" s="26" t="n">
        <x:v>0</x:v>
      </x:c>
      <x:c r="Y91" s="26" t="n">
        <x:v>5</x:v>
      </x:c>
      <x:c r="Z91" s="26" t="n">
        <x:v>0</x:v>
      </x:c>
      <x:c r="AA91" s="26" t="n">
        <x:v>5</x:v>
      </x:c>
      <x:c r="AB91" s="38" t="n">
        <x:v>0</x:v>
      </x:c>
      <x:c r="AC91" s="26" t="str">
        <x:v>Committed / Not Delivered</x:v>
      </x:c>
      <x:c r="AD91" s="26" t="str">
        <x:v>Approval not recorded in response</x:v>
      </x:c>
      <x:c r="AE91" s="27" t="b">
        <x:v>1</x:v>
      </x:c>
      <x:c r="AF91" s="34" t="n">
        <x:v>46218.511087962965</x:v>
      </x:c>
      <x:c r="AG91" s="34"/>
      <x:c r="AH91" s="26" t="str">
        <x:v>Contribution API fields only; original project JSON needed for line-item names/centres/category</x:v>
      </x:c>
      <x:c r="AI91" s="26" t="str"/>
      <x:c r="AJ91" s="26" t="str">
        <x:v>Not Started</x:v>
      </x:c>
      <x:c r="AK91" s="26" t="str"/>
      <x:c r="AL91" s="26" t="str"/>
    </x:row>
    <x:row r="92">
      <x:c r="A92" s="26" t="n">
        <x:v>139</x:v>
      </x:c>
      <x:c r="B92" s="26" t="n">
        <x:v>135</x:v>
      </x:c>
      <x:c r="C92" s="26" t="str">
        <x:v>Kumuram Bheem Asifabad</x:v>
      </x:c>
      <x:c r="D92" s="26" t="str">
        <x:v>Telangana</x:v>
      </x:c>
      <x:c r="E92" s="26" t="n">
        <x:v>245</x:v>
      </x:c>
      <x:c r="F92" s="26" t="str">
        <x:v>PRJ-2026-0000245</x:v>
      </x:c>
      <x:c r="G92" s="26" t="str">
        <x:v>Requirement of Water Filter, ECCE, GMD, Gas stove &amp; Regulator</x:v>
      </x:c>
      <x:c r="H92" s="26" t="str">
        <x:v>Mission Saksham Anganwadi &amp; POSHAN 2.0</x:v>
      </x:c>
      <x:c r="I92" s="32" t="n">
        <x:v>46163</x:v>
      </x:c>
      <x:c r="J92" s="32" t="n">
        <x:v>46347</x:v>
      </x:c>
      <x:c r="K92" s="32"/>
      <x:c r="L92" s="26" t="str">
        <x:v>Active: On/After 01-Aug-2026</x:v>
      </x:c>
      <x:c r="M92" s="26" t="str">
        <x:v>Pending Mapping</x:v>
      </x:c>
      <x:c r="N92" s="26" t="str">
        <x:v>Original project JSON not available</x:v>
      </x:c>
      <x:c r="O92" s="26"/>
      <x:c r="P92" s="26" t="str"/>
      <x:c r="Q92" s="26" t="str"/>
      <x:c r="R92" s="26"/>
      <x:c r="S92" s="36"/>
      <x:c r="T92" s="26"/>
      <x:c r="U92" s="26"/>
      <x:c r="V92" s="26"/>
      <x:c r="W92" s="26" t="n">
        <x:v>3</x:v>
      </x:c>
      <x:c r="X92" s="26" t="n">
        <x:v>0</x:v>
      </x:c>
      <x:c r="Y92" s="26" t="n">
        <x:v>8</x:v>
      </x:c>
      <x:c r="Z92" s="26" t="n">
        <x:v>0</x:v>
      </x:c>
      <x:c r="AA92" s="26" t="n">
        <x:v>8</x:v>
      </x:c>
      <x:c r="AB92" s="38" t="n">
        <x:v>0</x:v>
      </x:c>
      <x:c r="AC92" s="26" t="str">
        <x:v>Committed / Not Delivered</x:v>
      </x:c>
      <x:c r="AD92" s="26" t="str">
        <x:v>Approval not recorded in response</x:v>
      </x:c>
      <x:c r="AE92" s="27" t="b">
        <x:v>1</x:v>
      </x:c>
      <x:c r="AF92" s="34" t="n">
        <x:v>46218.51107638889</x:v>
      </x:c>
      <x:c r="AG92" s="34"/>
      <x:c r="AH92" s="26" t="str">
        <x:v>Contribution API fields only; original project JSON needed for line-item names/centres/category</x:v>
      </x:c>
      <x:c r="AI92" s="26" t="str"/>
      <x:c r="AJ92" s="26" t="str">
        <x:v>Not Started</x:v>
      </x:c>
      <x:c r="AK92" s="26" t="str"/>
      <x:c r="AL92" s="26" t="str"/>
    </x:row>
    <x:row r="93">
      <x:c r="A93" s="26" t="n">
        <x:v>140</x:v>
      </x:c>
      <x:c r="B93" s="26" t="n">
        <x:v>136</x:v>
      </x:c>
      <x:c r="C93" s="26" t="str">
        <x:v>Kumuram Bheem Asifabad</x:v>
      </x:c>
      <x:c r="D93" s="26" t="str">
        <x:v>Telangana</x:v>
      </x:c>
      <x:c r="E93" s="26" t="n">
        <x:v>250</x:v>
      </x:c>
      <x:c r="F93" s="26" t="str">
        <x:v>PRJ-2026-0000250</x:v>
      </x:c>
      <x:c r="G93" s="26" t="str">
        <x:v>Requirement of Water Filter, Solar Panel, GMD</x:v>
      </x:c>
      <x:c r="H93" s="26" t="str">
        <x:v>Mission Saksham Anganwadi &amp; POSHAN 2.0</x:v>
      </x:c>
      <x:c r="I93" s="32" t="n">
        <x:v>46163</x:v>
      </x:c>
      <x:c r="J93" s="32" t="n">
        <x:v>46347</x:v>
      </x:c>
      <x:c r="K93" s="32"/>
      <x:c r="L93" s="26" t="str">
        <x:v>Active: On/After 01-Aug-2026</x:v>
      </x:c>
      <x:c r="M93" s="26" t="str">
        <x:v>Pending Mapping</x:v>
      </x:c>
      <x:c r="N93" s="26" t="str">
        <x:v>Original project JSON not available</x:v>
      </x:c>
      <x:c r="O93" s="26"/>
      <x:c r="P93" s="26" t="str"/>
      <x:c r="Q93" s="26" t="str"/>
      <x:c r="R93" s="26"/>
      <x:c r="S93" s="36"/>
      <x:c r="T93" s="26"/>
      <x:c r="U93" s="26"/>
      <x:c r="V93" s="26"/>
      <x:c r="W93" s="26" t="n">
        <x:v>2</x:v>
      </x:c>
      <x:c r="X93" s="26" t="n">
        <x:v>0</x:v>
      </x:c>
      <x:c r="Y93" s="26" t="n">
        <x:v>2</x:v>
      </x:c>
      <x:c r="Z93" s="26" t="n">
        <x:v>0</x:v>
      </x:c>
      <x:c r="AA93" s="26" t="n">
        <x:v>2</x:v>
      </x:c>
      <x:c r="AB93" s="38" t="n">
        <x:v>0</x:v>
      </x:c>
      <x:c r="AC93" s="26" t="str">
        <x:v>Committed / Not Delivered</x:v>
      </x:c>
      <x:c r="AD93" s="26" t="str">
        <x:v>Approval not recorded in response</x:v>
      </x:c>
      <x:c r="AE93" s="27" t="b">
        <x:v>1</x:v>
      </x:c>
      <x:c r="AF93" s="34" t="n">
        <x:v>46218.51106481482</x:v>
      </x:c>
      <x:c r="AG93" s="34"/>
      <x:c r="AH93" s="26" t="str">
        <x:v>Contribution API fields only; original project JSON needed for line-item names/centres/category</x:v>
      </x:c>
      <x:c r="AI93" s="26" t="str"/>
      <x:c r="AJ93" s="26" t="str">
        <x:v>Not Started</x:v>
      </x:c>
      <x:c r="AK93" s="26" t="str"/>
      <x:c r="AL93" s="26" t="str"/>
    </x:row>
    <x:row r="94">
      <x:c r="A94" s="26" t="n">
        <x:v>141</x:v>
      </x:c>
      <x:c r="B94" s="26" t="n">
        <x:v>137</x:v>
      </x:c>
      <x:c r="C94" s="26" t="str">
        <x:v>Kumuram Bheem Asifabad</x:v>
      </x:c>
      <x:c r="D94" s="26" t="str">
        <x:v>Telangana</x:v>
      </x:c>
      <x:c r="E94" s="26" t="n">
        <x:v>874</x:v>
      </x:c>
      <x:c r="F94" s="26" t="str">
        <x:v>PRJ-2026-0000874</x:v>
      </x:c>
      <x:c r="G94" s="26" t="str">
        <x:v>Materials(Balls, Dining, Hand wash)</x:v>
      </x:c>
      <x:c r="H94" s="26" t="str">
        <x:v>Mission Saksham Anganwadi &amp; POSHAN 2.0</x:v>
      </x:c>
      <x:c r="I94" s="32" t="n">
        <x:v>46163</x:v>
      </x:c>
      <x:c r="J94" s="32" t="n">
        <x:v>46316</x:v>
      </x:c>
      <x:c r="K94" s="32"/>
      <x:c r="L94" s="26" t="str">
        <x:v>Active: On/After 01-Aug-2026</x:v>
      </x:c>
      <x:c r="M94" s="26" t="str">
        <x:v>Pending Mapping</x:v>
      </x:c>
      <x:c r="N94" s="26" t="str">
        <x:v>Original project JSON not available</x:v>
      </x:c>
      <x:c r="O94" s="26"/>
      <x:c r="P94" s="26" t="str"/>
      <x:c r="Q94" s="26" t="str"/>
      <x:c r="R94" s="26"/>
      <x:c r="S94" s="36"/>
      <x:c r="T94" s="26"/>
      <x:c r="U94" s="26"/>
      <x:c r="V94" s="26"/>
      <x:c r="W94" s="26" t="n">
        <x:v>3</x:v>
      </x:c>
      <x:c r="X94" s="26" t="n">
        <x:v>0</x:v>
      </x:c>
      <x:c r="Y94" s="26" t="n">
        <x:v>29</x:v>
      </x:c>
      <x:c r="Z94" s="26" t="n">
        <x:v>0</x:v>
      </x:c>
      <x:c r="AA94" s="26" t="n">
        <x:v>29</x:v>
      </x:c>
      <x:c r="AB94" s="38" t="n">
        <x:v>0</x:v>
      </x:c>
      <x:c r="AC94" s="26" t="str">
        <x:v>Committed / Not Delivered</x:v>
      </x:c>
      <x:c r="AD94" s="26" t="str">
        <x:v>Approval not recorded in response</x:v>
      </x:c>
      <x:c r="AE94" s="27" t="b">
        <x:v>1</x:v>
      </x:c>
      <x:c r="AF94" s="34" t="n">
        <x:v>46218.51106481482</x:v>
      </x:c>
      <x:c r="AG94" s="34"/>
      <x:c r="AH94" s="26" t="str">
        <x:v>Contribution API fields only; original project JSON needed for line-item names/centres/category</x:v>
      </x:c>
      <x:c r="AI94" s="26" t="str"/>
      <x:c r="AJ94" s="26" t="str">
        <x:v>Not Started</x:v>
      </x:c>
      <x:c r="AK94" s="26" t="str"/>
      <x:c r="AL94" s="26" t="str"/>
    </x:row>
    <x:row r="95">
      <x:c r="A95" s="26" t="n">
        <x:v>142</x:v>
      </x:c>
      <x:c r="B95" s="26" t="n">
        <x:v>138</x:v>
      </x:c>
      <x:c r="C95" s="26" t="str">
        <x:v>Kumuram Bheem Asifabad</x:v>
      </x:c>
      <x:c r="D95" s="26" t="str">
        <x:v>Telangana</x:v>
      </x:c>
      <x:c r="E95" s="26" t="n">
        <x:v>1014</x:v>
      </x:c>
      <x:c r="F95" s="26" t="str">
        <x:v>PRJ-2026-0001014</x:v>
      </x:c>
      <x:c r="G95" s="26" t="str">
        <x:v>Materials(Swing Sets, Gardening Equipment, Seeds)  </x:v>
      </x:c>
      <x:c r="H95" s="26" t="str">
        <x:v>Mission Saksham Anganwadi &amp; POSHAN 2.0</x:v>
      </x:c>
      <x:c r="I95" s="32" t="n">
        <x:v>46163</x:v>
      </x:c>
      <x:c r="J95" s="32" t="n">
        <x:v>46316</x:v>
      </x:c>
      <x:c r="K95" s="32"/>
      <x:c r="L95" s="26" t="str">
        <x:v>Active: On/After 01-Aug-2026</x:v>
      </x:c>
      <x:c r="M95" s="26" t="str">
        <x:v>Pending Mapping</x:v>
      </x:c>
      <x:c r="N95" s="26" t="str">
        <x:v>Original project JSON not available</x:v>
      </x:c>
      <x:c r="O95" s="26"/>
      <x:c r="P95" s="26" t="str"/>
      <x:c r="Q95" s="26" t="str"/>
      <x:c r="R95" s="26"/>
      <x:c r="S95" s="36"/>
      <x:c r="T95" s="26"/>
      <x:c r="U95" s="26"/>
      <x:c r="V95" s="26"/>
      <x:c r="W95" s="26" t="n">
        <x:v>3</x:v>
      </x:c>
      <x:c r="X95" s="26" t="n">
        <x:v>0</x:v>
      </x:c>
      <x:c r="Y95" s="26" t="n">
        <x:v>15</x:v>
      </x:c>
      <x:c r="Z95" s="26" t="n">
        <x:v>0</x:v>
      </x:c>
      <x:c r="AA95" s="26" t="n">
        <x:v>15</x:v>
      </x:c>
      <x:c r="AB95" s="38" t="n">
        <x:v>0</x:v>
      </x:c>
      <x:c r="AC95" s="26" t="str">
        <x:v>Committed / Not Delivered</x:v>
      </x:c>
      <x:c r="AD95" s="26" t="str">
        <x:v>Approval not recorded in response</x:v>
      </x:c>
      <x:c r="AE95" s="27" t="b">
        <x:v>1</x:v>
      </x:c>
      <x:c r="AF95" s="34" t="n">
        <x:v>46218.51105324074</x:v>
      </x:c>
      <x:c r="AG95" s="34"/>
      <x:c r="AH95" s="26" t="str">
        <x:v>Contribution API fields only; original project JSON needed for line-item names/centres/category</x:v>
      </x:c>
      <x:c r="AI95" s="26" t="str"/>
      <x:c r="AJ95" s="26" t="str">
        <x:v>Not Started</x:v>
      </x:c>
      <x:c r="AK95" s="26" t="str"/>
      <x:c r="AL95" s="26" t="str"/>
    </x:row>
    <x:row r="96">
      <x:c r="A96" s="26" t="n">
        <x:v>143</x:v>
      </x:c>
      <x:c r="B96" s="26" t="n">
        <x:v>139</x:v>
      </x:c>
      <x:c r="C96" s="26" t="str">
        <x:v>Kumuram Bheem Asifabad</x:v>
      </x:c>
      <x:c r="D96" s="26" t="str">
        <x:v>Telangana</x:v>
      </x:c>
      <x:c r="E96" s="26" t="n">
        <x:v>1105</x:v>
      </x:c>
      <x:c r="F96" s="26" t="str">
        <x:v>PRJ-2026-0001105</x:v>
      </x:c>
      <x:c r="G96" s="26" t="str">
        <x:v>Materials (Gardening Equipment, Seeds, Other Resources)  </x:v>
      </x:c>
      <x:c r="H96" s="26" t="str">
        <x:v>Mission Saksham Anganwadi &amp; POSHAN 2.0</x:v>
      </x:c>
      <x:c r="I96" s="32" t="n">
        <x:v>46163</x:v>
      </x:c>
      <x:c r="J96" s="32" t="n">
        <x:v>46316</x:v>
      </x:c>
      <x:c r="K96" s="32"/>
      <x:c r="L96" s="26" t="str">
        <x:v>Active: On/After 01-Aug-2026</x:v>
      </x:c>
      <x:c r="M96" s="26" t="str">
        <x:v>Pending Mapping</x:v>
      </x:c>
      <x:c r="N96" s="26" t="str">
        <x:v>Original project JSON not available</x:v>
      </x:c>
      <x:c r="O96" s="26"/>
      <x:c r="P96" s="26" t="str"/>
      <x:c r="Q96" s="26" t="str"/>
      <x:c r="R96" s="26"/>
      <x:c r="S96" s="36"/>
      <x:c r="T96" s="26"/>
      <x:c r="U96" s="26"/>
      <x:c r="V96" s="26"/>
      <x:c r="W96" s="26" t="n">
        <x:v>3</x:v>
      </x:c>
      <x:c r="X96" s="26" t="n">
        <x:v>0</x:v>
      </x:c>
      <x:c r="Y96" s="26" t="n">
        <x:v>21</x:v>
      </x:c>
      <x:c r="Z96" s="26" t="n">
        <x:v>0</x:v>
      </x:c>
      <x:c r="AA96" s="26" t="n">
        <x:v>21</x:v>
      </x:c>
      <x:c r="AB96" s="38" t="n">
        <x:v>0</x:v>
      </x:c>
      <x:c r="AC96" s="26" t="str">
        <x:v>Committed / Not Delivered</x:v>
      </x:c>
      <x:c r="AD96" s="26" t="str">
        <x:v>Approval not recorded in response</x:v>
      </x:c>
      <x:c r="AE96" s="27" t="b">
        <x:v>1</x:v>
      </x:c>
      <x:c r="AF96" s="34" t="n">
        <x:v>46218.511041666665</x:v>
      </x:c>
      <x:c r="AG96" s="34"/>
      <x:c r="AH96" s="26" t="str">
        <x:v>Contribution API fields only; original project JSON needed for line-item names/centres/category</x:v>
      </x:c>
      <x:c r="AI96" s="26" t="str"/>
      <x:c r="AJ96" s="26" t="str">
        <x:v>Not Started</x:v>
      </x:c>
      <x:c r="AK96" s="26" t="str"/>
      <x:c r="AL96" s="26" t="str"/>
    </x:row>
    <x:row r="97">
      <x:c r="A97" s="26" t="n">
        <x:v>144</x:v>
      </x:c>
      <x:c r="B97" s="26" t="n">
        <x:v>144</x:v>
      </x:c>
      <x:c r="C97" s="26" t="str">
        <x:v>Kumuram Bheem Asifabad</x:v>
      </x:c>
      <x:c r="D97" s="26" t="str">
        <x:v>Telangana</x:v>
      </x:c>
      <x:c r="E97" s="26" t="n">
        <x:v>2039</x:v>
      </x:c>
      <x:c r="F97" s="26" t="str">
        <x:v>PRJ-2026-0002039</x:v>
      </x:c>
      <x:c r="G97" s="26" t="str">
        <x:v>Upgradation of AWCs </x:v>
      </x:c>
      <x:c r="H97" s="26" t="str">
        <x:v>Mission Saksham Anganwadi &amp; POSHAN 2.0</x:v>
      </x:c>
      <x:c r="I97" s="32" t="n">
        <x:v>46163</x:v>
      </x:c>
      <x:c r="J97" s="32" t="n">
        <x:v>46316</x:v>
      </x:c>
      <x:c r="K97" s="32"/>
      <x:c r="L97" s="26" t="str">
        <x:v>Active: On/After 01-Aug-2026</x:v>
      </x:c>
      <x:c r="M97" s="26" t="str">
        <x:v>Pending Mapping</x:v>
      </x:c>
      <x:c r="N97" s="26" t="str">
        <x:v>Original project JSON not available</x:v>
      </x:c>
      <x:c r="O97" s="26"/>
      <x:c r="P97" s="26" t="str"/>
      <x:c r="Q97" s="26" t="str"/>
      <x:c r="R97" s="26"/>
      <x:c r="S97" s="36"/>
      <x:c r="T97" s="26"/>
      <x:c r="U97" s="26"/>
      <x:c r="V97" s="26"/>
      <x:c r="W97" s="26" t="n">
        <x:v>4</x:v>
      </x:c>
      <x:c r="X97" s="26" t="n">
        <x:v>0</x:v>
      </x:c>
      <x:c r="Y97" s="26" t="n">
        <x:v>4</x:v>
      </x:c>
      <x:c r="Z97" s="26" t="n">
        <x:v>0</x:v>
      </x:c>
      <x:c r="AA97" s="26" t="n">
        <x:v>4</x:v>
      </x:c>
      <x:c r="AB97" s="38" t="n">
        <x:v>0</x:v>
      </x:c>
      <x:c r="AC97" s="26" t="str">
        <x:v>Committed / Not Delivered</x:v>
      </x:c>
      <x:c r="AD97" s="26" t="str">
        <x:v>Approval not recorded in response</x:v>
      </x:c>
      <x:c r="AE97" s="27" t="b">
        <x:v>1</x:v>
      </x:c>
      <x:c r="AF97" s="34" t="n">
        <x:v>46218.51100694444</x:v>
      </x:c>
      <x:c r="AG97" s="34"/>
      <x:c r="AH97" s="26" t="str">
        <x:v>Contribution API fields only; original project JSON needed for line-item names/centres/category</x:v>
      </x:c>
      <x:c r="AI97" s="26" t="str"/>
      <x:c r="AJ97" s="26" t="str">
        <x:v>Not Started</x:v>
      </x:c>
      <x:c r="AK97" s="26" t="str"/>
      <x:c r="AL97" s="26" t="str"/>
    </x:row>
    <x:row r="98">
      <x:c r="A98" s="26" t="n">
        <x:v>145</x:v>
      </x:c>
      <x:c r="B98" s="26" t="n">
        <x:v>148</x:v>
      </x:c>
      <x:c r="C98" s="26" t="str">
        <x:v>Kumuram Bheem Asifabad</x:v>
      </x:c>
      <x:c r="D98" s="26" t="str">
        <x:v>Telangana</x:v>
      </x:c>
      <x:c r="E98" s="26" t="n">
        <x:v>2474</x:v>
      </x:c>
      <x:c r="F98" s="26" t="str">
        <x:v>PRJ-2026-0002474</x:v>
      </x:c>
      <x:c r="G98" s="26" t="str">
        <x:v>Materials (Toys, Balls, Swing Sets)  </x:v>
      </x:c>
      <x:c r="H98" s="26" t="str">
        <x:v>Mission Saksham Anganwadi &amp; POSHAN 2.0</x:v>
      </x:c>
      <x:c r="I98" s="32" t="n">
        <x:v>46163</x:v>
      </x:c>
      <x:c r="J98" s="32" t="n">
        <x:v>46316</x:v>
      </x:c>
      <x:c r="K98" s="32"/>
      <x:c r="L98" s="26" t="str">
        <x:v>Active: On/After 01-Aug-2026</x:v>
      </x:c>
      <x:c r="M98" s="26" t="str">
        <x:v>Pending Mapping</x:v>
      </x:c>
      <x:c r="N98" s="26" t="str">
        <x:v>Original project JSON not available</x:v>
      </x:c>
      <x:c r="O98" s="26"/>
      <x:c r="P98" s="26" t="str"/>
      <x:c r="Q98" s="26" t="str"/>
      <x:c r="R98" s="26"/>
      <x:c r="S98" s="36"/>
      <x:c r="T98" s="26"/>
      <x:c r="U98" s="26"/>
      <x:c r="V98" s="26"/>
      <x:c r="W98" s="26" t="n">
        <x:v>3</x:v>
      </x:c>
      <x:c r="X98" s="26" t="n">
        <x:v>0</x:v>
      </x:c>
      <x:c r="Y98" s="26" t="n">
        <x:v>34</x:v>
      </x:c>
      <x:c r="Z98" s="26" t="n">
        <x:v>0</x:v>
      </x:c>
      <x:c r="AA98" s="26" t="n">
        <x:v>34</x:v>
      </x:c>
      <x:c r="AB98" s="38" t="n">
        <x:v>0</x:v>
      </x:c>
      <x:c r="AC98" s="26" t="str">
        <x:v>Committed / Not Delivered</x:v>
      </x:c>
      <x:c r="AD98" s="26" t="str">
        <x:v>Approval not recorded in response</x:v>
      </x:c>
      <x:c r="AE98" s="27" t="b">
        <x:v>1</x:v>
      </x:c>
      <x:c r="AF98" s="34" t="n">
        <x:v>46218.51097222222</x:v>
      </x:c>
      <x:c r="AG98" s="34"/>
      <x:c r="AH98" s="26" t="str">
        <x:v>Contribution API fields only; original project JSON needed for line-item names/centres/category</x:v>
      </x:c>
      <x:c r="AI98" s="26" t="str"/>
      <x:c r="AJ98" s="26" t="str">
        <x:v>Not Started</x:v>
      </x:c>
      <x:c r="AK98" s="26" t="str"/>
      <x:c r="AL98" s="26" t="str"/>
    </x:row>
    <x:row r="99">
      <x:c r="A99" s="26" t="n">
        <x:v>146</x:v>
      </x:c>
      <x:c r="B99" s="26" t="n">
        <x:v>149</x:v>
      </x:c>
      <x:c r="C99" s="26" t="str">
        <x:v>Kumuram Bheem Asifabad</x:v>
      </x:c>
      <x:c r="D99" s="26" t="str">
        <x:v>Telangana</x:v>
      </x:c>
      <x:c r="E99" s="26" t="n">
        <x:v>2759</x:v>
      </x:c>
      <x:c r="F99" s="26" t="str">
        <x:v>PRJ-2026-0002759</x:v>
      </x:c>
      <x:c r="G99" s="26" t="str">
        <x:v>requirement of anganwadi facilities</x:v>
      </x:c>
      <x:c r="H99" s="26" t="str">
        <x:v>Mission Saksham Anganwadi &amp; POSHAN 2.0</x:v>
      </x:c>
      <x:c r="I99" s="32" t="n">
        <x:v>46163</x:v>
      </x:c>
      <x:c r="J99" s="32" t="n">
        <x:v>46316</x:v>
      </x:c>
      <x:c r="K99" s="32"/>
      <x:c r="L99" s="26" t="str">
        <x:v>Active: On/After 01-Aug-2026</x:v>
      </x:c>
      <x:c r="M99" s="26" t="str">
        <x:v>Pending Mapping</x:v>
      </x:c>
      <x:c r="N99" s="26" t="str">
        <x:v>Original project JSON not available</x:v>
      </x:c>
      <x:c r="O99" s="26"/>
      <x:c r="P99" s="26" t="str"/>
      <x:c r="Q99" s="26" t="str"/>
      <x:c r="R99" s="26"/>
      <x:c r="S99" s="36"/>
      <x:c r="T99" s="26"/>
      <x:c r="U99" s="26"/>
      <x:c r="V99" s="26"/>
      <x:c r="W99" s="26" t="n">
        <x:v>4</x:v>
      </x:c>
      <x:c r="X99" s="26" t="n">
        <x:v>0</x:v>
      </x:c>
      <x:c r="Y99" s="26" t="n">
        <x:v>4</x:v>
      </x:c>
      <x:c r="Z99" s="26" t="n">
        <x:v>0</x:v>
      </x:c>
      <x:c r="AA99" s="26" t="n">
        <x:v>4</x:v>
      </x:c>
      <x:c r="AB99" s="38" t="n">
        <x:v>0</x:v>
      </x:c>
      <x:c r="AC99" s="26" t="str">
        <x:v>Committed / Not Delivered</x:v>
      </x:c>
      <x:c r="AD99" s="26" t="str">
        <x:v>Approval not recorded in response</x:v>
      </x:c>
      <x:c r="AE99" s="27" t="b">
        <x:v>1</x:v>
      </x:c>
      <x:c r="AF99" s="34" t="n">
        <x:v>46218.51096064815</x:v>
      </x:c>
      <x:c r="AG99" s="34"/>
      <x:c r="AH99" s="26" t="str">
        <x:v>Contribution API fields only; original project JSON needed for line-item names/centres/category</x:v>
      </x:c>
      <x:c r="AI99" s="26" t="str"/>
      <x:c r="AJ99" s="26" t="str">
        <x:v>Not Started</x:v>
      </x:c>
      <x:c r="AK99" s="26" t="str"/>
      <x:c r="AL99" s="26" t="str"/>
    </x:row>
    <x:row r="100">
      <x:c r="A100" s="26" t="n">
        <x:v>147</x:v>
      </x:c>
      <x:c r="B100" s="26" t="n">
        <x:v>150</x:v>
      </x:c>
      <x:c r="C100" s="26" t="str">
        <x:v>Kumuram Bheem Asifabad</x:v>
      </x:c>
      <x:c r="D100" s="26" t="str">
        <x:v>Telangana</x:v>
      </x:c>
      <x:c r="E100" s="26" t="n">
        <x:v>2916</x:v>
      </x:c>
      <x:c r="F100" s="26" t="str">
        <x:v>PRJ-2026-0002916</x:v>
      </x:c>
      <x:c r="G100" s="26" t="str">
        <x:v>Upgradation of  2 Anganwadi centres</x:v>
      </x:c>
      <x:c r="H100" s="26" t="str">
        <x:v>Mission Saksham Anganwadi &amp; POSHAN 2.0</x:v>
      </x:c>
      <x:c r="I100" s="32" t="n">
        <x:v>46163</x:v>
      </x:c>
      <x:c r="J100" s="32" t="n">
        <x:v>46285</x:v>
      </x:c>
      <x:c r="K100" s="32"/>
      <x:c r="L100" s="26" t="str">
        <x:v>Active: On/After 01-Aug-2026</x:v>
      </x:c>
      <x:c r="M100" s="26" t="str">
        <x:v>Pending Mapping</x:v>
      </x:c>
      <x:c r="N100" s="26" t="str">
        <x:v>Original project JSON not available</x:v>
      </x:c>
      <x:c r="O100" s="26"/>
      <x:c r="P100" s="26" t="str"/>
      <x:c r="Q100" s="26" t="str"/>
      <x:c r="R100" s="26"/>
      <x:c r="S100" s="36"/>
      <x:c r="T100" s="26"/>
      <x:c r="U100" s="26"/>
      <x:c r="V100" s="26"/>
      <x:c r="W100" s="26" t="n">
        <x:v>5</x:v>
      </x:c>
      <x:c r="X100" s="26" t="n">
        <x:v>0</x:v>
      </x:c>
      <x:c r="Y100" s="26" t="n">
        <x:v>627</x:v>
      </x:c>
      <x:c r="Z100" s="26" t="n">
        <x:v>0</x:v>
      </x:c>
      <x:c r="AA100" s="26" t="n">
        <x:v>627</x:v>
      </x:c>
      <x:c r="AB100" s="38" t="n">
        <x:v>0</x:v>
      </x:c>
      <x:c r="AC100" s="26" t="str">
        <x:v>Committed / Not Delivered</x:v>
      </x:c>
      <x:c r="AD100" s="26" t="str">
        <x:v>Approval not recorded in response</x:v>
      </x:c>
      <x:c r="AE100" s="27" t="b">
        <x:v>1</x:v>
      </x:c>
      <x:c r="AF100" s="34" t="n">
        <x:v>46218.51096064815</x:v>
      </x:c>
      <x:c r="AG100" s="34"/>
      <x:c r="AH100" s="26" t="str">
        <x:v>Contribution API fields only; original project JSON needed for line-item names/centres/category</x:v>
      </x:c>
      <x:c r="AI100" s="26" t="str"/>
      <x:c r="AJ100" s="26" t="str">
        <x:v>Not Started</x:v>
      </x:c>
      <x:c r="AK100" s="26" t="str"/>
      <x:c r="AL100" s="26" t="str"/>
    </x:row>
    <x:row r="101">
      <x:c r="A101" s="26" t="n">
        <x:v>148</x:v>
      </x:c>
      <x:c r="B101" s="26" t="n">
        <x:v>151</x:v>
      </x:c>
      <x:c r="C101" s="26" t="str">
        <x:v>Kumuram Bheem Asifabad</x:v>
      </x:c>
      <x:c r="D101" s="26" t="str">
        <x:v>Telangana</x:v>
      </x:c>
      <x:c r="E101" s="26" t="n">
        <x:v>3184</x:v>
      </x:c>
      <x:c r="F101" s="26" t="str">
        <x:v>PRJ-2026-0003184</x:v>
      </x:c>
      <x:c r="G101" s="26" t="str">
        <x:v>Upgradation of AWCs </x:v>
      </x:c>
      <x:c r="H101" s="26" t="str">
        <x:v>Mission Saksham Anganwadi &amp; POSHAN 2.0</x:v>
      </x:c>
      <x:c r="I101" s="32" t="n">
        <x:v>46163</x:v>
      </x:c>
      <x:c r="J101" s="32" t="n">
        <x:v>46316</x:v>
      </x:c>
      <x:c r="K101" s="32"/>
      <x:c r="L101" s="26" t="str">
        <x:v>Active: On/After 01-Aug-2026</x:v>
      </x:c>
      <x:c r="M101" s="26" t="str">
        <x:v>Pending Mapping</x:v>
      </x:c>
      <x:c r="N101" s="26" t="str">
        <x:v>Original project JSON not available</x:v>
      </x:c>
      <x:c r="O101" s="26"/>
      <x:c r="P101" s="26" t="str"/>
      <x:c r="Q101" s="26" t="str"/>
      <x:c r="R101" s="26"/>
      <x:c r="S101" s="36"/>
      <x:c r="T101" s="26"/>
      <x:c r="U101" s="26"/>
      <x:c r="V101" s="26"/>
      <x:c r="W101" s="26" t="n">
        <x:v>3</x:v>
      </x:c>
      <x:c r="X101" s="26" t="n">
        <x:v>0</x:v>
      </x:c>
      <x:c r="Y101" s="26" t="n">
        <x:v>3</x:v>
      </x:c>
      <x:c r="Z101" s="26" t="n">
        <x:v>0</x:v>
      </x:c>
      <x:c r="AA101" s="26" t="n">
        <x:v>3</x:v>
      </x:c>
      <x:c r="AB101" s="38" t="n">
        <x:v>0</x:v>
      </x:c>
      <x:c r="AC101" s="26" t="str">
        <x:v>Committed / Not Delivered</x:v>
      </x:c>
      <x:c r="AD101" s="26" t="str">
        <x:v>Approval not recorded in response</x:v>
      </x:c>
      <x:c r="AE101" s="27" t="b">
        <x:v>1</x:v>
      </x:c>
      <x:c r="AF101" s="34" t="n">
        <x:v>46218.51094907407</x:v>
      </x:c>
      <x:c r="AG101" s="34"/>
      <x:c r="AH101" s="26" t="str">
        <x:v>Contribution API fields only; original project JSON needed for line-item names/centres/category</x:v>
      </x:c>
      <x:c r="AI101" s="26" t="str"/>
      <x:c r="AJ101" s="26" t="str">
        <x:v>Not Started</x:v>
      </x:c>
      <x:c r="AK101" s="26" t="str"/>
      <x:c r="AL101" s="26" t="str"/>
    </x:row>
    <x:row r="102">
      <x:c r="A102" s="26" t="n">
        <x:v>149</x:v>
      </x:c>
      <x:c r="B102" s="26" t="n">
        <x:v>154</x:v>
      </x:c>
      <x:c r="C102" s="26" t="str">
        <x:v>Kumuram Bheem Asifabad</x:v>
      </x:c>
      <x:c r="D102" s="26" t="str">
        <x:v>Telangana</x:v>
      </x:c>
      <x:c r="E102" s="26" t="n">
        <x:v>3497</x:v>
      </x:c>
      <x:c r="F102" s="26" t="str">
        <x:v>PRJ-2026-0003497</x:v>
      </x:c>
      <x:c r="G102" s="26" t="str">
        <x:v>Material(Gardening Equipment, Seeds, Other Sources)</x:v>
      </x:c>
      <x:c r="H102" s="26" t="str">
        <x:v>Mission Saksham Anganwadi &amp; POSHAN 2.0</x:v>
      </x:c>
      <x:c r="I102" s="32" t="n">
        <x:v>46163</x:v>
      </x:c>
      <x:c r="J102" s="32" t="n">
        <x:v>46316</x:v>
      </x:c>
      <x:c r="K102" s="32"/>
      <x:c r="L102" s="26" t="str">
        <x:v>Active: On/After 01-Aug-2026</x:v>
      </x:c>
      <x:c r="M102" s="26" t="str">
        <x:v>Pending Mapping</x:v>
      </x:c>
      <x:c r="N102" s="26" t="str">
        <x:v>Original project JSON not available</x:v>
      </x:c>
      <x:c r="O102" s="26"/>
      <x:c r="P102" s="26" t="str"/>
      <x:c r="Q102" s="26" t="str"/>
      <x:c r="R102" s="26"/>
      <x:c r="S102" s="36"/>
      <x:c r="T102" s="26"/>
      <x:c r="U102" s="26"/>
      <x:c r="V102" s="26"/>
      <x:c r="W102" s="26" t="n">
        <x:v>3</x:v>
      </x:c>
      <x:c r="X102" s="26" t="n">
        <x:v>0</x:v>
      </x:c>
      <x:c r="Y102" s="26" t="n">
        <x:v>21</x:v>
      </x:c>
      <x:c r="Z102" s="26" t="n">
        <x:v>0</x:v>
      </x:c>
      <x:c r="AA102" s="26" t="n">
        <x:v>21</x:v>
      </x:c>
      <x:c r="AB102" s="38" t="n">
        <x:v>0</x:v>
      </x:c>
      <x:c r="AC102" s="26" t="str">
        <x:v>Committed / Not Delivered</x:v>
      </x:c>
      <x:c r="AD102" s="26" t="str">
        <x:v>Approval not recorded in response</x:v>
      </x:c>
      <x:c r="AE102" s="27" t="b">
        <x:v>1</x:v>
      </x:c>
      <x:c r="AF102" s="34" t="n">
        <x:v>46218.510925925926</x:v>
      </x:c>
      <x:c r="AG102" s="34"/>
      <x:c r="AH102" s="26" t="str">
        <x:v>Contribution API fields only; original project JSON needed for line-item names/centres/category</x:v>
      </x:c>
      <x:c r="AI102" s="26" t="str"/>
      <x:c r="AJ102" s="26" t="str">
        <x:v>Not Started</x:v>
      </x:c>
      <x:c r="AK102" s="26" t="str"/>
      <x:c r="AL102" s="26" t="str"/>
    </x:row>
    <x:row r="103">
      <x:c r="A103" s="26" t="n">
        <x:v>150</x:v>
      </x:c>
      <x:c r="B103" s="26" t="n">
        <x:v>155</x:v>
      </x:c>
      <x:c r="C103" s="26" t="str">
        <x:v>Kumuram Bheem Asifabad</x:v>
      </x:c>
      <x:c r="D103" s="26" t="str">
        <x:v>Telangana</x:v>
      </x:c>
      <x:c r="E103" s="26" t="n">
        <x:v>3647</x:v>
      </x:c>
      <x:c r="F103" s="26" t="str">
        <x:v>PRJ-2026-0003647</x:v>
      </x:c>
      <x:c r="G103" s="26" t="str">
        <x:v>requirement of anganwadi facilities</x:v>
      </x:c>
      <x:c r="H103" s="26" t="str">
        <x:v>Mission Saksham Anganwadi &amp; POSHAN 2.0</x:v>
      </x:c>
      <x:c r="I103" s="32" t="n">
        <x:v>46163</x:v>
      </x:c>
      <x:c r="J103" s="32" t="n">
        <x:v>46316</x:v>
      </x:c>
      <x:c r="K103" s="32"/>
      <x:c r="L103" s="26" t="str">
        <x:v>Active: On/After 01-Aug-2026</x:v>
      </x:c>
      <x:c r="M103" s="26" t="str">
        <x:v>Pending Mapping</x:v>
      </x:c>
      <x:c r="N103" s="26" t="str">
        <x:v>Original project JSON not available</x:v>
      </x:c>
      <x:c r="O103" s="26"/>
      <x:c r="P103" s="26" t="str"/>
      <x:c r="Q103" s="26" t="str"/>
      <x:c r="R103" s="26"/>
      <x:c r="S103" s="36"/>
      <x:c r="T103" s="26"/>
      <x:c r="U103" s="26"/>
      <x:c r="V103" s="26"/>
      <x:c r="W103" s="26" t="n">
        <x:v>5</x:v>
      </x:c>
      <x:c r="X103" s="26" t="n">
        <x:v>0</x:v>
      </x:c>
      <x:c r="Y103" s="26" t="n">
        <x:v>17</x:v>
      </x:c>
      <x:c r="Z103" s="26" t="n">
        <x:v>0</x:v>
      </x:c>
      <x:c r="AA103" s="26" t="n">
        <x:v>17</x:v>
      </x:c>
      <x:c r="AB103" s="38" t="n">
        <x:v>0</x:v>
      </x:c>
      <x:c r="AC103" s="26" t="str">
        <x:v>Committed / Not Delivered</x:v>
      </x:c>
      <x:c r="AD103" s="26" t="str">
        <x:v>Approval not recorded in response</x:v>
      </x:c>
      <x:c r="AE103" s="27" t="b">
        <x:v>1</x:v>
      </x:c>
      <x:c r="AF103" s="34" t="n">
        <x:v>46218.51091435185</x:v>
      </x:c>
      <x:c r="AG103" s="34"/>
      <x:c r="AH103" s="26" t="str">
        <x:v>Contribution API fields only; original project JSON needed for line-item names/centres/category</x:v>
      </x:c>
      <x:c r="AI103" s="26" t="str"/>
      <x:c r="AJ103" s="26" t="str">
        <x:v>Not Started</x:v>
      </x:c>
      <x:c r="AK103" s="26" t="str"/>
      <x:c r="AL103" s="26" t="str"/>
    </x:row>
    <x:row r="104">
      <x:c r="A104" s="26" t="n">
        <x:v>151</x:v>
      </x:c>
      <x:c r="B104" s="26" t="n">
        <x:v>157</x:v>
      </x:c>
      <x:c r="C104" s="26" t="str">
        <x:v>Kumuram Bheem Asifabad</x:v>
      </x:c>
      <x:c r="D104" s="26" t="str">
        <x:v>Telangana</x:v>
      </x:c>
      <x:c r="E104" s="26" t="n">
        <x:v>4085</x:v>
      </x:c>
      <x:c r="F104" s="26" t="str">
        <x:v>PRJ-2026-0004085</x:v>
      </x:c>
      <x:c r="G104" s="26" t="str">
        <x:v>Upgradation of AWCs </x:v>
      </x:c>
      <x:c r="H104" s="26" t="str">
        <x:v>Mission Saksham Anganwadi &amp; POSHAN 2.0</x:v>
      </x:c>
      <x:c r="I104" s="32" t="n">
        <x:v>46163</x:v>
      </x:c>
      <x:c r="J104" s="32" t="n">
        <x:v>46316</x:v>
      </x:c>
      <x:c r="K104" s="32"/>
      <x:c r="L104" s="26" t="str">
        <x:v>Active: On/After 01-Aug-2026</x:v>
      </x:c>
      <x:c r="M104" s="26" t="str">
        <x:v>Pending Mapping</x:v>
      </x:c>
      <x:c r="N104" s="26" t="str">
        <x:v>Original project JSON not available</x:v>
      </x:c>
      <x:c r="O104" s="26"/>
      <x:c r="P104" s="26" t="str"/>
      <x:c r="Q104" s="26" t="str"/>
      <x:c r="R104" s="26"/>
      <x:c r="S104" s="36"/>
      <x:c r="T104" s="26"/>
      <x:c r="U104" s="26"/>
      <x:c r="V104" s="26"/>
      <x:c r="W104" s="26" t="n">
        <x:v>6</x:v>
      </x:c>
      <x:c r="X104" s="26" t="n">
        <x:v>0</x:v>
      </x:c>
      <x:c r="Y104" s="26" t="n">
        <x:v>6</x:v>
      </x:c>
      <x:c r="Z104" s="26" t="n">
        <x:v>0</x:v>
      </x:c>
      <x:c r="AA104" s="26" t="n">
        <x:v>6</x:v>
      </x:c>
      <x:c r="AB104" s="38" t="n">
        <x:v>0</x:v>
      </x:c>
      <x:c r="AC104" s="26" t="str">
        <x:v>Committed / Not Delivered</x:v>
      </x:c>
      <x:c r="AD104" s="26" t="str">
        <x:v>Approval not recorded in response</x:v>
      </x:c>
      <x:c r="AE104" s="27" t="b">
        <x:v>1</x:v>
      </x:c>
      <x:c r="AF104" s="34" t="n">
        <x:v>46218.51090277778</x:v>
      </x:c>
      <x:c r="AG104" s="34"/>
      <x:c r="AH104" s="26" t="str">
        <x:v>Contribution API fields only; original project JSON needed for line-item names/centres/category</x:v>
      </x:c>
      <x:c r="AI104" s="26" t="str"/>
      <x:c r="AJ104" s="26" t="str">
        <x:v>Not Started</x:v>
      </x:c>
      <x:c r="AK104" s="26" t="str"/>
      <x:c r="AL104" s="26" t="str"/>
    </x:row>
    <x:row r="105">
      <x:c r="A105" s="26" t="n">
        <x:v>152</x:v>
      </x:c>
      <x:c r="B105" s="26" t="n">
        <x:v>160</x:v>
      </x:c>
      <x:c r="C105" s="26" t="str">
        <x:v>Kumuram Bheem Asifabad</x:v>
      </x:c>
      <x:c r="D105" s="26" t="str">
        <x:v>Telangana</x:v>
      </x:c>
      <x:c r="E105" s="26" t="n">
        <x:v>4275</x:v>
      </x:c>
      <x:c r="F105" s="26" t="str">
        <x:v>PRJ-2026-0004275</x:v>
      </x:c>
      <x:c r="G105" s="26" t="str">
        <x:v>Upgradation of AWCs </x:v>
      </x:c>
      <x:c r="H105" s="26" t="str">
        <x:v>Mission Saksham Anganwadi &amp; POSHAN 2.0</x:v>
      </x:c>
      <x:c r="I105" s="32" t="n">
        <x:v>46163</x:v>
      </x:c>
      <x:c r="J105" s="32" t="n">
        <x:v>46316</x:v>
      </x:c>
      <x:c r="K105" s="32"/>
      <x:c r="L105" s="26" t="str">
        <x:v>Active: On/After 01-Aug-2026</x:v>
      </x:c>
      <x:c r="M105" s="26" t="str">
        <x:v>Pending Mapping</x:v>
      </x:c>
      <x:c r="N105" s="26" t="str">
        <x:v>Original project JSON not available</x:v>
      </x:c>
      <x:c r="O105" s="26"/>
      <x:c r="P105" s="26" t="str"/>
      <x:c r="Q105" s="26" t="str"/>
      <x:c r="R105" s="26"/>
      <x:c r="S105" s="36"/>
      <x:c r="T105" s="26"/>
      <x:c r="U105" s="26"/>
      <x:c r="V105" s="26"/>
      <x:c r="W105" s="26" t="n">
        <x:v>5</x:v>
      </x:c>
      <x:c r="X105" s="26" t="n">
        <x:v>0</x:v>
      </x:c>
      <x:c r="Y105" s="26" t="n">
        <x:v>5</x:v>
      </x:c>
      <x:c r="Z105" s="26" t="n">
        <x:v>0</x:v>
      </x:c>
      <x:c r="AA105" s="26" t="n">
        <x:v>5</x:v>
      </x:c>
      <x:c r="AB105" s="38" t="n">
        <x:v>0</x:v>
      </x:c>
      <x:c r="AC105" s="26" t="str">
        <x:v>Committed / Not Delivered</x:v>
      </x:c>
      <x:c r="AD105" s="26" t="str">
        <x:v>Approval not recorded in response</x:v>
      </x:c>
      <x:c r="AE105" s="27" t="b">
        <x:v>1</x:v>
      </x:c>
      <x:c r="AF105" s="34" t="n">
        <x:v>46218.51086805556</x:v>
      </x:c>
      <x:c r="AG105" s="34"/>
      <x:c r="AH105" s="26" t="str">
        <x:v>Contribution API fields only; original project JSON needed for line-item names/centres/category</x:v>
      </x:c>
      <x:c r="AI105" s="26" t="str"/>
      <x:c r="AJ105" s="26" t="str">
        <x:v>Not Started</x:v>
      </x:c>
      <x:c r="AK105" s="26" t="str"/>
      <x:c r="AL105" s="26" t="str"/>
    </x:row>
    <x:row r="106">
      <x:c r="A106" s="26" t="n">
        <x:v>153</x:v>
      </x:c>
      <x:c r="B106" s="26" t="n">
        <x:v>165</x:v>
      </x:c>
      <x:c r="C106" s="26" t="str">
        <x:v>Kumuram Bheem Asifabad</x:v>
      </x:c>
      <x:c r="D106" s="26" t="str">
        <x:v>Telangana</x:v>
      </x:c>
      <x:c r="E106" s="26" t="n">
        <x:v>4650</x:v>
      </x:c>
      <x:c r="F106" s="26" t="str">
        <x:v>PRJ-2026-0004650</x:v>
      </x:c>
      <x:c r="G106" s="26" t="str">
        <x:v>Upgradation of AWCs </x:v>
      </x:c>
      <x:c r="H106" s="26" t="str">
        <x:v>Mission Saksham Anganwadi &amp; POSHAN 2.0</x:v>
      </x:c>
      <x:c r="I106" s="32" t="n">
        <x:v>46163</x:v>
      </x:c>
      <x:c r="J106" s="32" t="n">
        <x:v>46316</x:v>
      </x:c>
      <x:c r="K106" s="32"/>
      <x:c r="L106" s="26" t="str">
        <x:v>Active: On/After 01-Aug-2026</x:v>
      </x:c>
      <x:c r="M106" s="26" t="str">
        <x:v>Pending Mapping</x:v>
      </x:c>
      <x:c r="N106" s="26" t="str">
        <x:v>Original project JSON not available</x:v>
      </x:c>
      <x:c r="O106" s="26"/>
      <x:c r="P106" s="26" t="str"/>
      <x:c r="Q106" s="26" t="str"/>
      <x:c r="R106" s="26"/>
      <x:c r="S106" s="36"/>
      <x:c r="T106" s="26"/>
      <x:c r="U106" s="26"/>
      <x:c r="V106" s="26"/>
      <x:c r="W106" s="26" t="n">
        <x:v>6</x:v>
      </x:c>
      <x:c r="X106" s="26" t="n">
        <x:v>0</x:v>
      </x:c>
      <x:c r="Y106" s="26" t="n">
        <x:v>6</x:v>
      </x:c>
      <x:c r="Z106" s="26" t="n">
        <x:v>0</x:v>
      </x:c>
      <x:c r="AA106" s="26" t="n">
        <x:v>6</x:v>
      </x:c>
      <x:c r="AB106" s="38" t="n">
        <x:v>0</x:v>
      </x:c>
      <x:c r="AC106" s="26" t="str">
        <x:v>Committed / Not Delivered</x:v>
      </x:c>
      <x:c r="AD106" s="26" t="str">
        <x:v>Approval not recorded in response</x:v>
      </x:c>
      <x:c r="AE106" s="27" t="b">
        <x:v>1</x:v>
      </x:c>
      <x:c r="AF106" s="34" t="n">
        <x:v>46218.51082175926</x:v>
      </x:c>
      <x:c r="AG106" s="34"/>
      <x:c r="AH106" s="26" t="str">
        <x:v>Contribution API fields only; original project JSON needed for line-item names/centres/category</x:v>
      </x:c>
      <x:c r="AI106" s="26" t="str"/>
      <x:c r="AJ106" s="26" t="str">
        <x:v>Not Started</x:v>
      </x:c>
      <x:c r="AK106" s="26" t="str"/>
      <x:c r="AL106" s="26" t="str"/>
    </x:row>
    <x:row r="107">
      <x:c r="A107" s="26" t="n">
        <x:v>154</x:v>
      </x:c>
      <x:c r="B107" s="26" t="n">
        <x:v>168</x:v>
      </x:c>
      <x:c r="C107" s="26" t="str">
        <x:v>Kumuram Bheem Asifabad</x:v>
      </x:c>
      <x:c r="D107" s="26" t="str">
        <x:v>Telangana</x:v>
      </x:c>
      <x:c r="E107" s="26" t="n">
        <x:v>5917</x:v>
      </x:c>
      <x:c r="F107" s="26" t="str">
        <x:v>PRJ-2026-0005917</x:v>
      </x:c>
      <x:c r="G107" s="26" t="str">
        <x:v>upgradation of anganwadi center</x:v>
      </x:c>
      <x:c r="H107" s="26" t="str">
        <x:v>Mission Saksham Anganwadi &amp; POSHAN 2.0</x:v>
      </x:c>
      <x:c r="I107" s="32" t="n">
        <x:v>46163</x:v>
      </x:c>
      <x:c r="J107" s="32" t="n">
        <x:v>46255</x:v>
      </x:c>
      <x:c r="K107" s="32"/>
      <x:c r="L107" s="26" t="str">
        <x:v>Active: On/After 01-Aug-2026</x:v>
      </x:c>
      <x:c r="M107" s="26" t="str">
        <x:v>Pending Mapping</x:v>
      </x:c>
      <x:c r="N107" s="26" t="str">
        <x:v>Original project JSON not available</x:v>
      </x:c>
      <x:c r="O107" s="26"/>
      <x:c r="P107" s="26" t="str"/>
      <x:c r="Q107" s="26" t="str"/>
      <x:c r="R107" s="26"/>
      <x:c r="S107" s="36"/>
      <x:c r="T107" s="26"/>
      <x:c r="U107" s="26"/>
      <x:c r="V107" s="26"/>
      <x:c r="W107" s="26" t="n">
        <x:v>4</x:v>
      </x:c>
      <x:c r="X107" s="26" t="n">
        <x:v>0</x:v>
      </x:c>
      <x:c r="Y107" s="26" t="n">
        <x:v>9</x:v>
      </x:c>
      <x:c r="Z107" s="26" t="n">
        <x:v>0</x:v>
      </x:c>
      <x:c r="AA107" s="26" t="n">
        <x:v>9</x:v>
      </x:c>
      <x:c r="AB107" s="38" t="n">
        <x:v>0</x:v>
      </x:c>
      <x:c r="AC107" s="26" t="str">
        <x:v>Committed / Not Delivered</x:v>
      </x:c>
      <x:c r="AD107" s="26" t="str">
        <x:v>Approval not recorded in response</x:v>
      </x:c>
      <x:c r="AE107" s="27" t="b">
        <x:v>1</x:v>
      </x:c>
      <x:c r="AF107" s="34" t="n">
        <x:v>46218.51079861111</x:v>
      </x:c>
      <x:c r="AG107" s="34"/>
      <x:c r="AH107" s="26" t="str">
        <x:v>Contribution API fields only; original project JSON needed for line-item names/centres/category</x:v>
      </x:c>
      <x:c r="AI107" s="26" t="str"/>
      <x:c r="AJ107" s="26" t="str">
        <x:v>Not Started</x:v>
      </x:c>
      <x:c r="AK107" s="26" t="str"/>
      <x:c r="AL107" s="26" t="str"/>
    </x:row>
    <x:row r="108">
      <x:c r="A108" s="26" t="n">
        <x:v>155</x:v>
      </x:c>
      <x:c r="B108" s="26" t="n">
        <x:v>169</x:v>
      </x:c>
      <x:c r="C108" s="26" t="str">
        <x:v>Kumuram Bheem Asifabad</x:v>
      </x:c>
      <x:c r="D108" s="26" t="str">
        <x:v>Telangana</x:v>
      </x:c>
      <x:c r="E108" s="26" t="n">
        <x:v>6699</x:v>
      </x:c>
      <x:c r="F108" s="26" t="str">
        <x:v>PRJ-2026-0006699</x:v>
      </x:c>
      <x:c r="G108" s="26" t="str">
        <x:v>Proposal for upgradation of AWC</x:v>
      </x:c>
      <x:c r="H108" s="26" t="str">
        <x:v>Mission Saksham Anganwadi &amp; POSHAN 2.0</x:v>
      </x:c>
      <x:c r="I108" s="32" t="n">
        <x:v>46163</x:v>
      </x:c>
      <x:c r="J108" s="32" t="n">
        <x:v>46295</x:v>
      </x:c>
      <x:c r="K108" s="32"/>
      <x:c r="L108" s="26" t="str">
        <x:v>Active: On/After 01-Aug-2026</x:v>
      </x:c>
      <x:c r="M108" s="26" t="str">
        <x:v>Pending Mapping</x:v>
      </x:c>
      <x:c r="N108" s="26" t="str">
        <x:v>Original project JSON not available</x:v>
      </x:c>
      <x:c r="O108" s="26"/>
      <x:c r="P108" s="26" t="str"/>
      <x:c r="Q108" s="26" t="str"/>
      <x:c r="R108" s="26"/>
      <x:c r="S108" s="36"/>
      <x:c r="T108" s="26"/>
      <x:c r="U108" s="26"/>
      <x:c r="V108" s="26"/>
      <x:c r="W108" s="26" t="n">
        <x:v>5</x:v>
      </x:c>
      <x:c r="X108" s="26" t="n">
        <x:v>0</x:v>
      </x:c>
      <x:c r="Y108" s="26" t="n">
        <x:v>23</x:v>
      </x:c>
      <x:c r="Z108" s="26" t="n">
        <x:v>0</x:v>
      </x:c>
      <x:c r="AA108" s="26" t="n">
        <x:v>23</x:v>
      </x:c>
      <x:c r="AB108" s="38" t="n">
        <x:v>0</x:v>
      </x:c>
      <x:c r="AC108" s="26" t="str">
        <x:v>Committed / Not Delivered</x:v>
      </x:c>
      <x:c r="AD108" s="26" t="str">
        <x:v>Approval not recorded in response</x:v>
      </x:c>
      <x:c r="AE108" s="27" t="b">
        <x:v>1</x:v>
      </x:c>
      <x:c r="AF108" s="34" t="n">
        <x:v>46218.510787037034</x:v>
      </x:c>
      <x:c r="AG108" s="34"/>
      <x:c r="AH108" s="26" t="str">
        <x:v>Contribution API fields only; original project JSON needed for line-item names/centres/category</x:v>
      </x:c>
      <x:c r="AI108" s="26" t="str"/>
      <x:c r="AJ108" s="26" t="str">
        <x:v>Not Started</x:v>
      </x:c>
      <x:c r="AK108" s="26" t="str"/>
      <x:c r="AL108" s="26" t="str"/>
    </x:row>
    <x:row r="109">
      <x:c r="A109" s="26" t="n">
        <x:v>156</x:v>
      </x:c>
      <x:c r="B109" s="26" t="n">
        <x:v>170</x:v>
      </x:c>
      <x:c r="C109" s="26" t="str">
        <x:v>Kumuram Bheem Asifabad</x:v>
      </x:c>
      <x:c r="D109" s="26" t="str">
        <x:v>Telangana</x:v>
      </x:c>
      <x:c r="E109" s="26" t="n">
        <x:v>6705</x:v>
      </x:c>
      <x:c r="F109" s="26" t="str">
        <x:v>PRJ-2026-0006705</x:v>
      </x:c>
      <x:c r="G109" s="26" t="str">
        <x:v>AWC Upgradation</x:v>
      </x:c>
      <x:c r="H109" s="26" t="str">
        <x:v>Mission Saksham Anganwadi &amp; POSHAN 2.0</x:v>
      </x:c>
      <x:c r="I109" s="32" t="n">
        <x:v>46164</x:v>
      </x:c>
      <x:c r="J109" s="32" t="n">
        <x:v>46255</x:v>
      </x:c>
      <x:c r="K109" s="32"/>
      <x:c r="L109" s="26" t="str">
        <x:v>Active: On/After 01-Aug-2026</x:v>
      </x:c>
      <x:c r="M109" s="26" t="str">
        <x:v>Pending Mapping</x:v>
      </x:c>
      <x:c r="N109" s="26" t="str">
        <x:v>Original project JSON not available</x:v>
      </x:c>
      <x:c r="O109" s="26"/>
      <x:c r="P109" s="26" t="str"/>
      <x:c r="Q109" s="26" t="str"/>
      <x:c r="R109" s="26"/>
      <x:c r="S109" s="36"/>
      <x:c r="T109" s="26"/>
      <x:c r="U109" s="26"/>
      <x:c r="V109" s="26"/>
      <x:c r="W109" s="26" t="n">
        <x:v>6</x:v>
      </x:c>
      <x:c r="X109" s="26" t="n">
        <x:v>0</x:v>
      </x:c>
      <x:c r="Y109" s="26" t="n">
        <x:v>38</x:v>
      </x:c>
      <x:c r="Z109" s="26" t="n">
        <x:v>0</x:v>
      </x:c>
      <x:c r="AA109" s="26" t="n">
        <x:v>38</x:v>
      </x:c>
      <x:c r="AB109" s="38" t="n">
        <x:v>0</x:v>
      </x:c>
      <x:c r="AC109" s="26" t="str">
        <x:v>Committed / Not Delivered</x:v>
      </x:c>
      <x:c r="AD109" s="26" t="str">
        <x:v>Approval not recorded in response</x:v>
      </x:c>
      <x:c r="AE109" s="27" t="b">
        <x:v>1</x:v>
      </x:c>
      <x:c r="AF109" s="34" t="n">
        <x:v>46218.510787037034</x:v>
      </x:c>
      <x:c r="AG109" s="34"/>
      <x:c r="AH109" s="26" t="str">
        <x:v>Contribution API fields only; original project JSON needed for line-item names/centres/category</x:v>
      </x:c>
      <x:c r="AI109" s="26" t="str"/>
      <x:c r="AJ109" s="26" t="str">
        <x:v>Not Started</x:v>
      </x:c>
      <x:c r="AK109" s="26" t="str"/>
      <x:c r="AL109" s="26" t="str"/>
    </x:row>
    <x:row r="110">
      <x:c r="A110" s="26" t="n">
        <x:v>157</x:v>
      </x:c>
      <x:c r="B110" s="26" t="n">
        <x:v>171</x:v>
      </x:c>
      <x:c r="C110" s="26" t="str">
        <x:v>Kumuram Bheem Asifabad</x:v>
      </x:c>
      <x:c r="D110" s="26" t="str">
        <x:v>Telangana</x:v>
      </x:c>
      <x:c r="E110" s="26" t="n">
        <x:v>6718</x:v>
      </x:c>
      <x:c r="F110" s="26" t="str">
        <x:v>PRJ-2026-0006718</x:v>
      </x:c>
      <x:c r="G110" s="26" t="str">
        <x:v>Proposal for upgradation of AWC</x:v>
      </x:c>
      <x:c r="H110" s="26" t="str">
        <x:v>Mission Saksham Anganwadi &amp; POSHAN 2.0</x:v>
      </x:c>
      <x:c r="I110" s="32" t="n">
        <x:v>46164</x:v>
      </x:c>
      <x:c r="J110" s="32" t="n">
        <x:v>46295</x:v>
      </x:c>
      <x:c r="K110" s="32"/>
      <x:c r="L110" s="26" t="str">
        <x:v>Active: On/After 01-Aug-2026</x:v>
      </x:c>
      <x:c r="M110" s="26" t="str">
        <x:v>Pending Mapping</x:v>
      </x:c>
      <x:c r="N110" s="26" t="str">
        <x:v>Original project JSON not available</x:v>
      </x:c>
      <x:c r="O110" s="26"/>
      <x:c r="P110" s="26" t="str"/>
      <x:c r="Q110" s="26" t="str"/>
      <x:c r="R110" s="26"/>
      <x:c r="S110" s="36"/>
      <x:c r="T110" s="26"/>
      <x:c r="U110" s="26"/>
      <x:c r="V110" s="26"/>
      <x:c r="W110" s="26" t="n">
        <x:v>5</x:v>
      </x:c>
      <x:c r="X110" s="26" t="n">
        <x:v>0</x:v>
      </x:c>
      <x:c r="Y110" s="26" t="n">
        <x:v>23</x:v>
      </x:c>
      <x:c r="Z110" s="26" t="n">
        <x:v>0</x:v>
      </x:c>
      <x:c r="AA110" s="26" t="n">
        <x:v>23</x:v>
      </x:c>
      <x:c r="AB110" s="38" t="n">
        <x:v>0</x:v>
      </x:c>
      <x:c r="AC110" s="26" t="str">
        <x:v>Committed / Not Delivered</x:v>
      </x:c>
      <x:c r="AD110" s="26" t="str">
        <x:v>Approval not recorded in response</x:v>
      </x:c>
      <x:c r="AE110" s="27" t="b">
        <x:v>1</x:v>
      </x:c>
      <x:c r="AF110" s="34" t="n">
        <x:v>46218.510775462964</x:v>
      </x:c>
      <x:c r="AG110" s="34"/>
      <x:c r="AH110" s="26" t="str">
        <x:v>Contribution API fields only; original project JSON needed for line-item names/centres/category</x:v>
      </x:c>
      <x:c r="AI110" s="26" t="str"/>
      <x:c r="AJ110" s="26" t="str">
        <x:v>Not Started</x:v>
      </x:c>
      <x:c r="AK110" s="26" t="str"/>
      <x:c r="AL110" s="26" t="str"/>
    </x:row>
    <x:row r="111">
      <x:c r="A111" s="26" t="n">
        <x:v>158</x:v>
      </x:c>
      <x:c r="B111" s="26" t="n">
        <x:v>172</x:v>
      </x:c>
      <x:c r="C111" s="26" t="str">
        <x:v>Kumuram Bheem Asifabad</x:v>
      </x:c>
      <x:c r="D111" s="26" t="str">
        <x:v>Telangana</x:v>
      </x:c>
      <x:c r="E111" s="26" t="n">
        <x:v>6727</x:v>
      </x:c>
      <x:c r="F111" s="26" t="str">
        <x:v>PRJ-2026-0006727</x:v>
      </x:c>
      <x:c r="G111" s="26" t="str">
        <x:v>AWC Upgradation</x:v>
      </x:c>
      <x:c r="H111" s="26" t="str">
        <x:v>Mission Saksham Anganwadi &amp; POSHAN 2.0</x:v>
      </x:c>
      <x:c r="I111" s="32" t="n">
        <x:v>46164</x:v>
      </x:c>
      <x:c r="J111" s="32" t="n">
        <x:v>46256</x:v>
      </x:c>
      <x:c r="K111" s="32"/>
      <x:c r="L111" s="26" t="str">
        <x:v>Active: On/After 01-Aug-2026</x:v>
      </x:c>
      <x:c r="M111" s="26" t="str">
        <x:v>Pending Mapping</x:v>
      </x:c>
      <x:c r="N111" s="26" t="str">
        <x:v>Original project JSON not available</x:v>
      </x:c>
      <x:c r="O111" s="26"/>
      <x:c r="P111" s="26" t="str"/>
      <x:c r="Q111" s="26" t="str"/>
      <x:c r="R111" s="26"/>
      <x:c r="S111" s="36"/>
      <x:c r="T111" s="26"/>
      <x:c r="U111" s="26"/>
      <x:c r="V111" s="26"/>
      <x:c r="W111" s="26" t="n">
        <x:v>4</x:v>
      </x:c>
      <x:c r="X111" s="26" t="n">
        <x:v>0</x:v>
      </x:c>
      <x:c r="Y111" s="26" t="n">
        <x:v>9</x:v>
      </x:c>
      <x:c r="Z111" s="26" t="n">
        <x:v>0</x:v>
      </x:c>
      <x:c r="AA111" s="26" t="n">
        <x:v>9</x:v>
      </x:c>
      <x:c r="AB111" s="38" t="n">
        <x:v>0</x:v>
      </x:c>
      <x:c r="AC111" s="26" t="str">
        <x:v>Committed / Not Delivered</x:v>
      </x:c>
      <x:c r="AD111" s="26" t="str">
        <x:v>Approval not recorded in response</x:v>
      </x:c>
      <x:c r="AE111" s="27" t="b">
        <x:v>1</x:v>
      </x:c>
      <x:c r="AF111" s="34" t="n">
        <x:v>46218.51076388889</x:v>
      </x:c>
      <x:c r="AG111" s="34"/>
      <x:c r="AH111" s="26" t="str">
        <x:v>Contribution API fields only; original project JSON needed for line-item names/centres/category</x:v>
      </x:c>
      <x:c r="AI111" s="26" t="str"/>
      <x:c r="AJ111" s="26" t="str">
        <x:v>Not Started</x:v>
      </x:c>
      <x:c r="AK111" s="26" t="str"/>
      <x:c r="AL111" s="26" t="str"/>
    </x:row>
    <x:row r="112">
      <x:c r="A112" s="26" t="n">
        <x:v>159</x:v>
      </x:c>
      <x:c r="B112" s="26" t="n">
        <x:v>174</x:v>
      </x:c>
      <x:c r="C112" s="26" t="str">
        <x:v>Kumuram Bheem Asifabad</x:v>
      </x:c>
      <x:c r="D112" s="26" t="str">
        <x:v>Telangana</x:v>
      </x:c>
      <x:c r="E112" s="26" t="n">
        <x:v>8217</x:v>
      </x:c>
      <x:c r="F112" s="26" t="str">
        <x:v>PRJ-2026-0008217</x:v>
      </x:c>
      <x:c r="G112" s="26" t="str">
        <x:v>Proposal for upgradation of anganwadi centre</x:v>
      </x:c>
      <x:c r="H112" s="26" t="str">
        <x:v>Mission Saksham Anganwadi &amp; POSHAN 2.0</x:v>
      </x:c>
      <x:c r="I112" s="32" t="n">
        <x:v>46164</x:v>
      </x:c>
      <x:c r="J112" s="32" t="n">
        <x:v>46265</x:v>
      </x:c>
      <x:c r="K112" s="32"/>
      <x:c r="L112" s="26" t="str">
        <x:v>Active: On/After 01-Aug-2026</x:v>
      </x:c>
      <x:c r="M112" s="26" t="str">
        <x:v>Pending Mapping</x:v>
      </x:c>
      <x:c r="N112" s="26" t="str">
        <x:v>Original project JSON not available</x:v>
      </x:c>
      <x:c r="O112" s="26"/>
      <x:c r="P112" s="26" t="str"/>
      <x:c r="Q112" s="26" t="str"/>
      <x:c r="R112" s="26"/>
      <x:c r="S112" s="36"/>
      <x:c r="T112" s="26"/>
      <x:c r="U112" s="26"/>
      <x:c r="V112" s="26"/>
      <x:c r="W112" s="26" t="n">
        <x:v>5</x:v>
      </x:c>
      <x:c r="X112" s="26" t="n">
        <x:v>0</x:v>
      </x:c>
      <x:c r="Y112" s="26" t="n">
        <x:v>23</x:v>
      </x:c>
      <x:c r="Z112" s="26" t="n">
        <x:v>0</x:v>
      </x:c>
      <x:c r="AA112" s="26" t="n">
        <x:v>23</x:v>
      </x:c>
      <x:c r="AB112" s="38" t="n">
        <x:v>0</x:v>
      </x:c>
      <x:c r="AC112" s="26" t="str">
        <x:v>Committed / Not Delivered</x:v>
      </x:c>
      <x:c r="AD112" s="26" t="str">
        <x:v>Approval not recorded in response</x:v>
      </x:c>
      <x:c r="AE112" s="27" t="b">
        <x:v>1</x:v>
      </x:c>
      <x:c r="AF112" s="34" t="n">
        <x:v>46218.51075231482</x:v>
      </x:c>
      <x:c r="AG112" s="34"/>
      <x:c r="AH112" s="26" t="str">
        <x:v>Contribution API fields only; original project JSON needed for line-item names/centres/category</x:v>
      </x:c>
      <x:c r="AI112" s="26" t="str"/>
      <x:c r="AJ112" s="26" t="str">
        <x:v>Not Started</x:v>
      </x:c>
      <x:c r="AK112" s="26" t="str"/>
      <x:c r="AL112" s="26" t="str"/>
    </x:row>
    <x:row r="113">
      <x:c r="A113" s="26" t="n">
        <x:v>160</x:v>
      </x:c>
      <x:c r="B113" s="26" t="n">
        <x:v>175</x:v>
      </x:c>
      <x:c r="C113" s="26" t="str">
        <x:v>Kumuram Bheem Asifabad</x:v>
      </x:c>
      <x:c r="D113" s="26" t="str">
        <x:v>Telangana</x:v>
      </x:c>
      <x:c r="E113" s="26" t="n">
        <x:v>8702</x:v>
      </x:c>
      <x:c r="F113" s="26" t="str">
        <x:v>PRJ-2026-0008702</x:v>
      </x:c>
      <x:c r="G113" s="26" t="str">
        <x:v>Proposal for Anganwadi centre upgradation</x:v>
      </x:c>
      <x:c r="H113" s="26" t="str">
        <x:v>Mission Saksham Anganwadi &amp; POSHAN 2.0</x:v>
      </x:c>
      <x:c r="I113" s="32" t="n">
        <x:v>46164</x:v>
      </x:c>
      <x:c r="J113" s="32" t="n">
        <x:v>46295</x:v>
      </x:c>
      <x:c r="K113" s="32"/>
      <x:c r="L113" s="26" t="str">
        <x:v>Active: On/After 01-Aug-2026</x:v>
      </x:c>
      <x:c r="M113" s="26" t="str">
        <x:v>Pending Mapping</x:v>
      </x:c>
      <x:c r="N113" s="26" t="str">
        <x:v>Original project JSON not available</x:v>
      </x:c>
      <x:c r="O113" s="26"/>
      <x:c r="P113" s="26" t="str"/>
      <x:c r="Q113" s="26" t="str"/>
      <x:c r="R113" s="26"/>
      <x:c r="S113" s="36"/>
      <x:c r="T113" s="26"/>
      <x:c r="U113" s="26"/>
      <x:c r="V113" s="26"/>
      <x:c r="W113" s="26" t="n">
        <x:v>5</x:v>
      </x:c>
      <x:c r="X113" s="26" t="n">
        <x:v>0</x:v>
      </x:c>
      <x:c r="Y113" s="26" t="n">
        <x:v>23</x:v>
      </x:c>
      <x:c r="Z113" s="26" t="n">
        <x:v>0</x:v>
      </x:c>
      <x:c r="AA113" s="26" t="n">
        <x:v>23</x:v>
      </x:c>
      <x:c r="AB113" s="38" t="n">
        <x:v>0</x:v>
      </x:c>
      <x:c r="AC113" s="26" t="str">
        <x:v>Committed / Not Delivered</x:v>
      </x:c>
      <x:c r="AD113" s="26" t="str">
        <x:v>Approval not recorded in response</x:v>
      </x:c>
      <x:c r="AE113" s="27" t="b">
        <x:v>1</x:v>
      </x:c>
      <x:c r="AF113" s="34" t="n">
        <x:v>46218.51074074074</x:v>
      </x:c>
      <x:c r="AG113" s="34"/>
      <x:c r="AH113" s="26" t="str">
        <x:v>Contribution API fields only; original project JSON needed for line-item names/centres/category</x:v>
      </x:c>
      <x:c r="AI113" s="26" t="str"/>
      <x:c r="AJ113" s="26" t="str">
        <x:v>Not Started</x:v>
      </x:c>
      <x:c r="AK113" s="26" t="str"/>
      <x:c r="AL113" s="26" t="str"/>
    </x:row>
    <x:row r="114">
      <x:c r="A114" s="26" t="n">
        <x:v>161</x:v>
      </x:c>
      <x:c r="B114" s="26" t="n">
        <x:v>176</x:v>
      </x:c>
      <x:c r="C114" s="26" t="str">
        <x:v>Kumuram Bheem Asifabad</x:v>
      </x:c>
      <x:c r="D114" s="26" t="str">
        <x:v>Telangana</x:v>
      </x:c>
      <x:c r="E114" s="26" t="n">
        <x:v>8770</x:v>
      </x:c>
      <x:c r="F114" s="26" t="str">
        <x:v>PRJ-2026-0008770</x:v>
      </x:c>
      <x:c r="G114" s="26" t="str">
        <x:v>Proposal for upgradation of Anganwadi centre</x:v>
      </x:c>
      <x:c r="H114" s="26" t="str">
        <x:v>Mission Saksham Anganwadi &amp; POSHAN 2.0</x:v>
      </x:c>
      <x:c r="I114" s="32" t="n">
        <x:v>46164</x:v>
      </x:c>
      <x:c r="J114" s="32" t="n">
        <x:v>46295</x:v>
      </x:c>
      <x:c r="K114" s="32"/>
      <x:c r="L114" s="26" t="str">
        <x:v>Active: On/After 01-Aug-2026</x:v>
      </x:c>
      <x:c r="M114" s="26" t="str">
        <x:v>Pending Mapping</x:v>
      </x:c>
      <x:c r="N114" s="26" t="str">
        <x:v>Original project JSON not available</x:v>
      </x:c>
      <x:c r="O114" s="26"/>
      <x:c r="P114" s="26" t="str"/>
      <x:c r="Q114" s="26" t="str"/>
      <x:c r="R114" s="26"/>
      <x:c r="S114" s="36"/>
      <x:c r="T114" s="26"/>
      <x:c r="U114" s="26"/>
      <x:c r="V114" s="26"/>
      <x:c r="W114" s="26" t="n">
        <x:v>5</x:v>
      </x:c>
      <x:c r="X114" s="26" t="n">
        <x:v>0</x:v>
      </x:c>
      <x:c r="Y114" s="26" t="n">
        <x:v>23</x:v>
      </x:c>
      <x:c r="Z114" s="26" t="n">
        <x:v>0</x:v>
      </x:c>
      <x:c r="AA114" s="26" t="n">
        <x:v>23</x:v>
      </x:c>
      <x:c r="AB114" s="38" t="n">
        <x:v>0</x:v>
      </x:c>
      <x:c r="AC114" s="26" t="str">
        <x:v>Committed / Not Delivered</x:v>
      </x:c>
      <x:c r="AD114" s="26" t="str">
        <x:v>Approval not recorded in response</x:v>
      </x:c>
      <x:c r="AE114" s="27" t="b">
        <x:v>1</x:v>
      </x:c>
      <x:c r="AF114" s="34" t="n">
        <x:v>46218.51074074074</x:v>
      </x:c>
      <x:c r="AG114" s="34"/>
      <x:c r="AH114" s="26" t="str">
        <x:v>Contribution API fields only; original project JSON needed for line-item names/centres/category</x:v>
      </x:c>
      <x:c r="AI114" s="26" t="str"/>
      <x:c r="AJ114" s="26" t="str">
        <x:v>Not Started</x:v>
      </x:c>
      <x:c r="AK114" s="26" t="str"/>
      <x:c r="AL114" s="26" t="str"/>
    </x:row>
    <x:row r="115">
      <x:c r="A115" s="26" t="n">
        <x:v>162</x:v>
      </x:c>
      <x:c r="B115" s="26" t="n">
        <x:v>177</x:v>
      </x:c>
      <x:c r="C115" s="26" t="str">
        <x:v>Kumuram Bheem Asifabad</x:v>
      </x:c>
      <x:c r="D115" s="26" t="str">
        <x:v>Telangana</x:v>
      </x:c>
      <x:c r="E115" s="26" t="n">
        <x:v>8926</x:v>
      </x:c>
      <x:c r="F115" s="26" t="str">
        <x:v>PRJ-2026-0008926</x:v>
      </x:c>
      <x:c r="G115" s="26" t="str">
        <x:v>Proposal for upgradation of Anganwadi centre</x:v>
      </x:c>
      <x:c r="H115" s="26" t="str">
        <x:v>Mission Saksham Anganwadi &amp; POSHAN 2.0</x:v>
      </x:c>
      <x:c r="I115" s="32" t="n">
        <x:v>46164</x:v>
      </x:c>
      <x:c r="J115" s="32" t="n">
        <x:v>46295</x:v>
      </x:c>
      <x:c r="K115" s="32"/>
      <x:c r="L115" s="26" t="str">
        <x:v>Active: On/After 01-Aug-2026</x:v>
      </x:c>
      <x:c r="M115" s="26" t="str">
        <x:v>Pending Mapping</x:v>
      </x:c>
      <x:c r="N115" s="26" t="str">
        <x:v>Original project JSON not available</x:v>
      </x:c>
      <x:c r="O115" s="26"/>
      <x:c r="P115" s="26" t="str"/>
      <x:c r="Q115" s="26" t="str"/>
      <x:c r="R115" s="26"/>
      <x:c r="S115" s="36"/>
      <x:c r="T115" s="26"/>
      <x:c r="U115" s="26"/>
      <x:c r="V115" s="26"/>
      <x:c r="W115" s="26" t="n">
        <x:v>5</x:v>
      </x:c>
      <x:c r="X115" s="26" t="n">
        <x:v>0</x:v>
      </x:c>
      <x:c r="Y115" s="26" t="n">
        <x:v>23</x:v>
      </x:c>
      <x:c r="Z115" s="26" t="n">
        <x:v>0</x:v>
      </x:c>
      <x:c r="AA115" s="26" t="n">
        <x:v>23</x:v>
      </x:c>
      <x:c r="AB115" s="38" t="n">
        <x:v>0</x:v>
      </x:c>
      <x:c r="AC115" s="26" t="str">
        <x:v>Committed / Not Delivered</x:v>
      </x:c>
      <x:c r="AD115" s="26" t="str">
        <x:v>Approval not recorded in response</x:v>
      </x:c>
      <x:c r="AE115" s="27" t="b">
        <x:v>1</x:v>
      </x:c>
      <x:c r="AF115" s="34" t="n">
        <x:v>46218.510729166665</x:v>
      </x:c>
      <x:c r="AG115" s="34"/>
      <x:c r="AH115" s="26" t="str">
        <x:v>Contribution API fields only; original project JSON needed for line-item names/centres/category</x:v>
      </x:c>
      <x:c r="AI115" s="26" t="str"/>
      <x:c r="AJ115" s="26" t="str">
        <x:v>Not Started</x:v>
      </x:c>
      <x:c r="AK115" s="26" t="str"/>
      <x:c r="AL115" s="26" t="str"/>
    </x:row>
    <x:row r="116">
      <x:c r="A116" s="26" t="n">
        <x:v>163</x:v>
      </x:c>
      <x:c r="B116" s="26" t="n">
        <x:v>178</x:v>
      </x:c>
      <x:c r="C116" s="26" t="str">
        <x:v>Kumuram Bheem Asifabad</x:v>
      </x:c>
      <x:c r="D116" s="26" t="str">
        <x:v>Telangana</x:v>
      </x:c>
      <x:c r="E116" s="26" t="n">
        <x:v>9007</x:v>
      </x:c>
      <x:c r="F116" s="26" t="str">
        <x:v>PRJ-2026-0009007</x:v>
      </x:c>
      <x:c r="G116" s="26" t="str">
        <x:v>Proposal for upgradation of Anganwadi centre</x:v>
      </x:c>
      <x:c r="H116" s="26" t="str">
        <x:v>Mission Saksham Anganwadi &amp; POSHAN 2.0</x:v>
      </x:c>
      <x:c r="I116" s="32" t="n">
        <x:v>46164</x:v>
      </x:c>
      <x:c r="J116" s="32" t="n">
        <x:v>46295</x:v>
      </x:c>
      <x:c r="K116" s="32"/>
      <x:c r="L116" s="26" t="str">
        <x:v>Active: On/After 01-Aug-2026</x:v>
      </x:c>
      <x:c r="M116" s="26" t="str">
        <x:v>Pending Mapping</x:v>
      </x:c>
      <x:c r="N116" s="26" t="str">
        <x:v>Original project JSON not available</x:v>
      </x:c>
      <x:c r="O116" s="26"/>
      <x:c r="P116" s="26" t="str"/>
      <x:c r="Q116" s="26" t="str"/>
      <x:c r="R116" s="26"/>
      <x:c r="S116" s="36"/>
      <x:c r="T116" s="26"/>
      <x:c r="U116" s="26"/>
      <x:c r="V116" s="26"/>
      <x:c r="W116" s="26" t="n">
        <x:v>5</x:v>
      </x:c>
      <x:c r="X116" s="26" t="n">
        <x:v>0</x:v>
      </x:c>
      <x:c r="Y116" s="26" t="n">
        <x:v>19</x:v>
      </x:c>
      <x:c r="Z116" s="26" t="n">
        <x:v>0</x:v>
      </x:c>
      <x:c r="AA116" s="26" t="n">
        <x:v>19</x:v>
      </x:c>
      <x:c r="AB116" s="38" t="n">
        <x:v>0</x:v>
      </x:c>
      <x:c r="AC116" s="26" t="str">
        <x:v>Committed / Not Delivered</x:v>
      </x:c>
      <x:c r="AD116" s="26" t="str">
        <x:v>Approval not recorded in response</x:v>
      </x:c>
      <x:c r="AE116" s="27" t="b">
        <x:v>1</x:v>
      </x:c>
      <x:c r="AF116" s="34" t="n">
        <x:v>46218.510717592595</x:v>
      </x:c>
      <x:c r="AG116" s="34"/>
      <x:c r="AH116" s="26" t="str">
        <x:v>Contribution API fields only; original project JSON needed for line-item names/centres/category</x:v>
      </x:c>
      <x:c r="AI116" s="26" t="str"/>
      <x:c r="AJ116" s="26" t="str">
        <x:v>Not Started</x:v>
      </x:c>
      <x:c r="AK116" s="26" t="str"/>
      <x:c r="AL116" s="26" t="str"/>
    </x:row>
    <x:row r="117">
      <x:c r="A117" s="26" t="n">
        <x:v>164</x:v>
      </x:c>
      <x:c r="B117" s="26" t="n">
        <x:v>179</x:v>
      </x:c>
      <x:c r="C117" s="26" t="str">
        <x:v>Kumuram Bheem Asifabad</x:v>
      </x:c>
      <x:c r="D117" s="26" t="str">
        <x:v>Telangana</x:v>
      </x:c>
      <x:c r="E117" s="26" t="n">
        <x:v>9085</x:v>
      </x:c>
      <x:c r="F117" s="26" t="str">
        <x:v>PRJ-2026-0009085</x:v>
      </x:c>
      <x:c r="G117" s="26" t="str">
        <x:v>Proposal for upgradation of Anganwadi centre</x:v>
      </x:c>
      <x:c r="H117" s="26" t="str">
        <x:v>Mission Saksham Anganwadi &amp; POSHAN 2.0</x:v>
      </x:c>
      <x:c r="I117" s="32" t="n">
        <x:v>46164</x:v>
      </x:c>
      <x:c r="J117" s="32" t="n">
        <x:v>46295</x:v>
      </x:c>
      <x:c r="K117" s="32"/>
      <x:c r="L117" s="26" t="str">
        <x:v>Active: On/After 01-Aug-2026</x:v>
      </x:c>
      <x:c r="M117" s="26" t="str">
        <x:v>Pending Mapping</x:v>
      </x:c>
      <x:c r="N117" s="26" t="str">
        <x:v>Original project JSON not available</x:v>
      </x:c>
      <x:c r="O117" s="26"/>
      <x:c r="P117" s="26" t="str"/>
      <x:c r="Q117" s="26" t="str"/>
      <x:c r="R117" s="26"/>
      <x:c r="S117" s="36"/>
      <x:c r="T117" s="26"/>
      <x:c r="U117" s="26"/>
      <x:c r="V117" s="26"/>
      <x:c r="W117" s="26" t="n">
        <x:v>4</x:v>
      </x:c>
      <x:c r="X117" s="26" t="n">
        <x:v>0</x:v>
      </x:c>
      <x:c r="Y117" s="26" t="n">
        <x:v>8</x:v>
      </x:c>
      <x:c r="Z117" s="26" t="n">
        <x:v>0</x:v>
      </x:c>
      <x:c r="AA117" s="26" t="n">
        <x:v>8</x:v>
      </x:c>
      <x:c r="AB117" s="38" t="n">
        <x:v>0</x:v>
      </x:c>
      <x:c r="AC117" s="26" t="str">
        <x:v>Committed / Not Delivered</x:v>
      </x:c>
      <x:c r="AD117" s="26" t="str">
        <x:v>Approval not recorded in response</x:v>
      </x:c>
      <x:c r="AE117" s="27" t="b">
        <x:v>1</x:v>
      </x:c>
      <x:c r="AF117" s="34" t="n">
        <x:v>46218.51070601852</x:v>
      </x:c>
      <x:c r="AG117" s="34"/>
      <x:c r="AH117" s="26" t="str">
        <x:v>Contribution API fields only; original project JSON needed for line-item names/centres/category</x:v>
      </x:c>
      <x:c r="AI117" s="26" t="str"/>
      <x:c r="AJ117" s="26" t="str">
        <x:v>Not Started</x:v>
      </x:c>
      <x:c r="AK117" s="26" t="str"/>
      <x:c r="AL117" s="26" t="str"/>
    </x:row>
    <x:row r="118">
      <x:c r="A118" s="26" t="n">
        <x:v>165</x:v>
      </x:c>
      <x:c r="B118" s="26" t="n">
        <x:v>127</x:v>
      </x:c>
      <x:c r="C118" s="26" t="str">
        <x:v>Kumuram Bheem Asifabad</x:v>
      </x:c>
      <x:c r="D118" s="26" t="str">
        <x:v>Telangana</x:v>
      </x:c>
      <x:c r="E118" s="26" t="n">
        <x:v>6307</x:v>
      </x:c>
      <x:c r="F118" s="26" t="str">
        <x:v>PRJ-2026-0006307</x:v>
      </x:c>
      <x:c r="G118" s="26" t="str">
        <x:v>Rain Water Harvesting System : Water Filter Kitchen Construction : Poshan Vatika  kitchen Shelves : Gas stove, regulator : Solar Panel : Civil Repair : Toilet</x:v>
      </x:c>
      <x:c r="H118" s="26" t="str">
        <x:v>Mission Saksham Anganwadi &amp; POSHAN 2.0</x:v>
      </x:c>
      <x:c r="I118" s="32" t="n">
        <x:v>46163</x:v>
      </x:c>
      <x:c r="J118" s="32" t="n">
        <x:v>46255</x:v>
      </x:c>
      <x:c r="K118" s="32"/>
      <x:c r="L118" s="26" t="str">
        <x:v>Active: On/After 01-Aug-2026</x:v>
      </x:c>
      <x:c r="M118" s="26" t="str">
        <x:v>Pending Mapping</x:v>
      </x:c>
      <x:c r="N118" s="26" t="str">
        <x:v>Original project JSON not available</x:v>
      </x:c>
      <x:c r="O118" s="26"/>
      <x:c r="P118" s="26" t="str"/>
      <x:c r="Q118" s="26" t="str"/>
      <x:c r="R118" s="26"/>
      <x:c r="S118" s="36"/>
      <x:c r="T118" s="26"/>
      <x:c r="U118" s="26"/>
      <x:c r="V118" s="26"/>
      <x:c r="W118" s="26" t="n">
        <x:v>4</x:v>
      </x:c>
      <x:c r="X118" s="26" t="n">
        <x:v>0</x:v>
      </x:c>
      <x:c r="Y118" s="26" t="n">
        <x:v>4</x:v>
      </x:c>
      <x:c r="Z118" s="26" t="n">
        <x:v>0</x:v>
      </x:c>
      <x:c r="AA118" s="26" t="n">
        <x:v>4</x:v>
      </x:c>
      <x:c r="AB118" s="38" t="n">
        <x:v>0</x:v>
      </x:c>
      <x:c r="AC118" s="26" t="str">
        <x:v>Committed / Not Delivered</x:v>
      </x:c>
      <x:c r="AD118" s="26" t="str">
        <x:v>Approval not recorded in response</x:v>
      </x:c>
      <x:c r="AE118" s="27" t="b">
        <x:v>1</x:v>
      </x:c>
      <x:c r="AF118" s="34" t="n">
        <x:v>46218.41637731482</x:v>
      </x:c>
      <x:c r="AG118" s="34"/>
      <x:c r="AH118" s="26" t="str">
        <x:v>Contribution API fields only; original project JSON needed for line-item names/centres/category</x:v>
      </x:c>
      <x:c r="AI118" s="26" t="str"/>
      <x:c r="AJ118" s="26" t="str">
        <x:v>Not Started</x:v>
      </x:c>
      <x:c r="AK118" s="26" t="str"/>
      <x:c r="AL118" s="26" t="str"/>
    </x:row>
    <x:row r="119">
      <x:c r="A119" s="26" t="n">
        <x:v>166</x:v>
      </x:c>
      <x:c r="B119" s="26" t="n">
        <x:v>126</x:v>
      </x:c>
      <x:c r="C119" s="26" t="str">
        <x:v>Kumuram Bheem Asifabad</x:v>
      </x:c>
      <x:c r="D119" s="26" t="str">
        <x:v>Telangana</x:v>
      </x:c>
      <x:c r="E119" s="26" t="n">
        <x:v>10339</x:v>
      </x:c>
      <x:c r="F119" s="26" t="str">
        <x:v>PRJ-2026-0010339</x:v>
      </x:c>
      <x:c r="G119" s="26" t="str">
        <x:v>Water filter, gas stove </x:v>
      </x:c>
      <x:c r="H119" s="26" t="str">
        <x:v>Mission Saksham Anganwadi &amp; POSHAN 2.0</x:v>
      </x:c>
      <x:c r="I119" s="32" t="n">
        <x:v>46164</x:v>
      </x:c>
      <x:c r="J119" s="32" t="n">
        <x:v>46265</x:v>
      </x:c>
      <x:c r="K119" s="32"/>
      <x:c r="L119" s="26" t="str">
        <x:v>Active: On/After 01-Aug-2026</x:v>
      </x:c>
      <x:c r="M119" s="26" t="str">
        <x:v>Pending Mapping</x:v>
      </x:c>
      <x:c r="N119" s="26" t="str">
        <x:v>Original project JSON not available</x:v>
      </x:c>
      <x:c r="O119" s="26"/>
      <x:c r="P119" s="26" t="str"/>
      <x:c r="Q119" s="26" t="str"/>
      <x:c r="R119" s="26"/>
      <x:c r="S119" s="36"/>
      <x:c r="T119" s="26"/>
      <x:c r="U119" s="26"/>
      <x:c r="V119" s="26"/>
      <x:c r="W119" s="26" t="n">
        <x:v>2</x:v>
      </x:c>
      <x:c r="X119" s="26" t="n">
        <x:v>0</x:v>
      </x:c>
      <x:c r="Y119" s="26" t="n">
        <x:v>2</x:v>
      </x:c>
      <x:c r="Z119" s="26" t="n">
        <x:v>0</x:v>
      </x:c>
      <x:c r="AA119" s="26" t="n">
        <x:v>2</x:v>
      </x:c>
      <x:c r="AB119" s="38" t="n">
        <x:v>0</x:v>
      </x:c>
      <x:c r="AC119" s="26" t="str">
        <x:v>Committed / Not Delivered</x:v>
      </x:c>
      <x:c r="AD119" s="26" t="str">
        <x:v>Approval not recorded in response</x:v>
      </x:c>
      <x:c r="AE119" s="27" t="b">
        <x:v>1</x:v>
      </x:c>
      <x:c r="AF119" s="34" t="n">
        <x:v>46218.411516203705</x:v>
      </x:c>
      <x:c r="AG119" s="34"/>
      <x:c r="AH119" s="26" t="str">
        <x:v>Contribution API fields only; original project JSON needed for line-item names/centres/category</x:v>
      </x:c>
      <x:c r="AI119" s="26" t="str"/>
      <x:c r="AJ119" s="26" t="str">
        <x:v>Not Started</x:v>
      </x:c>
      <x:c r="AK119" s="26" t="str"/>
      <x:c r="AL119" s="26" t="str"/>
    </x:row>
    <x:row r="120">
      <x:c r="A120" s="26" t="n">
        <x:v>167</x:v>
      </x:c>
      <x:c r="B120" s="26" t="n">
        <x:v>125</x:v>
      </x:c>
      <x:c r="C120" s="26" t="str">
        <x:v>Kumuram Bheem Asifabad</x:v>
      </x:c>
      <x:c r="D120" s="26" t="str">
        <x:v>Telangana</x:v>
      </x:c>
      <x:c r="E120" s="26" t="n">
        <x:v>10748</x:v>
      </x:c>
      <x:c r="F120" s="26" t="str">
        <x:v>PRJ-2026-0010748</x:v>
      </x:c>
      <x:c r="G120" s="26" t="str">
        <x:v>Water filter </x:v>
      </x:c>
      <x:c r="H120" s="26" t="str">
        <x:v>Mission Saksham Anganwadi &amp; POSHAN 2.0</x:v>
      </x:c>
      <x:c r="I120" s="32" t="n">
        <x:v>46164</x:v>
      </x:c>
      <x:c r="J120" s="32" t="n">
        <x:v>46265</x:v>
      </x:c>
      <x:c r="K120" s="32"/>
      <x:c r="L120" s="26" t="str">
        <x:v>Active: On/After 01-Aug-2026</x:v>
      </x:c>
      <x:c r="M120" s="26" t="str">
        <x:v>Pending Mapping</x:v>
      </x:c>
      <x:c r="N120" s="26" t="str">
        <x:v>Original project JSON not available</x:v>
      </x:c>
      <x:c r="O120" s="26"/>
      <x:c r="P120" s="26" t="str"/>
      <x:c r="Q120" s="26" t="str"/>
      <x:c r="R120" s="26"/>
      <x:c r="S120" s="36"/>
      <x:c r="T120" s="26"/>
      <x:c r="U120" s="26"/>
      <x:c r="V120" s="26"/>
      <x:c r="W120" s="26" t="n">
        <x:v>7</x:v>
      </x:c>
      <x:c r="X120" s="26" t="n">
        <x:v>0</x:v>
      </x:c>
      <x:c r="Y120" s="26" t="n">
        <x:v>8</x:v>
      </x:c>
      <x:c r="Z120" s="26" t="n">
        <x:v>0</x:v>
      </x:c>
      <x:c r="AA120" s="26" t="n">
        <x:v>8</x:v>
      </x:c>
      <x:c r="AB120" s="38" t="n">
        <x:v>0</x:v>
      </x:c>
      <x:c r="AC120" s="26" t="str">
        <x:v>Committed / Not Delivered</x:v>
      </x:c>
      <x:c r="AD120" s="26" t="str">
        <x:v>Approval not recorded in response</x:v>
      </x:c>
      <x:c r="AE120" s="27" t="b">
        <x:v>1</x:v>
      </x:c>
      <x:c r="AF120" s="34" t="n">
        <x:v>46218.40939814815</x:v>
      </x:c>
      <x:c r="AG120" s="34"/>
      <x:c r="AH120" s="26" t="str">
        <x:v>Contribution API fields only; original project JSON needed for line-item names/centres/category</x:v>
      </x:c>
      <x:c r="AI120" s="26" t="str"/>
      <x:c r="AJ120" s="26" t="str">
        <x:v>Not Started</x:v>
      </x:c>
      <x:c r="AK120" s="26" t="str"/>
      <x:c r="AL120" s="26" t="str"/>
    </x:row>
    <x:row r="121">
      <x:c r="A121" s="26" t="n">
        <x:v>168</x:v>
      </x:c>
      <x:c r="B121" s="26" t="n">
        <x:v>124</x:v>
      </x:c>
      <x:c r="C121" s="26" t="str">
        <x:v>Kumuram Bheem Asifabad</x:v>
      </x:c>
      <x:c r="D121" s="26" t="str">
        <x:v>Telangana</x:v>
      </x:c>
      <x:c r="E121" s="26" t="n">
        <x:v>10255</x:v>
      </x:c>
      <x:c r="F121" s="26" t="str">
        <x:v>PRJ-2026-0010255</x:v>
      </x:c>
      <x:c r="G121" s="26" t="str">
        <x:v>Rain Water Harvesting System : Water Filter Kitchen Construction : Poshan Vatika  kitchen Shelves : Gas stove, regulator : Solar Panel : Civil Repair : Toilet</x:v>
      </x:c>
      <x:c r="H121" s="26" t="str">
        <x:v>Mission Saksham Anganwadi &amp; POSHAN 2.0</x:v>
      </x:c>
      <x:c r="I121" s="32" t="n">
        <x:v>46164</x:v>
      </x:c>
      <x:c r="J121" s="32" t="n">
        <x:v>46255</x:v>
      </x:c>
      <x:c r="K121" s="32"/>
      <x:c r="L121" s="26" t="str">
        <x:v>Active: On/After 01-Aug-2026</x:v>
      </x:c>
      <x:c r="M121" s="26" t="str">
        <x:v>Pending Mapping</x:v>
      </x:c>
      <x:c r="N121" s="26" t="str">
        <x:v>Original project JSON not available</x:v>
      </x:c>
      <x:c r="O121" s="26"/>
      <x:c r="P121" s="26" t="str"/>
      <x:c r="Q121" s="26" t="str"/>
      <x:c r="R121" s="26"/>
      <x:c r="S121" s="36"/>
      <x:c r="T121" s="26"/>
      <x:c r="U121" s="26"/>
      <x:c r="V121" s="26"/>
      <x:c r="W121" s="26" t="n">
        <x:v>4</x:v>
      </x:c>
      <x:c r="X121" s="26" t="n">
        <x:v>0</x:v>
      </x:c>
      <x:c r="Y121" s="26" t="n">
        <x:v>4</x:v>
      </x:c>
      <x:c r="Z121" s="26" t="n">
        <x:v>0</x:v>
      </x:c>
      <x:c r="AA121" s="26" t="n">
        <x:v>4</x:v>
      </x:c>
      <x:c r="AB121" s="38" t="n">
        <x:v>0</x:v>
      </x:c>
      <x:c r="AC121" s="26" t="str">
        <x:v>Committed / Not Delivered</x:v>
      </x:c>
      <x:c r="AD121" s="26" t="str">
        <x:v>Approval not recorded in response</x:v>
      </x:c>
      <x:c r="AE121" s="27" t="b">
        <x:v>1</x:v>
      </x:c>
      <x:c r="AF121" s="34" t="n">
        <x:v>46218.40608796296</x:v>
      </x:c>
      <x:c r="AG121" s="34"/>
      <x:c r="AH121" s="26" t="str">
        <x:v>Contribution API fields only; original project JSON needed for line-item names/centres/category</x:v>
      </x:c>
      <x:c r="AI121" s="26" t="str"/>
      <x:c r="AJ121" s="26" t="str">
        <x:v>Not Started</x:v>
      </x:c>
      <x:c r="AK121" s="26" t="str"/>
      <x:c r="AL121" s="26" t="str"/>
    </x:row>
    <x:row r="122">
      <x:c r="A122" s="26" t="n">
        <x:v>169</x:v>
      </x:c>
      <x:c r="B122" s="26" t="n">
        <x:v>120</x:v>
      </x:c>
      <x:c r="C122" s="26" t="str">
        <x:v>Kumuram Bheem Asifabad</x:v>
      </x:c>
      <x:c r="D122" s="26" t="str">
        <x:v>Telangana</x:v>
      </x:c>
      <x:c r="E122" s="26" t="n">
        <x:v>10748</x:v>
      </x:c>
      <x:c r="F122" s="26" t="str">
        <x:v>PRJ-2026-0010748</x:v>
      </x:c>
      <x:c r="G122" s="26" t="str">
        <x:v>Water filter </x:v>
      </x:c>
      <x:c r="H122" s="26" t="str">
        <x:v>Mission Saksham Anganwadi &amp; POSHAN 2.0</x:v>
      </x:c>
      <x:c r="I122" s="32" t="n">
        <x:v>46164</x:v>
      </x:c>
      <x:c r="J122" s="32" t="n">
        <x:v>46265</x:v>
      </x:c>
      <x:c r="K122" s="32"/>
      <x:c r="L122" s="26" t="str">
        <x:v>Active: On/After 01-Aug-2026</x:v>
      </x:c>
      <x:c r="M122" s="26" t="str">
        <x:v>Pending Mapping</x:v>
      </x:c>
      <x:c r="N122" s="26" t="str">
        <x:v>Original project JSON not available</x:v>
      </x:c>
      <x:c r="O122" s="26"/>
      <x:c r="P122" s="26" t="str"/>
      <x:c r="Q122" s="26" t="str"/>
      <x:c r="R122" s="26"/>
      <x:c r="S122" s="36"/>
      <x:c r="T122" s="26"/>
      <x:c r="U122" s="26"/>
      <x:c r="V122" s="26"/>
      <x:c r="W122" s="26" t="n">
        <x:v>4</x:v>
      </x:c>
      <x:c r="X122" s="26" t="n">
        <x:v>0</x:v>
      </x:c>
      <x:c r="Y122" s="26" t="n">
        <x:v>8</x:v>
      </x:c>
      <x:c r="Z122" s="26" t="n">
        <x:v>0</x:v>
      </x:c>
      <x:c r="AA122" s="26" t="n">
        <x:v>8</x:v>
      </x:c>
      <x:c r="AB122" s="38" t="n">
        <x:v>0</x:v>
      </x:c>
      <x:c r="AC122" s="26" t="str">
        <x:v>Committed / Not Delivered</x:v>
      </x:c>
      <x:c r="AD122" s="26" t="str">
        <x:v>Approval not recorded in response</x:v>
      </x:c>
      <x:c r="AE122" s="27" t="b">
        <x:v>1</x:v>
      </x:c>
      <x:c r="AF122" s="34" t="n">
        <x:v>46215.35917824074</x:v>
      </x:c>
      <x:c r="AG122" s="34"/>
      <x:c r="AH122" s="26" t="str">
        <x:v>Contribution API fields only; original project JSON needed for line-item names/centres/category</x:v>
      </x:c>
      <x:c r="AI122" s="26" t="str"/>
      <x:c r="AJ122" s="26" t="str">
        <x:v>Not Started</x:v>
      </x:c>
      <x:c r="AK122" s="26" t="str"/>
      <x:c r="AL122" s="26" t="str"/>
    </x:row>
  </x:sheetData>
  <x:mergeCells>
    <x:mergeCell ref="A1:AL1"/>
  </x:mergeCells>
  <x:pageMargins left="0.7" right="0.7" top="0.75" bottom="0.75" header="0.3" footer="0.3"/>
  <x:tableParts count="1">
    <x:tablePart xmlns:r="http://schemas.openxmlformats.org/officeDocument/2006/relationships" r:id="R0466a8aaea63441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.630000114440918" hidden="0" customWidth="1"/>
    <x:col min="3" max="3" width="10.630000114440918" hidden="0" customWidth="1"/>
    <x:col min="4" max="4" width="12.25" hidden="0" customWidth="1"/>
    <x:col min="5" max="5" width="11" hidden="0" customWidth="1"/>
    <x:col min="6" max="6" width="11.75" hidden="0" customWidth="1"/>
    <x:col min="7" max="7" width="8.630000114440918" hidden="0" customWidth="1"/>
    <x:col min="8" max="8" width="5.25" hidden="0" customWidth="1"/>
    <x:col min="9" max="9" width="7" hidden="0" customWidth="1"/>
    <x:col min="10" max="10" width="7.130000114440918" hidden="0" customWidth="1"/>
    <x:col min="11" max="11" width="13.880000114440918" hidden="0" customWidth="1"/>
    <x:col min="12" max="12" width="11.380000114440918" hidden="0" customWidth="1"/>
  </x:cols>
  <x:sheetData>
    <x:row r="1">
      <x:c r="A1" s="5" t="str">
        <x:v>PANKHUDI — District-wise Contribution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District</x:v>
      </x:c>
      <x:c r="B3" s="14" t="str">
        <x:v>Projects</x:v>
      </x:c>
      <x:c r="C3" s="14" t="str">
        <x:v>Activity Lines</x:v>
      </x:c>
      <x:c r="D3" s="14" t="str">
        <x:v>Committed Qty</x:v>
      </x:c>
      <x:c r="E3" s="14" t="str">
        <x:v>Delivered Qty</x:v>
      </x:c>
      <x:c r="F3" s="14" t="str">
        <x:v>Remaining Qty</x:v>
      </x:c>
      <x:c r="G3" s="14" t="str">
        <x:v>Delivery %</x:v>
      </x:c>
      <x:c r="H3" s="14" t="str">
        <x:v>Minor</x:v>
      </x:c>
      <x:c r="I3" s="14" t="str">
        <x:v>Medium</x:v>
      </x:c>
      <x:c r="J3" s="14" t="str">
        <x:v>Complex</x:v>
      </x:c>
      <x:c r="K3" s="14" t="str">
        <x:v>Pending Mapping</x:v>
      </x:c>
      <x:c r="L3" s="14" t="str">
        <x:v>Before 01-Aug</x:v>
      </x:c>
    </x:row>
    <x:row r="4">
      <x:c r="A4" s="24" t="str">
        <x:v>Kumuram Bheem Asifabad</x:v>
      </x:c>
      <x:c r="B4" s="24" t="n">
        <x:f>COUNTIF('All Contributions'!$C$4:$C$172,A4)</x:f>
        <x:v>85</x:v>
      </x:c>
      <x:c r="C4" s="24" t="n">
        <x:f>COUNTIF('Activity Detail'!$C$4:$C$706,A4)</x:f>
        <x:v>282</x:v>
      </x:c>
      <x:c r="D4" s="24" t="n">
        <x:f>SUMIF('Activity Detail'!$C$4:$C$706,A4,'Activity Detail'!$L$4:$L$706)</x:f>
        <x:v>1389</x:v>
      </x:c>
      <x:c r="E4" s="24" t="n">
        <x:f>SUMIF('Activity Detail'!$C$4:$C$706,A4,'Activity Detail'!$N$4:$N$706)</x:f>
        <x:v>0</x:v>
      </x:c>
      <x:c r="F4" s="24" t="n">
        <x:f>MAX(D4-E4,0)</x:f>
        <x:v>1389</x:v>
      </x:c>
      <x:c r="G4" s="48" t="n">
        <x:f>IFERROR(E4/D4,0)</x:f>
        <x:v>0</x:v>
      </x:c>
      <x:c r="H4" s="24" t="n">
        <x:f>COUNTIFS('All Contributions'!$C$4:$C$172,A4,'All Contributions'!$M$4:$M$172,"Minor")</x:f>
        <x:v>0</x:v>
      </x:c>
      <x:c r="I4" s="24" t="n">
        <x:f>COUNTIFS('All Contributions'!$C$4:$C$172,A4,'All Contributions'!$M$4:$M$172,"Medium")</x:f>
        <x:v>0</x:v>
      </x:c>
      <x:c r="J4" s="24" t="n">
        <x:f>COUNTIFS('All Contributions'!$C$4:$C$172,A4,'All Contributions'!$M$4:$M$172,"Complex")</x:f>
        <x:v>0</x:v>
      </x:c>
      <x:c r="K4" s="24" t="n">
        <x:f>COUNTIFS('All Contributions'!$C$4:$C$172,A4,'All Contributions'!$M$4:$M$172,"Pending Mapping")</x:f>
        <x:v>85</x:v>
      </x:c>
      <x:c r="L4" s="24" t="n">
        <x:f>COUNTIFS('All Contributions'!$C$4:$C$172,A4,'All Contributions'!$L$4:$L$172,"Exclude: Before 01-Aug-2026")</x:f>
        <x:v>8</x:v>
      </x:c>
    </x:row>
    <x:row r="5">
      <x:c r="A5" s="24" t="str">
        <x:v>Medak</x:v>
      </x:c>
      <x:c r="B5" s="24" t="n">
        <x:f>COUNTIF('All Contributions'!$C$4:$C$172,A5)</x:f>
        <x:v>33</x:v>
      </x:c>
      <x:c r="C5" s="24" t="n">
        <x:f>COUNTIF('Activity Detail'!$C$4:$C$706,A5)</x:f>
        <x:v>101</x:v>
      </x:c>
      <x:c r="D5" s="24" t="n">
        <x:f>SUMIF('Activity Detail'!$C$4:$C$706,A5,'Activity Detail'!$L$4:$L$706)</x:f>
        <x:v>619</x:v>
      </x:c>
      <x:c r="E5" s="24" t="n">
        <x:f>SUMIF('Activity Detail'!$C$4:$C$706,A5,'Activity Detail'!$N$4:$N$706)</x:f>
        <x:v>0</x:v>
      </x:c>
      <x:c r="F5" s="24" t="n">
        <x:f>MAX(D5-E5,0)</x:f>
        <x:v>619</x:v>
      </x:c>
      <x:c r="G5" s="48" t="n">
        <x:f>IFERROR(E5/D5,0)</x:f>
        <x:v>0</x:v>
      </x:c>
      <x:c r="H5" s="24" t="n">
        <x:f>COUNTIFS('All Contributions'!$C$4:$C$172,A5,'All Contributions'!$M$4:$M$172,"Minor")</x:f>
        <x:v>0</x:v>
      </x:c>
      <x:c r="I5" s="24" t="n">
        <x:f>COUNTIFS('All Contributions'!$C$4:$C$172,A5,'All Contributions'!$M$4:$M$172,"Medium")</x:f>
        <x:v>0</x:v>
      </x:c>
      <x:c r="J5" s="24" t="n">
        <x:f>COUNTIFS('All Contributions'!$C$4:$C$172,A5,'All Contributions'!$M$4:$M$172,"Complex")</x:f>
        <x:v>0</x:v>
      </x:c>
      <x:c r="K5" s="24" t="n">
        <x:f>COUNTIFS('All Contributions'!$C$4:$C$172,A5,'All Contributions'!$M$4:$M$172,"Pending Mapping")</x:f>
        <x:v>33</x:v>
      </x:c>
      <x:c r="L5" s="24" t="n">
        <x:f>COUNTIFS('All Contributions'!$C$4:$C$172,A5,'All Contributions'!$L$4:$L$172,"Exclude: Before 01-Aug-2026")</x:f>
        <x:v>0</x:v>
      </x:c>
    </x:row>
    <x:row r="6">
      <x:c r="A6" s="24" t="str">
        <x:v>Mulugu</x:v>
      </x:c>
      <x:c r="B6" s="24" t="n">
        <x:f>COUNTIF('All Contributions'!$C$4:$C$172,A6)</x:f>
        <x:v>50</x:v>
      </x:c>
      <x:c r="C6" s="24" t="n">
        <x:f>COUNTIF('Activity Detail'!$C$4:$C$706,A6)</x:f>
        <x:v>317</x:v>
      </x:c>
      <x:c r="D6" s="24" t="n">
        <x:f>SUMIF('Activity Detail'!$C$4:$C$706,A6,'Activity Detail'!$L$4:$L$706)</x:f>
        <x:v>2748</x:v>
      </x:c>
      <x:c r="E6" s="24" t="n">
        <x:f>SUMIF('Activity Detail'!$C$4:$C$706,A6,'Activity Detail'!$N$4:$N$706)</x:f>
        <x:v>0</x:v>
      </x:c>
      <x:c r="F6" s="24" t="n">
        <x:f>MAX(D6-E6,0)</x:f>
        <x:v>2748</x:v>
      </x:c>
      <x:c r="G6" s="48" t="n">
        <x:f>IFERROR(E6/D6,0)</x:f>
        <x:v>0</x:v>
      </x:c>
      <x:c r="H6" s="24" t="n">
        <x:f>COUNTIFS('All Contributions'!$C$4:$C$172,A6,'All Contributions'!$M$4:$M$172,"Minor")</x:f>
        <x:v>0</x:v>
      </x:c>
      <x:c r="I6" s="24" t="n">
        <x:f>COUNTIFS('All Contributions'!$C$4:$C$172,A6,'All Contributions'!$M$4:$M$172,"Medium")</x:f>
        <x:v>41</x:v>
      </x:c>
      <x:c r="J6" s="24" t="n">
        <x:f>COUNTIFS('All Contributions'!$C$4:$C$172,A6,'All Contributions'!$M$4:$M$172,"Complex")</x:f>
        <x:v>9</x:v>
      </x:c>
      <x:c r="K6" s="24" t="n">
        <x:f>COUNTIFS('All Contributions'!$C$4:$C$172,A6,'All Contributions'!$M$4:$M$172,"Pending Mapping")</x:f>
        <x:v>0</x:v>
      </x:c>
      <x:c r="L6" s="24" t="n">
        <x:f>COUNTIFS('All Contributions'!$C$4:$C$172,A6,'All Contributions'!$L$4:$L$172,"Exclude: Before 01-Aug-2026")</x:f>
        <x:v>0</x:v>
      </x:c>
    </x:row>
    <x:row r="7">
      <x:c r="A7" s="24" t="str">
        <x:v>Siddipet</x:v>
      </x:c>
      <x:c r="B7" s="24" t="n">
        <x:f>COUNTIF('All Contributions'!$C$4:$C$172,A7)</x:f>
        <x:v>1</x:v>
      </x:c>
      <x:c r="C7" s="24" t="n">
        <x:f>COUNTIF('Activity Detail'!$C$4:$C$706,A7)</x:f>
        <x:v>3</x:v>
      </x:c>
      <x:c r="D7" s="24" t="n">
        <x:f>SUMIF('Activity Detail'!$C$4:$C$706,A7,'Activity Detail'!$L$4:$L$706)</x:f>
        <x:v>3</x:v>
      </x:c>
      <x:c r="E7" s="24" t="n">
        <x:f>SUMIF('Activity Detail'!$C$4:$C$706,A7,'Activity Detail'!$N$4:$N$706)</x:f>
        <x:v>0</x:v>
      </x:c>
      <x:c r="F7" s="24" t="n">
        <x:f>MAX(D7-E7,0)</x:f>
        <x:v>3</x:v>
      </x:c>
      <x:c r="G7" s="48" t="n">
        <x:f>IFERROR(E7/D7,0)</x:f>
        <x:v>0</x:v>
      </x:c>
      <x:c r="H7" s="24" t="n">
        <x:f>COUNTIFS('All Contributions'!$C$4:$C$172,A7,'All Contributions'!$M$4:$M$172,"Minor")</x:f>
        <x:v>0</x:v>
      </x:c>
      <x:c r="I7" s="24" t="n">
        <x:f>COUNTIFS('All Contributions'!$C$4:$C$172,A7,'All Contributions'!$M$4:$M$172,"Medium")</x:f>
        <x:v>0</x:v>
      </x:c>
      <x:c r="J7" s="24" t="n">
        <x:f>COUNTIFS('All Contributions'!$C$4:$C$172,A7,'All Contributions'!$M$4:$M$172,"Complex")</x:f>
        <x:v>0</x:v>
      </x:c>
      <x:c r="K7" s="24" t="n">
        <x:f>COUNTIFS('All Contributions'!$C$4:$C$172,A7,'All Contributions'!$M$4:$M$172,"Pending Mapping")</x:f>
        <x:v>1</x:v>
      </x:c>
      <x:c r="L7" s="24" t="n">
        <x:f>COUNTIFS('All Contributions'!$C$4:$C$172,A7,'All Contributions'!$L$4:$L$172,"Exclude: Before 01-Aug-2026")</x:f>
        <x:v>0</x:v>
      </x:c>
    </x:row>
    <x:row r="8">
      <x:c r="A8" s="49" t="str">
        <x:v>Grand Total</x:v>
      </x:c>
      <x:c r="B8" s="49" t="n">
        <x:f>SUM(B4:B7)</x:f>
        <x:v>169</x:v>
      </x:c>
      <x:c r="C8" s="49" t="n">
        <x:f>SUM(C4:C7)</x:f>
        <x:v>703</x:v>
      </x:c>
      <x:c r="D8" s="49" t="n">
        <x:f>SUM(D4:D7)</x:f>
        <x:v>4759</x:v>
      </x:c>
      <x:c r="E8" s="49" t="n">
        <x:f>SUM(E4:E7)</x:f>
        <x:v>0</x:v>
      </x:c>
      <x:c r="F8" s="49" t="n">
        <x:f>SUM(F4:F7)</x:f>
        <x:v>4759</x:v>
      </x:c>
      <x:c r="G8" s="50" t="n">
        <x:f>IFERROR(E8/D8,0)</x:f>
        <x:v>0</x:v>
      </x:c>
      <x:c r="H8" s="49" t="n">
        <x:f>SUM(H4:H7)</x:f>
        <x:v>0</x:v>
      </x:c>
      <x:c r="I8" s="49" t="n">
        <x:f>SUM(I4:I7)</x:f>
        <x:v>41</x:v>
      </x:c>
      <x:c r="J8" s="49" t="n">
        <x:f>SUM(J4:J7)</x:f>
        <x:v>9</x:v>
      </x:c>
      <x:c r="K8" s="49" t="n">
        <x:f>SUM(K4:K7)</x:f>
        <x:v>119</x:v>
      </x:c>
      <x:c r="L8" s="49" t="n">
        <x:f>SUM(L4:L7)</x:f>
        <x:v>8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df613c4e120411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.630000114440918" hidden="0" customWidth="1"/>
    <x:col min="4" max="4" width="34" hidden="0" customWidth="1"/>
    <x:col min="5" max="5" width="11" hidden="0" customWidth="1"/>
    <x:col min="6" max="6" width="20.1299991607666" hidden="0" customWidth="1"/>
    <x:col min="3" max="3" width="10.630000114440918" hidden="0" customWidth="1"/>
    <x:col min="7" max="7" width="8.630000114440918" hidden="0" customWidth="1"/>
  </x:cols>
  <x:sheetData>
    <x:row r="1">
      <x:c r="A1" s="5" t="str">
        <x:v>PANKHUDI — My Contribution Portfolio Dashboard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Portfolio KPI</x:v>
      </x:c>
      <x:c r="B3" s="14" t="str">
        <x:v>Value</x:v>
      </x:c>
      <x:c r="D3" s="56" t="str">
        <x:v>Editable Planning Model — Not Source Data</x:v>
      </x:c>
      <x:c r="E3" s="56"/>
      <x:c r="F3" s="56"/>
    </x:row>
    <x:row r="4">
      <x:c r="A4" s="26" t="str">
        <x:v>Total Contribution Projects</x:v>
      </x:c>
      <x:c r="B4" s="26" t="n">
        <x:f>'District Summary'!B8</x:f>
        <x:v>169</x:v>
      </x:c>
      <x:c r="D4" s="26" t="str">
        <x:v>Assumed Portal Ceiling per Project</x:v>
      </x:c>
      <x:c r="E4" s="67" t="n">
        <x:v>50000</x:v>
      </x:c>
      <x:c r="F4" s="26" t="str">
        <x:v>Editable assumption</x:v>
      </x:c>
    </x:row>
    <x:row r="5">
      <x:c r="A5" s="26" t="str">
        <x:v>Districts Covered</x:v>
      </x:c>
      <x:c r="B5" s="26" t="n">
        <x:v>4</x:v>
      </x:c>
      <x:c r="D5" s="26" t="str">
        <x:v>Indicative Portfolio Ceiling</x:v>
      </x:c>
      <x:c r="E5" s="63" t="n">
        <x:f>B4*E4</x:f>
        <x:v>8450000</x:v>
      </x:c>
      <x:c r="F5" s="26" t="str">
        <x:v>Projects × assumed ceiling</x:v>
      </x:c>
    </x:row>
    <x:row r="6">
      <x:c r="A6" s="26" t="str">
        <x:v>Contribution Activity Lines</x:v>
      </x:c>
      <x:c r="B6" s="26" t="n">
        <x:f>'District Summary'!C8</x:f>
        <x:v>703</x:v>
      </x:c>
      <x:c r="D6" s="26" t="str">
        <x:v>Direct Implementation — 70%</x:v>
      </x:c>
      <x:c r="E6" s="63" t="n">
        <x:f>E5*70%</x:f>
        <x:v>5915000</x:v>
      </x:c>
      <x:c r="F6" s="26" t="str">
        <x:v>Planning split</x:v>
      </x:c>
    </x:row>
    <x:row r="7">
      <x:c r="A7" s="26" t="str">
        <x:v>Total Committed Quantity</x:v>
      </x:c>
      <x:c r="B7" s="26" t="n">
        <x:f>'District Summary'!D8</x:f>
        <x:v>4759</x:v>
      </x:c>
      <x:c r="D7" s="26" t="str">
        <x:v>Implementation / Operations — 15%</x:v>
      </x:c>
      <x:c r="E7" s="63" t="n">
        <x:f>E5*15%</x:f>
        <x:v>1267500</x:v>
      </x:c>
      <x:c r="F7" s="26" t="str">
        <x:v>Planning split</x:v>
      </x:c>
    </x:row>
    <x:row r="8">
      <x:c r="A8" s="26" t="str">
        <x:v>Total Delivered Quantity</x:v>
      </x:c>
      <x:c r="B8" s="26" t="n">
        <x:f>'District Summary'!E8</x:f>
        <x:v>0</x:v>
      </x:c>
      <x:c r="D8" s="26" t="str">
        <x:v>NGO Margin — 15%</x:v>
      </x:c>
      <x:c r="E8" s="63" t="n">
        <x:f>E5*15%</x:f>
        <x:v>1267500</x:v>
      </x:c>
      <x:c r="F8" s="26" t="str">
        <x:v>Planning split</x:v>
      </x:c>
    </x:row>
    <x:row r="9">
      <x:c r="A9" s="26" t="str">
        <x:v>Remaining Quantity</x:v>
      </x:c>
      <x:c r="B9" s="26" t="n">
        <x:f>'District Summary'!F8</x:f>
        <x:v>4759</x:v>
      </x:c>
    </x:row>
    <x:row r="10">
      <x:c r="A10" s="26" t="str">
        <x:v>Overall Delivery Progress</x:v>
      </x:c>
      <x:c r="B10" s="38" t="n">
        <x:f>'District Summary'!G8</x:f>
        <x:v>0</x:v>
      </x:c>
    </x:row>
    <x:row r="11">
      <x:c r="A11" s="26" t="str">
        <x:v>Projects Ending Before 01-Aug-2026</x:v>
      </x:c>
      <x:c r="B11" s="26" t="n">
        <x:f>'District Summary'!L8</x:f>
        <x:v>8</x:v>
      </x:c>
    </x:row>
    <x:row r="12">
      <x:c r="A12" s="26" t="str">
        <x:v>Projects with Category Mapping</x:v>
      </x:c>
      <x:c r="B12" s="26" t="n">
        <x:f>SUM('District Summary'!H8:J8)</x:f>
        <x:v>50</x:v>
      </x:c>
    </x:row>
    <x:row r="13">
      <x:c r="A13" s="26" t="str">
        <x:v>Projects Pending Category Mapping</x:v>
      </x:c>
      <x:c r="B13" s="26" t="n">
        <x:f>'District Summary'!K8</x:f>
        <x:v>119</x:v>
      </x:c>
    </x:row>
    <x:row r="16">
      <x:c r="A16" s="14" t="str">
        <x:v>District</x:v>
      </x:c>
      <x:c r="B16" s="14" t="str">
        <x:v>Projects</x:v>
      </x:c>
      <x:c r="C16" s="14" t="str">
        <x:v>Activity Lines</x:v>
      </x:c>
      <x:c r="D16" s="14" t="str">
        <x:v>Committed Qty</x:v>
      </x:c>
      <x:c r="E16" s="14" t="str">
        <x:v>Delivered Qty</x:v>
      </x:c>
      <x:c r="F16" s="14" t="str">
        <x:v>Remaining Qty</x:v>
      </x:c>
      <x:c r="G16" s="14" t="str">
        <x:v>Delivery %</x:v>
      </x:c>
    </x:row>
    <x:row r="17">
      <x:c r="A17" s="24" t="str">
        <x:f>'District Summary'!A4</x:f>
        <x:v>Kumuram Bheem Asifabad</x:v>
      </x:c>
      <x:c r="B17" s="24" t="n">
        <x:f>'District Summary'!B4</x:f>
        <x:v>85</x:v>
      </x:c>
      <x:c r="C17" s="24" t="n">
        <x:f>'District Summary'!C4</x:f>
        <x:v>282</x:v>
      </x:c>
      <x:c r="D17" s="24" t="n">
        <x:f>'District Summary'!D4</x:f>
        <x:v>1389</x:v>
      </x:c>
      <x:c r="E17" s="24" t="n">
        <x:f>'District Summary'!E4</x:f>
        <x:v>0</x:v>
      </x:c>
      <x:c r="F17" s="24" t="n">
        <x:f>'District Summary'!F4</x:f>
        <x:v>1389</x:v>
      </x:c>
      <x:c r="G17" s="48" t="n">
        <x:f>'District Summary'!G4</x:f>
        <x:v>0</x:v>
      </x:c>
    </x:row>
    <x:row r="18">
      <x:c r="A18" s="24" t="str">
        <x:f>'District Summary'!A5</x:f>
        <x:v>Medak</x:v>
      </x:c>
      <x:c r="B18" s="24" t="n">
        <x:f>'District Summary'!B5</x:f>
        <x:v>33</x:v>
      </x:c>
      <x:c r="C18" s="24" t="n">
        <x:f>'District Summary'!C5</x:f>
        <x:v>101</x:v>
      </x:c>
      <x:c r="D18" s="24" t="n">
        <x:f>'District Summary'!D5</x:f>
        <x:v>619</x:v>
      </x:c>
      <x:c r="E18" s="24" t="n">
        <x:f>'District Summary'!E5</x:f>
        <x:v>0</x:v>
      </x:c>
      <x:c r="F18" s="24" t="n">
        <x:f>'District Summary'!F5</x:f>
        <x:v>619</x:v>
      </x:c>
      <x:c r="G18" s="48" t="n">
        <x:f>'District Summary'!G5</x:f>
        <x:v>0</x:v>
      </x:c>
    </x:row>
    <x:row r="19">
      <x:c r="A19" s="24" t="str">
        <x:f>'District Summary'!A6</x:f>
        <x:v>Mulugu</x:v>
      </x:c>
      <x:c r="B19" s="24" t="n">
        <x:f>'District Summary'!B6</x:f>
        <x:v>50</x:v>
      </x:c>
      <x:c r="C19" s="24" t="n">
        <x:f>'District Summary'!C6</x:f>
        <x:v>317</x:v>
      </x:c>
      <x:c r="D19" s="24" t="n">
        <x:f>'District Summary'!D6</x:f>
        <x:v>2748</x:v>
      </x:c>
      <x:c r="E19" s="24" t="n">
        <x:f>'District Summary'!E6</x:f>
        <x:v>0</x:v>
      </x:c>
      <x:c r="F19" s="24" t="n">
        <x:f>'District Summary'!F6</x:f>
        <x:v>2748</x:v>
      </x:c>
      <x:c r="G19" s="48" t="n">
        <x:f>'District Summary'!G6</x:f>
        <x:v>0</x:v>
      </x:c>
    </x:row>
    <x:row r="20">
      <x:c r="A20" s="24" t="str">
        <x:f>'District Summary'!A7</x:f>
        <x:v>Siddipet</x:v>
      </x:c>
      <x:c r="B20" s="24" t="n">
        <x:f>'District Summary'!B7</x:f>
        <x:v>1</x:v>
      </x:c>
      <x:c r="C20" s="24" t="n">
        <x:f>'District Summary'!C7</x:f>
        <x:v>3</x:v>
      </x:c>
      <x:c r="D20" s="24" t="n">
        <x:f>'District Summary'!D7</x:f>
        <x:v>3</x:v>
      </x:c>
      <x:c r="E20" s="24" t="n">
        <x:f>'District Summary'!E7</x:f>
        <x:v>0</x:v>
      </x:c>
      <x:c r="F20" s="24" t="n">
        <x:f>'District Summary'!F7</x:f>
        <x:v>3</x:v>
      </x:c>
      <x:c r="G20" s="48" t="n">
        <x:f>'District Summary'!G7</x:f>
        <x:v>0</x:v>
      </x:c>
    </x:row>
  </x:sheetData>
  <x:mergeCells>
    <x:mergeCell ref="A1:H1"/>
    <x:mergeCell ref="D3:F3"/>
  </x:mergeCells>
  <x:pageMargins left="0.7" right="0.7" top="0.75" bottom="0.75" header="0.3" footer="0.3"/>
  <x:drawing xmlns:r="http://schemas.openxmlformats.org/officeDocument/2006/relationships" r:id="R3325b463f434469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5" t="str">
        <x:v>Workbook Rules, Assumptions and Data Limitations</x:v>
      </x:c>
      <x:c r="B1" s="5"/>
      <x:c r="C1" s="5"/>
      <x:c r="D1" s="5"/>
    </x:row>
    <x:row r="3">
      <x:c r="A3" s="14" t="str">
        <x:v>Topic</x:v>
      </x:c>
      <x:c r="B3" s="14" t="str">
        <x:v>Rule / Note</x:v>
      </x:c>
    </x:row>
    <x:row r="4">
      <x:c r="A4" s="26" t="str">
        <x:v>Primary source</x:v>
      </x:c>
      <x:c r="B4" s="26" t="str">
        <x:v>mycontribs.json — 169 contribution records and 703 contribution-detail rows.</x:v>
      </x:c>
    </x:row>
    <x:row r="5">
      <x:c r="A5" s="26" t="str">
        <x:v>Project enrichment source</x:v>
      </x:c>
      <x:c r="B5" s="26" t="str">
        <x:v>Attached mulugu.json was used to enrich all 50 Mulugu contribution projects with line-item names, subcategories, centres, impacts and portal budget.</x:v>
      </x:c>
    </x:row>
    <x:row r="6">
      <x:c r="A6" s="26" t="str">
        <x:v>Other districts</x:v>
      </x:c>
      <x:c r="B6" s="26" t="str">
        <x:v>Kumuram Bheem Asifabad, Medak and Siddipet contribution records do not contain line-item names, subcategories, centres or portal budgets. These projects are marked Pending Mapping until their original project JSON is supplied.</x:v>
      </x:c>
    </x:row>
    <x:row r="7">
      <x:c r="A7" s="26" t="str">
        <x:v>Date gate</x:v>
      </x:c>
      <x:c r="B7" s="26" t="str">
        <x:v>Projects with Expected End Date before 01-Aug-2026 are separated into the Exclude Before 01-Aug sheet; all records remain in All Contributions.</x:v>
      </x:c>
    </x:row>
    <x:row r="8">
      <x:c r="A8" s="26" t="str">
        <x:v>Minor tier</x:v>
      </x:c>
      <x:c r="B8" s="26" t="str">
        <x:v>Health and Safety aids; ECCE Equipment; Educational Needs; Office Needs.</x:v>
      </x:c>
    </x:row>
    <x:row r="9">
      <x:c r="A9" s="26" t="str">
        <x:v>Medium tier</x:v>
      </x:c>
      <x:c r="B9" s="26" t="str">
        <x:v>Electrical Infrastructure; Digital Infrastructure.</x:v>
      </x:c>
    </x:row>
    <x:row r="10">
      <x:c r="A10" s="26" t="str">
        <x:v>Complex tier</x:v>
      </x:c>
      <x:c r="B10" s="26" t="str">
        <x:v>Civil Infrastructure.</x:v>
      </x:c>
    </x:row>
    <x:row r="11">
      <x:c r="A11" s="26" t="str">
        <x:v>Project category rule</x:v>
      </x:c>
      <x:c r="B11" s="26" t="str">
        <x:v>The project category is the highest tier among available project line items: Complex &gt; Medium &gt; Minor.</x:v>
      </x:c>
    </x:row>
    <x:row r="12">
      <x:c r="A12" s="26" t="str">
        <x:v>Delivery status</x:v>
      </x:c>
      <x:c r="B12" s="26" t="str">
        <x:v>Committed / Not Delivered when delivered quantity is zero; Partially Delivered when delivered quantity is below committed quantity; Delivered when delivered quantity meets or exceeds committed quantity.</x:v>
      </x:c>
    </x:row>
    <x:row r="13">
      <x:c r="A13" s="26" t="str">
        <x:v>Planning ceiling</x:v>
      </x:c>
      <x:c r="B13" s="26" t="str">
        <x:v>₹50,000 per project on the Dashboard is an editable planning assumption only. It is not present in mycontribs.json.</x:v>
      </x:c>
    </x:row>
    <x:row r="14">
      <x:c r="A14" s="26" t="str">
        <x:v>70% / 15% / 15%</x:v>
      </x:c>
      <x:c r="B14" s="26" t="str">
        <x:v>Dashboard planning model allocates 70% direct implementation, 15% implementation/operations and 15% NGO margin. This is an internal planning split, not portal source data.</x:v>
      </x:c>
    </x:row>
    <x:row r="15">
      <x:c r="A15" s="26" t="str">
        <x:v>Editable tracker fields</x:v>
      </x:c>
      <x:c r="B15" s="26" t="str">
        <x:v>Internal Work Status, Owner and Internal Remarks were added for operational tracking.</x:v>
      </x:c>
    </x:row>
  </x:sheetData>
  <x:mergeCells>
    <x:mergeCell ref="A1:D1"/>
  </x:mergeCells>
  <x:pageMargins left="0.7" right="0.7" top="0.75" bottom="0.75" header="0.3" footer="0.3"/>
</x:worksheet>
</file>