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897689087a4fd0" /></Relationships>
</file>

<file path=xl/workbook.xml><?xml version="1.0" encoding="utf-8"?>
<x:workbook xmlns:x="http://schemas.openxmlformats.org/spreadsheetml/2006/main">
  <x:sheets>
    <x:sheet xmlns:r="http://schemas.openxmlformats.org/officeDocument/2006/relationships" name="School_Profile" sheetId="1" r:id="R4ae1612618904527"/>
    <x:sheet xmlns:r="http://schemas.openxmlformats.org/officeDocument/2006/relationships" name="Lists" sheetId="2" r:id="R42a03edb1b204e8e"/>
    <x:sheet xmlns:r="http://schemas.openxmlformats.org/officeDocument/2006/relationships" name="Basic Civil" sheetId="3" r:id="R88a643ccc35e44b5"/>
    <x:sheet xmlns:r="http://schemas.openxmlformats.org/officeDocument/2006/relationships" name="Classroom Needs" sheetId="4" r:id="R212f19e2d5514bdf"/>
    <x:sheet xmlns:r="http://schemas.openxmlformats.org/officeDocument/2006/relationships" name="Electrical" sheetId="5" r:id="Re4b85354e3dd4d09"/>
    <x:sheet xmlns:r="http://schemas.openxmlformats.org/officeDocument/2006/relationships" name="Sports" sheetId="6" r:id="R1769f1708e4b49d2"/>
    <x:sheet xmlns:r="http://schemas.openxmlformats.org/officeDocument/2006/relationships" name="Health Safety" sheetId="7" r:id="Rfee2f92ed2a0442c"/>
    <x:sheet xmlns:r="http://schemas.openxmlformats.org/officeDocument/2006/relationships" name="TLM" sheetId="8" r:id="Re3864635164541c7"/>
    <x:sheet xmlns:r="http://schemas.openxmlformats.org/officeDocument/2006/relationships" name="Tool Kits" sheetId="9" r:id="R75c0c9d2df8f45ea"/>
    <x:sheet xmlns:r="http://schemas.openxmlformats.org/officeDocument/2006/relationships" name="Residential" sheetId="10" r:id="Re3bc839328a6446d"/>
    <x:sheet xmlns:r="http://schemas.openxmlformats.org/officeDocument/2006/relationships" name="Maintenance" sheetId="11" r:id="Rab7e15aba6374aca"/>
    <x:sheet xmlns:r="http://schemas.openxmlformats.org/officeDocument/2006/relationships" name="Office Needs" sheetId="12" r:id="R9e843e63d6dc4f46"/>
    <x:sheet xmlns:r="http://schemas.openxmlformats.org/officeDocument/2006/relationships" name="Dashboard" sheetId="13" r:id="R7e4962aef9744472"/>
    <x:sheet xmlns:r="http://schemas.openxmlformats.org/officeDocument/2006/relationships" name="Proposal_Text" sheetId="14" r:id="R2d2347ec0a0345b8"/>
    <x:sheet xmlns:r="http://schemas.openxmlformats.org/officeDocument/2006/relationships" name="How_to_Use" sheetId="15" r:id="R4629cf76070e471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4"/>
      <x:color rgb="FFFFFFFF"/>
      <x:name val="Carlito"/>
    </x:font>
    <x:font>
      <x:b/>
      <x:sz val="11"/>
      <x:name val="Carlito"/>
    </x:font>
    <x:font>
      <x:b/>
      <x:sz val="11"/>
      <x:color rgb="FF1F4E79"/>
      <x:name val="Carlito"/>
    </x:font>
  </x:fonts>
  <x:fills count="6">
    <x:fill>
      <x:patternFill patternType="none"/>
    </x:fill>
    <x:fill>
      <x:patternFill patternType="gray125"/>
    </x:fill>
    <x:fill>
      <x:patternFill patternType="solid">
        <x:fgColor rgb="FF1F4E79"/>
      </x:patternFill>
    </x:fill>
    <x:fill>
      <x:patternFill patternType="solid">
        <x:fgColor rgb="FFEEF2F7"/>
      </x:patternFill>
    </x:fill>
    <x:fill>
      <x:patternFill patternType="solid">
        <x:fgColor rgb="FFD9EAF7"/>
      </x:patternFill>
    </x:fill>
    <x:fill>
      <x:patternFill patternType="solid">
        <x:fgColor rgb="FFFFF2CC"/>
      </x:patternFill>
    </x:fill>
  </x:fills>
  <x:borders count="22">
    <x:border/>
    <x:border/>
    <x:border>
      <x:top style="thin">
        <x:color rgb="FF9E9E9E"/>
      </x:top>
    </x:border>
    <x:border>
      <x:top style="thin">
        <x:color rgb="FF9E9E9E"/>
      </x:top>
    </x:border>
    <x:border>
      <x:left style="thin">
        <x:color rgb="FFCBD5E1"/>
      </x:left>
      <x:right style="thin">
        <x:color rgb="FFE5E7EB"/>
      </x:right>
      <x:top style="thin">
        <x:color rgb="FFCBD5E1"/>
      </x:top>
      <x:bottom style="thin">
        <x:color rgb="FFE5E7EB"/>
      </x:bottom>
    </x:border>
    <x:border>
      <x:left style="thin">
        <x:color rgb="FFE5E7EB"/>
      </x:left>
      <x:right style="thin">
        <x:color rgb="FFE5E7EB"/>
      </x:right>
      <x:top style="thin">
        <x:color rgb="FFCBD5E1"/>
      </x:top>
      <x:bottom style="thin">
        <x:color rgb="FFE5E7EB"/>
      </x:bottom>
    </x:border>
    <x:border>
      <x:left style="thin">
        <x:color rgb="FFE5E7EB"/>
      </x:left>
      <x:right style="thin">
        <x:color rgb="FFCBD5E1"/>
      </x:right>
      <x:top style="thin">
        <x:color rgb="FFCBD5E1"/>
      </x:top>
      <x:bottom style="thin">
        <x:color rgb="FFE5E7EB"/>
      </x:bottom>
    </x:border>
    <x:border>
      <x:left style="thin">
        <x:color rgb="FFCBD5E1"/>
      </x:left>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right style="thin">
        <x:color rgb="FFCBD5E1"/>
      </x:right>
      <x:top style="thin">
        <x:color rgb="FFE5E7EB"/>
      </x:top>
      <x:bottom style="thin">
        <x:color rgb="FFE5E7EB"/>
      </x:bottom>
    </x:border>
    <x:border>
      <x:left style="thin">
        <x:color rgb="FFCBD5E1"/>
      </x:left>
      <x:right style="thin">
        <x:color rgb="FFE5E7EB"/>
      </x:right>
      <x:top style="thin">
        <x:color rgb="FFE5E7EB"/>
      </x:top>
      <x:bottom style="thin">
        <x:color rgb="FFCBD5E1"/>
      </x:bottom>
    </x:border>
    <x:border>
      <x:left style="thin">
        <x:color rgb="FFE5E7EB"/>
      </x:left>
      <x:right style="thin">
        <x:color rgb="FFE5E7EB"/>
      </x:right>
      <x:top style="thin">
        <x:color rgb="FFE5E7EB"/>
      </x:top>
      <x:bottom style="thin">
        <x:color rgb="FFCBD5E1"/>
      </x:bottom>
    </x:border>
    <x:border>
      <x:left style="thin">
        <x:color rgb="FFE5E7EB"/>
      </x:left>
      <x:right style="thin">
        <x:color rgb="FFCBD5E1"/>
      </x:right>
      <x:top style="thin">
        <x:color rgb="FFE5E7EB"/>
      </x:top>
      <x:bottom style="thin">
        <x:color rgb="FFCBD5E1"/>
      </x:bottom>
    </x:border>
    <x:border>
      <x:left style="thin">
        <x:color rgb="FFCBD5E1"/>
      </x:left>
      <x:right style="thin">
        <x:color rgb="FFE5E7EB"/>
      </x:right>
      <x:top style="thin">
        <x:color rgb="FFCBD5E1"/>
      </x:top>
      <x:bottom style="thin">
        <x:color rgb="FFE5E7EB"/>
      </x:bottom>
    </x:border>
    <x:border>
      <x:left style="thin">
        <x:color rgb="FFE5E7EB"/>
      </x:left>
      <x:right style="thin">
        <x:color rgb="FFE5E7EB"/>
      </x:right>
      <x:top style="thin">
        <x:color rgb="FFCBD5E1"/>
      </x:top>
      <x:bottom style="thin">
        <x:color rgb="FFE5E7EB"/>
      </x:bottom>
    </x:border>
    <x:border>
      <x:left style="thin">
        <x:color rgb="FFE5E7EB"/>
      </x:left>
      <x:right style="thin">
        <x:color rgb="FFCBD5E1"/>
      </x:right>
      <x:top style="thin">
        <x:color rgb="FFCBD5E1"/>
      </x:top>
      <x:bottom style="thin">
        <x:color rgb="FFE5E7EB"/>
      </x:bottom>
    </x:border>
    <x:border>
      <x:left style="thin">
        <x:color rgb="FFCBD5E1"/>
      </x:left>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right style="thin">
        <x:color rgb="FFCBD5E1"/>
      </x:right>
      <x:top style="thin">
        <x:color rgb="FFE5E7EB"/>
      </x:top>
      <x:bottom style="thin">
        <x:color rgb="FFE5E7EB"/>
      </x:bottom>
    </x:border>
    <x:border>
      <x:left style="thin">
        <x:color rgb="FFCBD5E1"/>
      </x:left>
      <x:right style="thin">
        <x:color rgb="FFE5E7EB"/>
      </x:right>
      <x:top style="thin">
        <x:color rgb="FFE5E7EB"/>
      </x:top>
      <x:bottom style="thin">
        <x:color rgb="FFCBD5E1"/>
      </x:bottom>
    </x:border>
    <x:border>
      <x:left style="thin">
        <x:color rgb="FFE5E7EB"/>
      </x:left>
      <x:right style="thin">
        <x:color rgb="FFE5E7EB"/>
      </x:right>
      <x:top style="thin">
        <x:color rgb="FFE5E7EB"/>
      </x:top>
      <x:bottom style="thin">
        <x:color rgb="FFCBD5E1"/>
      </x:bottom>
    </x:border>
    <x:border>
      <x:left style="thin">
        <x:color rgb="FFE5E7EB"/>
      </x:left>
      <x:right style="thin">
        <x:color rgb="FFCBD5E1"/>
      </x:right>
      <x:top style="thin">
        <x:color rgb="FFE5E7EB"/>
      </x:top>
      <x:bottom style="thin">
        <x:color rgb="FFCBD5E1"/>
      </x:bottom>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2" xfId="0" applyNumberFormat="1" applyFont="1" applyFill="1" applyBorder="1"/>
    <x:xf numFmtId="0" fontId="0" fillId="5" borderId="1" xfId="0" applyNumberFormat="1" applyFont="1" applyFill="1" applyBorder="1"/>
    <x:xf numFmtId="0" fontId="2" fillId="5" borderId="1" xfId="0" applyNumberFormat="1" applyFont="1" applyFill="1" applyBorder="1"/>
    <x:xf numFmtId="0" fontId="2" fillId="5" borderId="3" xfId="0" applyNumberFormat="1" applyFont="1" applyFill="1" applyBorder="1"/>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0" fillId="0" borderId="7" xfId="0" applyNumberFormat="1" applyFont="1" applyFill="1" applyBorder="1"/>
    <x:xf numFmtId="0" fontId="0" fillId="0" borderId="8" xfId="0" applyNumberFormat="1" applyFont="1" applyFill="1" applyBorder="1"/>
    <x:xf numFmtId="200" fontId="0" fillId="0" borderId="8" xfId="0" applyNumberFormat="1" applyFont="1" applyFill="1" applyBorder="1"/>
    <x:xf numFmtId="200" fontId="0" fillId="0" borderId="9" xfId="0" applyNumberFormat="1" applyFont="1" applyFill="1" applyBorder="1"/>
    <x:xf numFmtId="0" fontId="0" fillId="0" borderId="9" xfId="0" applyNumberFormat="1" applyFont="1" applyFill="1" applyBorder="1"/>
    <x:xf numFmtId="0" fontId="2" fillId="5" borderId="8" xfId="0" applyNumberFormat="1" applyFont="1" applyFill="1" applyBorder="1"/>
    <x:xf numFmtId="0" fontId="2" fillId="5"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3" fillId="4" borderId="13" xfId="0" applyNumberFormat="1" applyFont="1" applyFill="1" applyBorder="1" applyAlignment="1">
      <x:alignment horizontal="center" vertical="center" wrapText="1"/>
    </x:xf>
    <x:xf numFmtId="0" fontId="3" fillId="4" borderId="14" xfId="0" applyNumberFormat="1" applyFont="1" applyFill="1" applyBorder="1" applyAlignment="1">
      <x:alignment horizontal="center" vertical="center" wrapText="1"/>
    </x:xf>
    <x:xf numFmtId="0" fontId="3" fillId="4" borderId="15" xfId="0" applyNumberFormat="1" applyFont="1" applyFill="1" applyBorder="1" applyAlignment="1">
      <x:alignment horizontal="center" vertical="center" wrapText="1"/>
    </x:xf>
    <x:xf numFmtId="0" fontId="0" fillId="0" borderId="16" xfId="0" applyNumberFormat="1" applyFont="1" applyFill="1" applyBorder="1"/>
    <x:xf numFmtId="0" fontId="0" fillId="0" borderId="17" xfId="0" applyNumberFormat="1" applyFont="1" applyFill="1" applyBorder="1"/>
    <x:xf numFmtId="200" fontId="0" fillId="0" borderId="17" xfId="0" applyNumberFormat="1" applyFont="1" applyFill="1" applyBorder="1"/>
    <x:xf numFmtId="200" fontId="0" fillId="0" borderId="18" xfId="0" applyNumberFormat="1" applyFont="1" applyFill="1" applyBorder="1"/>
    <x:xf numFmtId="0" fontId="0" fillId="0" borderId="18" xfId="0" applyNumberFormat="1" applyFont="1" applyFill="1" applyBorder="1"/>
    <x:xf numFmtId="0" fontId="2" fillId="5" borderId="17" xfId="0" applyNumberFormat="1" applyFont="1" applyFill="1" applyBorder="1"/>
    <x:xf numFmtId="0" fontId="2" fillId="5"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200" fontId="2" fillId="5" borderId="0" xfId="0" applyNumberFormat="1" applyFont="1" applyFill="1" applyBorder="1"/>
    <x:xf numFmtId="200" fontId="2" fillId="5" borderId="1" xfId="0" applyNumberFormat="1" applyFont="1" applyFill="1" applyBorder="1"/>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509b148a21a4d4e" /><Relationship Type="http://schemas.openxmlformats.org/officeDocument/2006/relationships/theme" Target="/xl/theme/theme1.xml" Id="R0afc6dcc93544ed3" /><Relationship Type="http://schemas.openxmlformats.org/officeDocument/2006/relationships/sharedStrings" Target="/xl/sharedStrings.xml" Id="R88e53203ebc34d3d" /><Relationship Type="http://schemas.openxmlformats.org/officeDocument/2006/relationships/worksheet" Target="/xl/worksheets/sheet1.xml" Id="R4ae1612618904527" /><Relationship Type="http://schemas.openxmlformats.org/officeDocument/2006/relationships/worksheet" Target="/xl/worksheets/sheet2.xml" Id="R42a03edb1b204e8e" /><Relationship Type="http://schemas.openxmlformats.org/officeDocument/2006/relationships/worksheet" Target="/xl/worksheets/sheet3.xml" Id="R88a643ccc35e44b5" /><Relationship Type="http://schemas.openxmlformats.org/officeDocument/2006/relationships/worksheet" Target="/xl/worksheets/sheet4.xml" Id="R212f19e2d5514bdf" /><Relationship Type="http://schemas.openxmlformats.org/officeDocument/2006/relationships/worksheet" Target="/xl/worksheets/sheet5.xml" Id="Re4b85354e3dd4d09" /><Relationship Type="http://schemas.openxmlformats.org/officeDocument/2006/relationships/worksheet" Target="/xl/worksheets/sheet6.xml" Id="R1769f1708e4b49d2" /><Relationship Type="http://schemas.openxmlformats.org/officeDocument/2006/relationships/worksheet" Target="/xl/worksheets/sheet7.xml" Id="Rfee2f92ed2a0442c" /><Relationship Type="http://schemas.openxmlformats.org/officeDocument/2006/relationships/worksheet" Target="/xl/worksheets/sheet8.xml" Id="Re3864635164541c7" /><Relationship Type="http://schemas.openxmlformats.org/officeDocument/2006/relationships/worksheet" Target="/xl/worksheets/sheet9.xml" Id="R75c0c9d2df8f45ea" /><Relationship Type="http://schemas.openxmlformats.org/officeDocument/2006/relationships/worksheet" Target="/xl/worksheets/sheet10.xml" Id="Re3bc839328a6446d" /><Relationship Type="http://schemas.openxmlformats.org/officeDocument/2006/relationships/worksheet" Target="/xl/worksheets/sheet11.xml" Id="Rab7e15aba6374aca" /><Relationship Type="http://schemas.openxmlformats.org/officeDocument/2006/relationships/worksheet" Target="/xl/worksheets/sheet12.xml" Id="R9e843e63d6dc4f46" /><Relationship Type="http://schemas.openxmlformats.org/officeDocument/2006/relationships/worksheet" Target="/xl/worksheets/sheet13.xml" Id="R7e4962aef9744472" /><Relationship Type="http://schemas.openxmlformats.org/officeDocument/2006/relationships/worksheet" Target="/xl/worksheets/sheet14.xml" Id="R2d2347ec0a0345b8" /><Relationship Type="http://schemas.openxmlformats.org/officeDocument/2006/relationships/worksheet" Target="/xl/worksheets/sheet15.xml" Id="R4629cf76070e471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s>
  <x:sheetData>
    <x:row r="1">
      <x:c r="A1" s="66" t="str">
        <x:v>School Adoption Planning Tool - School Profile</x:v>
      </x:c>
      <x:c r="B1" s="13"/>
      <x:c r="C1" s="13"/>
      <x:c r="D1" s="13"/>
      <x:c r="E1" s="13"/>
      <x:c r="F1" s="13"/>
      <x:c r="G1" s="13"/>
      <x:c r="H1" s="13"/>
      <x:c r="I1" s="13"/>
      <x:c r="J1" s="13"/>
      <x:c r="K1" s="13"/>
      <x:c r="L1" s="13"/>
      <x:c r="M1" s="13"/>
      <x:c r="N1" s="13"/>
      <x:c r="O1" s="13"/>
      <x:c r="P1" s="13"/>
      <x:c r="Q1" s="13"/>
      <x:c r="R1" s="13"/>
      <x:c r="S1" s="13"/>
      <x:c r="T1" s="13"/>
      <x:c r="U1" s="13"/>
      <x:c r="V1" s="13"/>
      <x:c r="W1" s="13"/>
      <x:c r="X1" s="13"/>
      <x:c r="Y1" s="13"/>
      <x:c r="Z1" s="13"/>
    </x:row>
    <x:row r="3">
      <x:c r="A3" s="12" t="str">
        <x:v>School Name</x:v>
      </x:c>
      <x:c r="B3" s="13" t="str">
        <x:v>TWPS Malini</x:v>
      </x:c>
      <x:c r="C3" s="12" t="str">
        <x:v>State</x:v>
      </x:c>
      <x:c r="D3" s="13" t="str">
        <x:v>Telangana</x:v>
      </x:c>
    </x:row>
    <x:row r="4">
      <x:c r="A4" s="12" t="str">
        <x:v>District</x:v>
      </x:c>
      <x:c r="B4" s="13" t="str">
        <x:v>Komaram Bheem</x:v>
      </x:c>
      <x:c r="C4" s="12" t="str">
        <x:v>Block/Mandal</x:v>
      </x:c>
      <x:c r="D4" s="13" t="str">
        <x:v>Kagaznagar</x:v>
      </x:c>
    </x:row>
    <x:row r="5">
      <x:c r="A5" s="12" t="str">
        <x:v>UDISE Code</x:v>
      </x:c>
      <x:c r="B5" s="13" t="str">
        <x:v>36020900103</x:v>
      </x:c>
      <x:c r="C5" s="12" t="str">
        <x:v>Mission</x:v>
      </x:c>
      <x:c r="D5" s="13" t="str">
        <x:v>Sirpur Constituency Education Transformation Mission</x:v>
      </x:c>
    </x:row>
    <x:row r="6">
      <x:c r="A6" s="12" t="str">
        <x:v>School Type</x:v>
      </x:c>
      <x:c r="B6" s="13" t="str">
        <x:v>Tribal Welfare Primary School</x:v>
      </x:c>
      <x:c r="C6" s="12" t="str">
        <x:v>Prepared By</x:v>
      </x:c>
      <x:c r="D6" s="13" t="str">
        <x:v>Give For Society</x:v>
      </x:c>
    </x:row>
    <x:row r="7">
      <x:c r="A7" s="12" t="str">
        <x:v>Academic Year</x:v>
      </x:c>
      <x:c r="B7" s="13" t="str">
        <x:v>2024-25</x:v>
      </x:c>
      <x:c r="C7" s="12" t="str">
        <x:v>Implementation Mode</x:v>
      </x:c>
      <x:c r="D7" s="13" t="str">
        <x:v>Direct Implementation</x:v>
      </x:c>
    </x:row>
    <x:row r="8">
      <x:c r="A8" s="12" t="str">
        <x:v>Expected Start Date</x:v>
      </x:c>
      <x:c r="B8" s="13" t="str"/>
      <x:c r="C8" s="12" t="str">
        <x:v>Adoption Duration (Months)</x:v>
      </x:c>
      <x:c r="D8" s="13" t="n">
        <x:v>12</x:v>
      </x:c>
    </x:row>
    <x:row r="9">
      <x:c r="A9" s="12" t="str">
        <x:v>Notes</x:v>
      </x:c>
      <x:c r="B9" s="13" t="str">
        <x:v>Fill school-specific enrolment, photos and verified needs before final submission.</x:v>
      </x:c>
      <x:c r="C9" s="12" t="str"/>
      <x:c r="D9" s="13" t="str"/>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5"/>
  <x:sheetData>
    <x:row r="1">
      <x:c r="A1" t="str">
        <x:v>YesNo</x:v>
      </x:c>
    </x:row>
    <x:row r="2">
      <x:c r="A2" t="str">
        <x:v>Yes</x:v>
      </x:c>
    </x:row>
    <x:row r="3">
      <x:c r="A3" t="str">
        <x:v>No</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34" hidden="0" customWidth="1"/>
    <x:col min="4" max="4" width="38" hidden="0" customWidth="1"/>
    <x:col min="5" max="5" width="22" hidden="0" customWidth="1"/>
    <x:col min="6" max="6" width="28" hidden="0" customWidth="1"/>
    <x:col min="7" max="7" width="16" hidden="0" customWidth="1"/>
    <x:col min="8" max="8" width="16" hidden="0" customWidth="1"/>
    <x:col min="9" max="9" width="16" hidden="0" customWidth="1"/>
  </x:cols>
  <x:sheetData>
    <x:row r="1">
      <x:c r="A1" s="36" t="str">
        <x:v>Basic Civil Infrastructure</x:v>
      </x:c>
      <x:c r="B1" s="13"/>
      <x:c r="C1" s="13"/>
      <x:c r="D1" s="13"/>
      <x:c r="E1" s="13"/>
      <x:c r="F1" s="13"/>
      <x:c r="G1" s="13"/>
      <x:c r="H1" s="13"/>
      <x:c r="I1" s="13"/>
    </x:row>
    <x:row r="3">
      <x:c r="A3" s="38" t="str">
        <x:v>Select</x:v>
      </x:c>
      <x:c r="B3" s="39" t="str">
        <x:v>Component ID</x:v>
      </x:c>
      <x:c r="C3" s="39" t="str">
        <x:v>Portal Sub Item</x:v>
      </x:c>
      <x:c r="D3" s="39" t="str">
        <x:v>Mission Component</x:v>
      </x:c>
      <x:c r="E3" s="39" t="str">
        <x:v>Unit</x:v>
      </x:c>
      <x:c r="F3" s="39" t="str">
        <x:v>Recommended Quantity Formula</x:v>
      </x:c>
      <x:c r="G3" s="39" t="str">
        <x:v>Quantity</x:v>
      </x:c>
      <x:c r="H3" s="39" t="str">
        <x:v>Planning Unit Cost (₹)</x:v>
      </x:c>
      <x:c r="I3" s="40" t="str">
        <x:v>Total Amount (₹)</x:v>
      </x:c>
    </x:row>
    <x:row r="4">
      <x:c r="A4" s="41" t="str">
        <x:v>No</x:v>
      </x:c>
      <x:c r="B4" s="42" t="str">
        <x:v>GFS-CIV-001</x:v>
      </x:c>
      <x:c r="C4" s="42" t="str">
        <x:v>Additional Classroom / Balvatika (Pre-Primary Section)</x:v>
      </x:c>
      <x:c r="D4" s="42" t="str">
        <x:v>Balvatika / Pre-Primary Classroom</x:v>
      </x:c>
      <x:c r="E4" s="42" t="str">
        <x:v>In number</x:v>
      </x:c>
      <x:c r="F4" s="42" t="str">
        <x:v>Need based</x:v>
      </x:c>
      <x:c r="G4" s="43" t="n">
        <x:v>0</x:v>
      </x:c>
      <x:c r="H4" s="43" t="n">
        <x:v>1200000</x:v>
      </x:c>
      <x:c r="I4" s="44" t="n">
        <x:f>IF(A4="Yes",G4*H4,0)</x:f>
        <x:v>0</x:v>
      </x:c>
    </x:row>
    <x:row r="5">
      <x:c r="A5" s="41" t="str">
        <x:v>No</x:v>
      </x:c>
      <x:c r="B5" s="42" t="str">
        <x:v>GFS-CIV-002</x:v>
      </x:c>
      <x:c r="C5" s="42" t="str">
        <x:v>Additional Classroom (Primary/Upper Primary)</x:v>
      </x:c>
      <x:c r="D5" s="42" t="str">
        <x:v>Primary / Upper Primary Classroom</x:v>
      </x:c>
      <x:c r="E5" s="42" t="str">
        <x:v>In number</x:v>
      </x:c>
      <x:c r="F5" s="42" t="str">
        <x:v>Need based</x:v>
      </x:c>
      <x:c r="G5" s="43" t="n">
        <x:v>0</x:v>
      </x:c>
      <x:c r="H5" s="43" t="n">
        <x:v>1200000</x:v>
      </x:c>
      <x:c r="I5" s="44" t="n">
        <x:f>IF(A5="Yes",G5*H5,0)</x:f>
        <x:v>0</x:v>
      </x:c>
    </x:row>
    <x:row r="6">
      <x:c r="A6" s="41" t="str">
        <x:v>No</x:v>
      </x:c>
      <x:c r="B6" s="42" t="str">
        <x:v>GFS-CIV-003</x:v>
      </x:c>
      <x:c r="C6" s="42" t="str">
        <x:v>Additional Classroom (Secondary/Senior Secondary)</x:v>
      </x:c>
      <x:c r="D6" s="42" t="str">
        <x:v>Secondary Classroom</x:v>
      </x:c>
      <x:c r="E6" s="42" t="str">
        <x:v>In number</x:v>
      </x:c>
      <x:c r="F6" s="42" t="str">
        <x:v>Need based</x:v>
      </x:c>
      <x:c r="G6" s="43" t="n">
        <x:v>0</x:v>
      </x:c>
      <x:c r="H6" s="43" t="n">
        <x:v>1500000</x:v>
      </x:c>
      <x:c r="I6" s="44" t="n">
        <x:f>IF(A6="Yes",G6*H6,0)</x:f>
        <x:v>0</x:v>
      </x:c>
    </x:row>
    <x:row r="7">
      <x:c r="A7" s="41" t="str">
        <x:v>No</x:v>
      </x:c>
      <x:c r="B7" s="42" t="str">
        <x:v>GFS-CIV-004</x:v>
      </x:c>
      <x:c r="C7" s="42" t="str">
        <x:v>Toilets for Girls / Boys / CWSN</x:v>
      </x:c>
      <x:c r="D7" s="42" t="str">
        <x:v>Toilet Block</x:v>
      </x:c>
      <x:c r="E7" s="42" t="str">
        <x:v>In number</x:v>
      </x:c>
      <x:c r="F7" s="42" t="str">
        <x:v>Need based</x:v>
      </x:c>
      <x:c r="G7" s="43" t="n">
        <x:v>0</x:v>
      </x:c>
      <x:c r="H7" s="43" t="n">
        <x:v>350000</x:v>
      </x:c>
      <x:c r="I7" s="44" t="n">
        <x:f>IF(A7="Yes",G7*H7,0)</x:f>
        <x:v>0</x:v>
      </x:c>
    </x:row>
    <x:row r="8">
      <x:c r="A8" s="41" t="str">
        <x:v>No</x:v>
      </x:c>
      <x:c r="B8" s="42" t="str">
        <x:v>GFS-CIV-005</x:v>
      </x:c>
      <x:c r="C8" s="42" t="str">
        <x:v>Toilets for Staff</x:v>
      </x:c>
      <x:c r="D8" s="42" t="str">
        <x:v>Staff Toilet</x:v>
      </x:c>
      <x:c r="E8" s="42" t="str">
        <x:v>In number</x:v>
      </x:c>
      <x:c r="F8" s="42" t="str">
        <x:v>Need based</x:v>
      </x:c>
      <x:c r="G8" s="43" t="n">
        <x:v>0</x:v>
      </x:c>
      <x:c r="H8" s="43" t="n">
        <x:v>200000</x:v>
      </x:c>
      <x:c r="I8" s="44" t="n">
        <x:f>IF(A8="Yes",G8*H8,0)</x:f>
        <x:v>0</x:v>
      </x:c>
    </x:row>
    <x:row r="9">
      <x:c r="A9" s="41" t="str">
        <x:v>No</x:v>
      </x:c>
      <x:c r="B9" s="42" t="str">
        <x:v>GFS-CIV-006</x:v>
      </x:c>
      <x:c r="C9" s="42" t="str">
        <x:v>Drinking Water Facility</x:v>
      </x:c>
      <x:c r="D9" s="42" t="str">
        <x:v>Drinking Water Facility</x:v>
      </x:c>
      <x:c r="E9" s="42" t="str">
        <x:v>In number</x:v>
      </x:c>
      <x:c r="F9" s="42" t="str">
        <x:v>1 per school if not available</x:v>
      </x:c>
      <x:c r="G9" s="43" t="n">
        <x:v>0</x:v>
      </x:c>
      <x:c r="H9" s="43" t="n">
        <x:v>150000</x:v>
      </x:c>
      <x:c r="I9" s="44" t="n">
        <x:f>IF(A9="Yes",G9*H9,0)</x:f>
        <x:v>0</x:v>
      </x:c>
    </x:row>
    <x:row r="10">
      <x:c r="A10" s="41" t="str">
        <x:v>No</x:v>
      </x:c>
      <x:c r="B10" s="42" t="str">
        <x:v>GFS-CIV-007</x:v>
      </x:c>
      <x:c r="C10" s="42" t="str">
        <x:v>Art &amp; Craft Rooms</x:v>
      </x:c>
      <x:c r="D10" s="42" t="str">
        <x:v>Art &amp; Craft Room</x:v>
      </x:c>
      <x:c r="E10" s="42" t="str">
        <x:v>In number</x:v>
      </x:c>
      <x:c r="F10" s="42" t="str">
        <x:v>Need based</x:v>
      </x:c>
      <x:c r="G10" s="43" t="n">
        <x:v>0</x:v>
      </x:c>
      <x:c r="H10" s="43" t="n">
        <x:v>800000</x:v>
      </x:c>
      <x:c r="I10" s="44" t="n">
        <x:f>IF(A10="Yes",G10*H10,0)</x:f>
        <x:v>0</x:v>
      </x:c>
    </x:row>
    <x:row r="11">
      <x:c r="A11" s="41" t="str">
        <x:v>No</x:v>
      </x:c>
      <x:c r="B11" s="42" t="str">
        <x:v>GFS-CIV-008</x:v>
      </x:c>
      <x:c r="C11" s="42" t="str">
        <x:v>Staff Room</x:v>
      </x:c>
      <x:c r="D11" s="42" t="str">
        <x:v>Staff Room</x:v>
      </x:c>
      <x:c r="E11" s="42" t="str">
        <x:v>In number</x:v>
      </x:c>
      <x:c r="F11" s="42" t="str">
        <x:v>Need based</x:v>
      </x:c>
      <x:c r="G11" s="43" t="n">
        <x:v>0</x:v>
      </x:c>
      <x:c r="H11" s="43" t="n">
        <x:v>600000</x:v>
      </x:c>
      <x:c r="I11" s="44" t="n">
        <x:f>IF(A11="Yes",G11*H11,0)</x:f>
        <x:v>0</x:v>
      </x:c>
    </x:row>
    <x:row r="12">
      <x:c r="A12" s="41" t="str">
        <x:v>No</x:v>
      </x:c>
      <x:c r="B12" s="42" t="str">
        <x:v>GFS-CIV-009</x:v>
      </x:c>
      <x:c r="C12" s="42" t="str">
        <x:v>ICT Lab</x:v>
      </x:c>
      <x:c r="D12" s="42" t="str">
        <x:v>ICT Lab - Civil Setup</x:v>
      </x:c>
      <x:c r="E12" s="42" t="str">
        <x:v>In number</x:v>
      </x:c>
      <x:c r="F12" s="42" t="str">
        <x:v>Need based</x:v>
      </x:c>
      <x:c r="G12" s="43" t="n">
        <x:v>0</x:v>
      </x:c>
      <x:c r="H12" s="43" t="n">
        <x:v>800000</x:v>
      </x:c>
      <x:c r="I12" s="44" t="n">
        <x:f>IF(A12="Yes",G12*H12,0)</x:f>
        <x:v>0</x:v>
      </x:c>
    </x:row>
    <x:row r="13">
      <x:c r="A13" s="41" t="str">
        <x:v>No</x:v>
      </x:c>
      <x:c r="B13" s="42" t="str">
        <x:v>GFS-CIV-010</x:v>
      </x:c>
      <x:c r="C13" s="42" t="str">
        <x:v>Science Lab</x:v>
      </x:c>
      <x:c r="D13" s="42" t="str">
        <x:v>Science Lab - Civil Setup</x:v>
      </x:c>
      <x:c r="E13" s="42" t="str">
        <x:v>In number</x:v>
      </x:c>
      <x:c r="F13" s="42" t="str">
        <x:v>Need based</x:v>
      </x:c>
      <x:c r="G13" s="43" t="n">
        <x:v>0</x:v>
      </x:c>
      <x:c r="H13" s="43" t="n">
        <x:v>1000000</x:v>
      </x:c>
      <x:c r="I13" s="44" t="n">
        <x:f>IF(A13="Yes",G13*H13,0)</x:f>
        <x:v>0</x:v>
      </x:c>
    </x:row>
    <x:row r="14">
      <x:c r="A14" s="41" t="str">
        <x:v>No</x:v>
      </x:c>
      <x:c r="B14" s="42" t="str">
        <x:v>GFS-CIV-011</x:v>
      </x:c>
      <x:c r="C14" s="42" t="str">
        <x:v>Vocational Lab</x:v>
      </x:c>
      <x:c r="D14" s="42" t="str">
        <x:v>Vocational Lab</x:v>
      </x:c>
      <x:c r="E14" s="42" t="str">
        <x:v>In number</x:v>
      </x:c>
      <x:c r="F14" s="42" t="str">
        <x:v>Need based</x:v>
      </x:c>
      <x:c r="G14" s="43" t="n">
        <x:v>0</x:v>
      </x:c>
      <x:c r="H14" s="43" t="n">
        <x:v>900000</x:v>
      </x:c>
      <x:c r="I14" s="44" t="n">
        <x:f>IF(A14="Yes",G14*H14,0)</x:f>
        <x:v>0</x:v>
      </x:c>
    </x:row>
    <x:row r="15">
      <x:c r="A15" s="41" t="str">
        <x:v>No</x:v>
      </x:c>
      <x:c r="B15" s="42" t="str">
        <x:v>GFS-CIV-012</x:v>
      </x:c>
      <x:c r="C15" s="42" t="str">
        <x:v>Boundary Wall</x:v>
      </x:c>
      <x:c r="D15" s="42" t="str">
        <x:v>Boundary Wall</x:v>
      </x:c>
      <x:c r="E15" s="42" t="str">
        <x:v>Sq feet</x:v>
      </x:c>
      <x:c r="F15" s="42" t="str">
        <x:v>As measured</x:v>
      </x:c>
      <x:c r="G15" s="43" t="n">
        <x:v>0</x:v>
      </x:c>
      <x:c r="H15" s="43" t="n">
        <x:v>900</x:v>
      </x:c>
      <x:c r="I15" s="44" t="n">
        <x:f>IF(A15="Yes",G15*H15,0)</x:f>
        <x:v>0</x:v>
      </x:c>
    </x:row>
    <x:row r="16">
      <x:c r="A16" s="41" t="str">
        <x:v>No</x:v>
      </x:c>
      <x:c r="B16" s="42" t="str">
        <x:v>GFS-CIV-013</x:v>
      </x:c>
      <x:c r="C16" s="42" t="str">
        <x:v>Gate</x:v>
      </x:c>
      <x:c r="D16" s="42" t="str">
        <x:v>School Gate</x:v>
      </x:c>
      <x:c r="E16" s="42" t="str">
        <x:v>In number</x:v>
      </x:c>
      <x:c r="F16" s="42" t="str">
        <x:v>1 per school if required</x:v>
      </x:c>
      <x:c r="G16" s="43" t="n">
        <x:v>0</x:v>
      </x:c>
      <x:c r="H16" s="43" t="n">
        <x:v>150000</x:v>
      </x:c>
      <x:c r="I16" s="44" t="n">
        <x:f>IF(A16="Yes",G16*H16,0)</x:f>
        <x:v>0</x:v>
      </x:c>
    </x:row>
    <x:row r="17">
      <x:c r="A17" s="41" t="str">
        <x:v>No</x:v>
      </x:c>
      <x:c r="B17" s="42" t="str">
        <x:v>GFS-CIV-014</x:v>
      </x:c>
      <x:c r="C17" s="42" t="str">
        <x:v>Overhead Water Tank</x:v>
      </x:c>
      <x:c r="D17" s="42" t="str">
        <x:v>Overhead Water Tank</x:v>
      </x:c>
      <x:c r="E17" s="42" t="str">
        <x:v>In number</x:v>
      </x:c>
      <x:c r="F17" s="42" t="str">
        <x:v>1 per school if required</x:v>
      </x:c>
      <x:c r="G17" s="43" t="n">
        <x:v>0</x:v>
      </x:c>
      <x:c r="H17" s="43" t="n">
        <x:v>75000</x:v>
      </x:c>
      <x:c r="I17" s="44" t="n">
        <x:f>IF(A17="Yes",G17*H17,0)</x:f>
        <x:v>0</x:v>
      </x:c>
    </x:row>
    <x:row r="18">
      <x:c r="A18" s="41" t="str">
        <x:v>No</x:v>
      </x:c>
      <x:c r="B18" s="42" t="str">
        <x:v>GFS-CIV-015</x:v>
      </x:c>
      <x:c r="C18" s="42" t="str">
        <x:v>Playground with Equipment</x:v>
      </x:c>
      <x:c r="D18" s="42" t="str">
        <x:v>Playground Setup</x:v>
      </x:c>
      <x:c r="E18" s="42" t="str">
        <x:v>In number</x:v>
      </x:c>
      <x:c r="F18" s="42" t="str">
        <x:v>Need based</x:v>
      </x:c>
      <x:c r="G18" s="43" t="n">
        <x:v>0</x:v>
      </x:c>
      <x:c r="H18" s="43" t="n">
        <x:v>250000</x:v>
      </x:c>
      <x:c r="I18" s="44" t="n">
        <x:f>IF(A18="Yes",G18*H18,0)</x:f>
        <x:v>0</x:v>
      </x:c>
    </x:row>
    <x:row r="19">
      <x:c r="A19" s="41" t="str">
        <x:v>No</x:v>
      </x:c>
      <x:c r="B19" s="42" t="str">
        <x:v>GFS-CIV-016</x:v>
      </x:c>
      <x:c r="C19" s="42" t="str">
        <x:v>Ramps / Barrier Free Access</x:v>
      </x:c>
      <x:c r="D19" s="42" t="str">
        <x:v>Barrier-Free Ramp</x:v>
      </x:c>
      <x:c r="E19" s="42" t="str">
        <x:v>In number</x:v>
      </x:c>
      <x:c r="F19" s="42" t="str">
        <x:v>1-2 per school if required</x:v>
      </x:c>
      <x:c r="G19" s="43" t="n">
        <x:v>0</x:v>
      </x:c>
      <x:c r="H19" s="43" t="n">
        <x:v>75000</x:v>
      </x:c>
      <x:c r="I19" s="44" t="n">
        <x:f>IF(A19="Yes",G19*H19,0)</x:f>
        <x:v>0</x:v>
      </x:c>
    </x:row>
    <x:row r="20">
      <x:c r="A20" s="41" t="str">
        <x:v>No</x:v>
      </x:c>
      <x:c r="B20" s="42" t="str">
        <x:v>GFS-CIV-017</x:v>
      </x:c>
      <x:c r="C20" s="42" t="str">
        <x:v>Library (Room, Books and Furniture etc.)</x:v>
      </x:c>
      <x:c r="D20" s="42" t="str">
        <x:v>Library Room Setup</x:v>
      </x:c>
      <x:c r="E20" s="42" t="str">
        <x:v>In number</x:v>
      </x:c>
      <x:c r="F20" s="42" t="str">
        <x:v>Need based</x:v>
      </x:c>
      <x:c r="G20" s="43" t="n">
        <x:v>0</x:v>
      </x:c>
      <x:c r="H20" s="43" t="n">
        <x:v>400000</x:v>
      </x:c>
      <x:c r="I20" s="44" t="n">
        <x:f>IF(A20="Yes",G20*H20,0)</x:f>
        <x:v>0</x:v>
      </x:c>
    </x:row>
    <x:row r="21">
      <x:c r="A21" s="41" t="str">
        <x:v>No</x:v>
      </x:c>
      <x:c r="B21" s="42" t="str">
        <x:v>GFS-CIV-018</x:v>
      </x:c>
      <x:c r="C21" s="42" t="str">
        <x:v>Modern kitchen and dining facilities</x:v>
      </x:c>
      <x:c r="D21" s="42" t="str">
        <x:v>Kitchen and Dining Facility</x:v>
      </x:c>
      <x:c r="E21" s="42" t="str">
        <x:v>In number</x:v>
      </x:c>
      <x:c r="F21" s="42" t="str">
        <x:v>Residential/need based</x:v>
      </x:c>
      <x:c r="G21" s="43" t="n">
        <x:v>0</x:v>
      </x:c>
      <x:c r="H21" s="43" t="n">
        <x:v>700000</x:v>
      </x:c>
      <x:c r="I21" s="44" t="n">
        <x:f>IF(A21="Yes",G21*H21,0)</x:f>
        <x:v>0</x:v>
      </x:c>
    </x:row>
    <x:row r="22">
      <x:c r="A22" s="41" t="str">
        <x:v>No</x:v>
      </x:c>
      <x:c r="B22" s="42" t="str">
        <x:v>GFS-CIV-019</x:v>
      </x:c>
      <x:c r="C22" s="42" t="str">
        <x:v>Residential Hostels for Students</x:v>
      </x:c>
      <x:c r="D22" s="42" t="str">
        <x:v>Student Hostel</x:v>
      </x:c>
      <x:c r="E22" s="42" t="str">
        <x:v>In number</x:v>
      </x:c>
      <x:c r="F22" s="42" t="str">
        <x:v>Residential only</x:v>
      </x:c>
      <x:c r="G22" s="43" t="n">
        <x:v>0</x:v>
      </x:c>
      <x:c r="H22" s="43" t="n">
        <x:v>2500000</x:v>
      </x:c>
      <x:c r="I22" s="44" t="n">
        <x:f>IF(A22="Yes",G22*H22,0)</x:f>
        <x:v>0</x:v>
      </x:c>
    </x:row>
    <x:row r="23">
      <x:c r="A23" s="41" t="str">
        <x:v>No</x:v>
      </x:c>
      <x:c r="B23" s="42" t="str">
        <x:v>GFS-CIV-020</x:v>
      </x:c>
      <x:c r="C23" s="42" t="str">
        <x:v>Residential Quarters for Teachers</x:v>
      </x:c>
      <x:c r="D23" s="42" t="str">
        <x:v>Teacher Quarters</x:v>
      </x:c>
      <x:c r="E23" s="42" t="str">
        <x:v>In number</x:v>
      </x:c>
      <x:c r="F23" s="42" t="str">
        <x:v>Need based</x:v>
      </x:c>
      <x:c r="G23" s="43" t="n">
        <x:v>0</x:v>
      </x:c>
      <x:c r="H23" s="43" t="n">
        <x:v>1500000</x:v>
      </x:c>
      <x:c r="I23" s="44" t="n">
        <x:f>IF(A23="Yes",G23*H23,0)</x:f>
        <x:v>0</x:v>
      </x:c>
    </x:row>
    <x:row r="24">
      <x:c r="A24" s="41" t="str">
        <x:v>No</x:v>
      </x:c>
      <x:c r="B24" s="42" t="str">
        <x:v>GFS-CIV-021</x:v>
      </x:c>
      <x:c r="C24" s="42" t="str">
        <x:v>Rain Water Harvesting Structures</x:v>
      </x:c>
      <x:c r="D24" s="42" t="str">
        <x:v>Rainwater Harvesting</x:v>
      </x:c>
      <x:c r="E24" s="42" t="str">
        <x:v>In number</x:v>
      </x:c>
      <x:c r="F24" s="42" t="str">
        <x:v>1 per school if required</x:v>
      </x:c>
      <x:c r="G24" s="43" t="n">
        <x:v>0</x:v>
      </x:c>
      <x:c r="H24" s="43" t="n">
        <x:v>150000</x:v>
      </x:c>
      <x:c r="I24" s="44" t="n">
        <x:f>IF(A24="Yes",G24*H24,0)</x:f>
        <x:v>0</x:v>
      </x:c>
    </x:row>
    <x:row r="25">
      <x:c r="A25" s="41"/>
      <x:c r="B25" s="42"/>
      <x:c r="C25" s="42"/>
      <x:c r="D25" s="42"/>
      <x:c r="E25" s="42"/>
      <x:c r="F25" s="42"/>
      <x:c r="G25" s="42"/>
      <x:c r="H25" s="42"/>
      <x:c r="I25" s="45"/>
    </x:row>
    <x:row r="26">
      <x:c r="A26" s="41"/>
      <x:c r="B26" s="42"/>
      <x:c r="C26" s="42"/>
      <x:c r="D26" s="42"/>
      <x:c r="E26" s="42"/>
      <x:c r="F26" s="42"/>
      <x:c r="G26" s="42"/>
      <x:c r="H26" s="46" t="str">
        <x:v>Work Area Total</x:v>
      </x:c>
      <x:c r="I26" s="47" t="n">
        <x:f>SUM(I4:I24)</x:f>
        <x:v>0</x:v>
      </x:c>
    </x:row>
    <x:row r="27">
      <x:c r="A27" s="41"/>
      <x:c r="B27" s="42"/>
      <x:c r="C27" s="42"/>
      <x:c r="D27" s="42"/>
      <x:c r="E27" s="42"/>
      <x:c r="F27" s="42"/>
      <x:c r="G27" s="42"/>
      <x:c r="H27" s="42"/>
      <x:c r="I27" s="45"/>
    </x:row>
    <x:row r="28">
      <x:c r="A28" s="41"/>
      <x:c r="B28" s="42"/>
      <x:c r="C28" s="42"/>
      <x:c r="D28" s="42"/>
      <x:c r="E28" s="42"/>
      <x:c r="F28" s="42"/>
      <x:c r="G28" s="42"/>
      <x:c r="H28" s="42"/>
      <x:c r="I28" s="45"/>
    </x:row>
    <x:row r="29">
      <x:c r="A29" s="41"/>
      <x:c r="B29" s="42"/>
      <x:c r="C29" s="42"/>
      <x:c r="D29" s="42"/>
      <x:c r="E29" s="42"/>
      <x:c r="F29" s="42"/>
      <x:c r="G29" s="42"/>
      <x:c r="H29" s="42"/>
      <x:c r="I29" s="45"/>
    </x:row>
    <x:row r="30">
      <x:c r="A30" s="41"/>
      <x:c r="B30" s="42"/>
      <x:c r="C30" s="42"/>
      <x:c r="D30" s="42"/>
      <x:c r="E30" s="42"/>
      <x:c r="F30" s="42"/>
      <x:c r="G30" s="42"/>
      <x:c r="H30" s="42"/>
      <x:c r="I30" s="45"/>
    </x:row>
    <x:row r="31">
      <x:c r="A31" s="41"/>
      <x:c r="B31" s="42"/>
      <x:c r="C31" s="42"/>
      <x:c r="D31" s="42"/>
      <x:c r="E31" s="42"/>
      <x:c r="F31" s="42"/>
      <x:c r="G31" s="42"/>
      <x:c r="H31" s="42"/>
      <x:c r="I31" s="45"/>
    </x:row>
    <x:row r="32">
      <x:c r="A32" s="41"/>
      <x:c r="B32" s="42"/>
      <x:c r="C32" s="42"/>
      <x:c r="D32" s="42"/>
      <x:c r="E32" s="42"/>
      <x:c r="F32" s="42"/>
      <x:c r="G32" s="42"/>
      <x:c r="H32" s="42"/>
      <x:c r="I32" s="45"/>
    </x:row>
    <x:row r="33">
      <x:c r="A33" s="41"/>
      <x:c r="B33" s="42"/>
      <x:c r="C33" s="42"/>
      <x:c r="D33" s="42"/>
      <x:c r="E33" s="42"/>
      <x:c r="F33" s="42"/>
      <x:c r="G33" s="42"/>
      <x:c r="H33" s="42"/>
      <x:c r="I33" s="45"/>
    </x:row>
    <x:row r="34">
      <x:c r="A34" s="41"/>
      <x:c r="B34" s="42"/>
      <x:c r="C34" s="42"/>
      <x:c r="D34" s="42"/>
      <x:c r="E34" s="42"/>
      <x:c r="F34" s="42"/>
      <x:c r="G34" s="42"/>
      <x:c r="H34" s="42"/>
      <x:c r="I34" s="45"/>
    </x:row>
    <x:row r="35">
      <x:c r="A35" s="41"/>
      <x:c r="B35" s="42"/>
      <x:c r="C35" s="42"/>
      <x:c r="D35" s="42"/>
      <x:c r="E35" s="42"/>
      <x:c r="F35" s="42"/>
      <x:c r="G35" s="42"/>
      <x:c r="H35" s="42"/>
      <x:c r="I35" s="45"/>
    </x:row>
    <x:row r="36">
      <x:c r="A36" s="41"/>
      <x:c r="B36" s="42"/>
      <x:c r="C36" s="42"/>
      <x:c r="D36" s="42"/>
      <x:c r="E36" s="42"/>
      <x:c r="F36" s="42"/>
      <x:c r="G36" s="42"/>
      <x:c r="H36" s="42"/>
      <x:c r="I36" s="45"/>
    </x:row>
    <x:row r="37">
      <x:c r="A37" s="41"/>
      <x:c r="B37" s="42"/>
      <x:c r="C37" s="42"/>
      <x:c r="D37" s="42"/>
      <x:c r="E37" s="42"/>
      <x:c r="F37" s="42"/>
      <x:c r="G37" s="42"/>
      <x:c r="H37" s="42"/>
      <x:c r="I37" s="45"/>
    </x:row>
    <x:row r="38">
      <x:c r="A38" s="41"/>
      <x:c r="B38" s="42"/>
      <x:c r="C38" s="42"/>
      <x:c r="D38" s="42"/>
      <x:c r="E38" s="42"/>
      <x:c r="F38" s="42"/>
      <x:c r="G38" s="42"/>
      <x:c r="H38" s="42"/>
      <x:c r="I38" s="45"/>
    </x:row>
    <x:row r="39">
      <x:c r="A39" s="41"/>
      <x:c r="B39" s="42"/>
      <x:c r="C39" s="42"/>
      <x:c r="D39" s="42"/>
      <x:c r="E39" s="42"/>
      <x:c r="F39" s="42"/>
      <x:c r="G39" s="42"/>
      <x:c r="H39" s="42"/>
      <x:c r="I39" s="45"/>
    </x:row>
    <x:row r="40">
      <x:c r="A40" s="41"/>
      <x:c r="B40" s="42"/>
      <x:c r="C40" s="42"/>
      <x:c r="D40" s="42"/>
      <x:c r="E40" s="42"/>
      <x:c r="F40" s="42"/>
      <x:c r="G40" s="42"/>
      <x:c r="H40" s="42"/>
      <x:c r="I40" s="45"/>
    </x:row>
    <x:row r="41">
      <x:c r="A41" s="41"/>
      <x:c r="B41" s="42"/>
      <x:c r="C41" s="42"/>
      <x:c r="D41" s="42"/>
      <x:c r="E41" s="42"/>
      <x:c r="F41" s="42"/>
      <x:c r="G41" s="42"/>
      <x:c r="H41" s="42"/>
      <x:c r="I41" s="45"/>
    </x:row>
    <x:row r="42">
      <x:c r="A42" s="41"/>
      <x:c r="B42" s="42"/>
      <x:c r="C42" s="42"/>
      <x:c r="D42" s="42"/>
      <x:c r="E42" s="42"/>
      <x:c r="F42" s="42"/>
      <x:c r="G42" s="42"/>
      <x:c r="H42" s="42"/>
      <x:c r="I42" s="45"/>
    </x:row>
    <x:row r="43">
      <x:c r="A43" s="41"/>
      <x:c r="B43" s="42"/>
      <x:c r="C43" s="42"/>
      <x:c r="D43" s="42"/>
      <x:c r="E43" s="42"/>
      <x:c r="F43" s="42"/>
      <x:c r="G43" s="42"/>
      <x:c r="H43" s="42"/>
      <x:c r="I43" s="45"/>
    </x:row>
    <x:row r="44">
      <x:c r="A44" s="41"/>
      <x:c r="B44" s="42"/>
      <x:c r="C44" s="42"/>
      <x:c r="D44" s="42"/>
      <x:c r="E44" s="42"/>
      <x:c r="F44" s="42"/>
      <x:c r="G44" s="42"/>
      <x:c r="H44" s="42"/>
      <x:c r="I44" s="45"/>
    </x:row>
    <x:row r="45">
      <x:c r="A45" s="41"/>
      <x:c r="B45" s="42"/>
      <x:c r="C45" s="42"/>
      <x:c r="D45" s="42"/>
      <x:c r="E45" s="42"/>
      <x:c r="F45" s="42"/>
      <x:c r="G45" s="42"/>
      <x:c r="H45" s="42"/>
      <x:c r="I45" s="45"/>
    </x:row>
    <x:row r="46">
      <x:c r="A46" s="41"/>
      <x:c r="B46" s="42"/>
      <x:c r="C46" s="42"/>
      <x:c r="D46" s="42"/>
      <x:c r="E46" s="42"/>
      <x:c r="F46" s="42"/>
      <x:c r="G46" s="42"/>
      <x:c r="H46" s="42"/>
      <x:c r="I46" s="45"/>
    </x:row>
    <x:row r="47">
      <x:c r="A47" s="41"/>
      <x:c r="B47" s="42"/>
      <x:c r="C47" s="42"/>
      <x:c r="D47" s="42"/>
      <x:c r="E47" s="42"/>
      <x:c r="F47" s="42"/>
      <x:c r="G47" s="42"/>
      <x:c r="H47" s="42"/>
      <x:c r="I47" s="45"/>
    </x:row>
    <x:row r="48">
      <x:c r="A48" s="41"/>
      <x:c r="B48" s="42"/>
      <x:c r="C48" s="42"/>
      <x:c r="D48" s="42"/>
      <x:c r="E48" s="42"/>
      <x:c r="F48" s="42"/>
      <x:c r="G48" s="42"/>
      <x:c r="H48" s="42"/>
      <x:c r="I48" s="45"/>
    </x:row>
    <x:row r="49">
      <x:c r="A49" s="41"/>
      <x:c r="B49" s="42"/>
      <x:c r="C49" s="42"/>
      <x:c r="D49" s="42"/>
      <x:c r="E49" s="42"/>
      <x:c r="F49" s="42"/>
      <x:c r="G49" s="42"/>
      <x:c r="H49" s="42"/>
      <x:c r="I49" s="45"/>
    </x:row>
    <x:row r="50">
      <x:c r="A50" s="41"/>
      <x:c r="B50" s="42"/>
      <x:c r="C50" s="42"/>
      <x:c r="D50" s="42"/>
      <x:c r="E50" s="42"/>
      <x:c r="F50" s="42"/>
      <x:c r="G50" s="42"/>
      <x:c r="H50" s="42"/>
      <x:c r="I50" s="45"/>
    </x:row>
    <x:row r="51">
      <x:c r="A51" s="41"/>
      <x:c r="B51" s="42"/>
      <x:c r="C51" s="42"/>
      <x:c r="D51" s="42"/>
      <x:c r="E51" s="42"/>
      <x:c r="F51" s="42"/>
      <x:c r="G51" s="42"/>
      <x:c r="H51" s="42"/>
      <x:c r="I51" s="45"/>
    </x:row>
    <x:row r="52">
      <x:c r="A52" s="41"/>
      <x:c r="B52" s="42"/>
      <x:c r="C52" s="42"/>
      <x:c r="D52" s="42"/>
      <x:c r="E52" s="42"/>
      <x:c r="F52" s="42"/>
      <x:c r="G52" s="42"/>
      <x:c r="H52" s="42"/>
      <x:c r="I52" s="45"/>
    </x:row>
    <x:row r="53">
      <x:c r="A53" s="41"/>
      <x:c r="B53" s="42"/>
      <x:c r="C53" s="42"/>
      <x:c r="D53" s="42"/>
      <x:c r="E53" s="42"/>
      <x:c r="F53" s="42"/>
      <x:c r="G53" s="42"/>
      <x:c r="H53" s="42"/>
      <x:c r="I53" s="45"/>
    </x:row>
    <x:row r="54">
      <x:c r="A54" s="41"/>
      <x:c r="B54" s="42"/>
      <x:c r="C54" s="42"/>
      <x:c r="D54" s="42"/>
      <x:c r="E54" s="42"/>
      <x:c r="F54" s="42"/>
      <x:c r="G54" s="42"/>
      <x:c r="H54" s="42"/>
      <x:c r="I54" s="45"/>
    </x:row>
    <x:row r="55">
      <x:c r="A55" s="41"/>
      <x:c r="B55" s="42"/>
      <x:c r="C55" s="42"/>
      <x:c r="D55" s="42"/>
      <x:c r="E55" s="42"/>
      <x:c r="F55" s="42"/>
      <x:c r="G55" s="42"/>
      <x:c r="H55" s="42"/>
      <x:c r="I55" s="45"/>
    </x:row>
    <x:row r="56">
      <x:c r="A56" s="41"/>
      <x:c r="B56" s="42"/>
      <x:c r="C56" s="42"/>
      <x:c r="D56" s="42"/>
      <x:c r="E56" s="42"/>
      <x:c r="F56" s="42"/>
      <x:c r="G56" s="42"/>
      <x:c r="H56" s="42"/>
      <x:c r="I56" s="45"/>
    </x:row>
    <x:row r="57">
      <x:c r="A57" s="41"/>
      <x:c r="B57" s="42"/>
      <x:c r="C57" s="42"/>
      <x:c r="D57" s="42"/>
      <x:c r="E57" s="42"/>
      <x:c r="F57" s="42"/>
      <x:c r="G57" s="42"/>
      <x:c r="H57" s="42"/>
      <x:c r="I57" s="45"/>
    </x:row>
    <x:row r="58">
      <x:c r="A58" s="41"/>
      <x:c r="B58" s="42"/>
      <x:c r="C58" s="42"/>
      <x:c r="D58" s="42"/>
      <x:c r="E58" s="42"/>
      <x:c r="F58" s="42"/>
      <x:c r="G58" s="42"/>
      <x:c r="H58" s="42"/>
      <x:c r="I58" s="45"/>
    </x:row>
    <x:row r="59">
      <x:c r="A59" s="41"/>
      <x:c r="B59" s="42"/>
      <x:c r="C59" s="42"/>
      <x:c r="D59" s="42"/>
      <x:c r="E59" s="42"/>
      <x:c r="F59" s="42"/>
      <x:c r="G59" s="42"/>
      <x:c r="H59" s="42"/>
      <x:c r="I59" s="45"/>
    </x:row>
    <x:row r="60">
      <x:c r="A60" s="41"/>
      <x:c r="B60" s="42"/>
      <x:c r="C60" s="42"/>
      <x:c r="D60" s="42"/>
      <x:c r="E60" s="42"/>
      <x:c r="F60" s="42"/>
      <x:c r="G60" s="42"/>
      <x:c r="H60" s="42"/>
      <x:c r="I60" s="45"/>
    </x:row>
    <x:row r="61">
      <x:c r="A61" s="41"/>
      <x:c r="B61" s="42"/>
      <x:c r="C61" s="42"/>
      <x:c r="D61" s="42"/>
      <x:c r="E61" s="42"/>
      <x:c r="F61" s="42"/>
      <x:c r="G61" s="42"/>
      <x:c r="H61" s="42"/>
      <x:c r="I61" s="45"/>
    </x:row>
    <x:row r="62">
      <x:c r="A62" s="41"/>
      <x:c r="B62" s="42"/>
      <x:c r="C62" s="42"/>
      <x:c r="D62" s="42"/>
      <x:c r="E62" s="42"/>
      <x:c r="F62" s="42"/>
      <x:c r="G62" s="42"/>
      <x:c r="H62" s="42"/>
      <x:c r="I62" s="45"/>
    </x:row>
    <x:row r="63">
      <x:c r="A63" s="41"/>
      <x:c r="B63" s="42"/>
      <x:c r="C63" s="42"/>
      <x:c r="D63" s="42"/>
      <x:c r="E63" s="42"/>
      <x:c r="F63" s="42"/>
      <x:c r="G63" s="42"/>
      <x:c r="H63" s="42"/>
      <x:c r="I63" s="45"/>
    </x:row>
    <x:row r="64">
      <x:c r="A64" s="41"/>
      <x:c r="B64" s="42"/>
      <x:c r="C64" s="42"/>
      <x:c r="D64" s="42"/>
      <x:c r="E64" s="42"/>
      <x:c r="F64" s="42"/>
      <x:c r="G64" s="42"/>
      <x:c r="H64" s="42"/>
      <x:c r="I64" s="45"/>
    </x:row>
    <x:row r="65">
      <x:c r="A65" s="41"/>
      <x:c r="B65" s="42"/>
      <x:c r="C65" s="42"/>
      <x:c r="D65" s="42"/>
      <x:c r="E65" s="42"/>
      <x:c r="F65" s="42"/>
      <x:c r="G65" s="42"/>
      <x:c r="H65" s="42"/>
      <x:c r="I65" s="45"/>
    </x:row>
    <x:row r="66">
      <x:c r="A66" s="41"/>
      <x:c r="B66" s="42"/>
      <x:c r="C66" s="42"/>
      <x:c r="D66" s="42"/>
      <x:c r="E66" s="42"/>
      <x:c r="F66" s="42"/>
      <x:c r="G66" s="42"/>
      <x:c r="H66" s="42"/>
      <x:c r="I66" s="45"/>
    </x:row>
    <x:row r="67">
      <x:c r="A67" s="41"/>
      <x:c r="B67" s="42"/>
      <x:c r="C67" s="42"/>
      <x:c r="D67" s="42"/>
      <x:c r="E67" s="42"/>
      <x:c r="F67" s="42"/>
      <x:c r="G67" s="42"/>
      <x:c r="H67" s="42"/>
      <x:c r="I67" s="45"/>
    </x:row>
    <x:row r="68">
      <x:c r="A68" s="41"/>
      <x:c r="B68" s="42"/>
      <x:c r="C68" s="42"/>
      <x:c r="D68" s="42"/>
      <x:c r="E68" s="42"/>
      <x:c r="F68" s="42"/>
      <x:c r="G68" s="42"/>
      <x:c r="H68" s="42"/>
      <x:c r="I68" s="45"/>
    </x:row>
    <x:row r="69">
      <x:c r="A69" s="41"/>
      <x:c r="B69" s="42"/>
      <x:c r="C69" s="42"/>
      <x:c r="D69" s="42"/>
      <x:c r="E69" s="42"/>
      <x:c r="F69" s="42"/>
      <x:c r="G69" s="42"/>
      <x:c r="H69" s="42"/>
      <x:c r="I69" s="45"/>
    </x:row>
    <x:row r="70">
      <x:c r="A70" s="41"/>
      <x:c r="B70" s="42"/>
      <x:c r="C70" s="42"/>
      <x:c r="D70" s="42"/>
      <x:c r="E70" s="42"/>
      <x:c r="F70" s="42"/>
      <x:c r="G70" s="42"/>
      <x:c r="H70" s="42"/>
      <x:c r="I70" s="45"/>
    </x:row>
    <x:row r="71">
      <x:c r="A71" s="41"/>
      <x:c r="B71" s="42"/>
      <x:c r="C71" s="42"/>
      <x:c r="D71" s="42"/>
      <x:c r="E71" s="42"/>
      <x:c r="F71" s="42"/>
      <x:c r="G71" s="42"/>
      <x:c r="H71" s="42"/>
      <x:c r="I71" s="45"/>
    </x:row>
    <x:row r="72">
      <x:c r="A72" s="41"/>
      <x:c r="B72" s="42"/>
      <x:c r="C72" s="42"/>
      <x:c r="D72" s="42"/>
      <x:c r="E72" s="42"/>
      <x:c r="F72" s="42"/>
      <x:c r="G72" s="42"/>
      <x:c r="H72" s="42"/>
      <x:c r="I72" s="45"/>
    </x:row>
    <x:row r="73">
      <x:c r="A73" s="41"/>
      <x:c r="B73" s="42"/>
      <x:c r="C73" s="42"/>
      <x:c r="D73" s="42"/>
      <x:c r="E73" s="42"/>
      <x:c r="F73" s="42"/>
      <x:c r="G73" s="42"/>
      <x:c r="H73" s="42"/>
      <x:c r="I73" s="45"/>
    </x:row>
    <x:row r="74">
      <x:c r="A74" s="41"/>
      <x:c r="B74" s="42"/>
      <x:c r="C74" s="42"/>
      <x:c r="D74" s="42"/>
      <x:c r="E74" s="42"/>
      <x:c r="F74" s="42"/>
      <x:c r="G74" s="42"/>
      <x:c r="H74" s="42"/>
      <x:c r="I74" s="45"/>
    </x:row>
    <x:row r="75">
      <x:c r="A75" s="41"/>
      <x:c r="B75" s="42"/>
      <x:c r="C75" s="42"/>
      <x:c r="D75" s="42"/>
      <x:c r="E75" s="42"/>
      <x:c r="F75" s="42"/>
      <x:c r="G75" s="42"/>
      <x:c r="H75" s="42"/>
      <x:c r="I75" s="45"/>
    </x:row>
    <x:row r="76">
      <x:c r="A76" s="41"/>
      <x:c r="B76" s="42"/>
      <x:c r="C76" s="42"/>
      <x:c r="D76" s="42"/>
      <x:c r="E76" s="42"/>
      <x:c r="F76" s="42"/>
      <x:c r="G76" s="42"/>
      <x:c r="H76" s="42"/>
      <x:c r="I76" s="45"/>
    </x:row>
    <x:row r="77">
      <x:c r="A77" s="41"/>
      <x:c r="B77" s="42"/>
      <x:c r="C77" s="42"/>
      <x:c r="D77" s="42"/>
      <x:c r="E77" s="42"/>
      <x:c r="F77" s="42"/>
      <x:c r="G77" s="42"/>
      <x:c r="H77" s="42"/>
      <x:c r="I77" s="45"/>
    </x:row>
    <x:row r="78">
      <x:c r="A78" s="41"/>
      <x:c r="B78" s="42"/>
      <x:c r="C78" s="42"/>
      <x:c r="D78" s="42"/>
      <x:c r="E78" s="42"/>
      <x:c r="F78" s="42"/>
      <x:c r="G78" s="42"/>
      <x:c r="H78" s="42"/>
      <x:c r="I78" s="45"/>
    </x:row>
    <x:row r="79">
      <x:c r="A79" s="41"/>
      <x:c r="B79" s="42"/>
      <x:c r="C79" s="42"/>
      <x:c r="D79" s="42"/>
      <x:c r="E79" s="42"/>
      <x:c r="F79" s="42"/>
      <x:c r="G79" s="42"/>
      <x:c r="H79" s="42"/>
      <x:c r="I79" s="45"/>
    </x:row>
    <x:row r="80">
      <x:c r="A80" s="41"/>
      <x:c r="B80" s="42"/>
      <x:c r="C80" s="42"/>
      <x:c r="D80" s="42"/>
      <x:c r="E80" s="42"/>
      <x:c r="F80" s="42"/>
      <x:c r="G80" s="42"/>
      <x:c r="H80" s="42"/>
      <x:c r="I80" s="45"/>
    </x:row>
    <x:row r="81">
      <x:c r="A81" s="41"/>
      <x:c r="B81" s="42"/>
      <x:c r="C81" s="42"/>
      <x:c r="D81" s="42"/>
      <x:c r="E81" s="42"/>
      <x:c r="F81" s="42"/>
      <x:c r="G81" s="42"/>
      <x:c r="H81" s="42"/>
      <x:c r="I81" s="45"/>
    </x:row>
    <x:row r="82">
      <x:c r="A82" s="41"/>
      <x:c r="B82" s="42"/>
      <x:c r="C82" s="42"/>
      <x:c r="D82" s="42"/>
      <x:c r="E82" s="42"/>
      <x:c r="F82" s="42"/>
      <x:c r="G82" s="42"/>
      <x:c r="H82" s="42"/>
      <x:c r="I82" s="45"/>
    </x:row>
    <x:row r="83">
      <x:c r="A83" s="41"/>
      <x:c r="B83" s="42"/>
      <x:c r="C83" s="42"/>
      <x:c r="D83" s="42"/>
      <x:c r="E83" s="42"/>
      <x:c r="F83" s="42"/>
      <x:c r="G83" s="42"/>
      <x:c r="H83" s="42"/>
      <x:c r="I83" s="45"/>
    </x:row>
    <x:row r="84">
      <x:c r="A84" s="41"/>
      <x:c r="B84" s="42"/>
      <x:c r="C84" s="42"/>
      <x:c r="D84" s="42"/>
      <x:c r="E84" s="42"/>
      <x:c r="F84" s="42"/>
      <x:c r="G84" s="42"/>
      <x:c r="H84" s="42"/>
      <x:c r="I84" s="45"/>
    </x:row>
    <x:row r="85">
      <x:c r="A85" s="41"/>
      <x:c r="B85" s="42"/>
      <x:c r="C85" s="42"/>
      <x:c r="D85" s="42"/>
      <x:c r="E85" s="42"/>
      <x:c r="F85" s="42"/>
      <x:c r="G85" s="42"/>
      <x:c r="H85" s="42"/>
      <x:c r="I85" s="45"/>
    </x:row>
    <x:row r="86">
      <x:c r="A86" s="41"/>
      <x:c r="B86" s="42"/>
      <x:c r="C86" s="42"/>
      <x:c r="D86" s="42"/>
      <x:c r="E86" s="42"/>
      <x:c r="F86" s="42"/>
      <x:c r="G86" s="42"/>
      <x:c r="H86" s="42"/>
      <x:c r="I86" s="45"/>
    </x:row>
    <x:row r="87">
      <x:c r="A87" s="41"/>
      <x:c r="B87" s="42"/>
      <x:c r="C87" s="42"/>
      <x:c r="D87" s="42"/>
      <x:c r="E87" s="42"/>
      <x:c r="F87" s="42"/>
      <x:c r="G87" s="42"/>
      <x:c r="H87" s="42"/>
      <x:c r="I87" s="45"/>
    </x:row>
    <x:row r="88">
      <x:c r="A88" s="41"/>
      <x:c r="B88" s="42"/>
      <x:c r="C88" s="42"/>
      <x:c r="D88" s="42"/>
      <x:c r="E88" s="42"/>
      <x:c r="F88" s="42"/>
      <x:c r="G88" s="42"/>
      <x:c r="H88" s="42"/>
      <x:c r="I88" s="45"/>
    </x:row>
    <x:row r="89">
      <x:c r="A89" s="41"/>
      <x:c r="B89" s="42"/>
      <x:c r="C89" s="42"/>
      <x:c r="D89" s="42"/>
      <x:c r="E89" s="42"/>
      <x:c r="F89" s="42"/>
      <x:c r="G89" s="42"/>
      <x:c r="H89" s="42"/>
      <x:c r="I89" s="45"/>
    </x:row>
    <x:row r="90">
      <x:c r="A90" s="41"/>
      <x:c r="B90" s="42"/>
      <x:c r="C90" s="42"/>
      <x:c r="D90" s="42"/>
      <x:c r="E90" s="42"/>
      <x:c r="F90" s="42"/>
      <x:c r="G90" s="42"/>
      <x:c r="H90" s="42"/>
      <x:c r="I90" s="45"/>
    </x:row>
    <x:row r="91">
      <x:c r="A91" s="41"/>
      <x:c r="B91" s="42"/>
      <x:c r="C91" s="42"/>
      <x:c r="D91" s="42"/>
      <x:c r="E91" s="42"/>
      <x:c r="F91" s="42"/>
      <x:c r="G91" s="42"/>
      <x:c r="H91" s="42"/>
      <x:c r="I91" s="45"/>
    </x:row>
    <x:row r="92">
      <x:c r="A92" s="41"/>
      <x:c r="B92" s="42"/>
      <x:c r="C92" s="42"/>
      <x:c r="D92" s="42"/>
      <x:c r="E92" s="42"/>
      <x:c r="F92" s="42"/>
      <x:c r="G92" s="42"/>
      <x:c r="H92" s="42"/>
      <x:c r="I92" s="45"/>
    </x:row>
    <x:row r="93">
      <x:c r="A93" s="41"/>
      <x:c r="B93" s="42"/>
      <x:c r="C93" s="42"/>
      <x:c r="D93" s="42"/>
      <x:c r="E93" s="42"/>
      <x:c r="F93" s="42"/>
      <x:c r="G93" s="42"/>
      <x:c r="H93" s="42"/>
      <x:c r="I93" s="45"/>
    </x:row>
    <x:row r="94">
      <x:c r="A94" s="41"/>
      <x:c r="B94" s="42"/>
      <x:c r="C94" s="42"/>
      <x:c r="D94" s="42"/>
      <x:c r="E94" s="42"/>
      <x:c r="F94" s="42"/>
      <x:c r="G94" s="42"/>
      <x:c r="H94" s="42"/>
      <x:c r="I94" s="45"/>
    </x:row>
    <x:row r="95">
      <x:c r="A95" s="41"/>
      <x:c r="B95" s="42"/>
      <x:c r="C95" s="42"/>
      <x:c r="D95" s="42"/>
      <x:c r="E95" s="42"/>
      <x:c r="F95" s="42"/>
      <x:c r="G95" s="42"/>
      <x:c r="H95" s="42"/>
      <x:c r="I95" s="45"/>
    </x:row>
    <x:row r="96">
      <x:c r="A96" s="41"/>
      <x:c r="B96" s="42"/>
      <x:c r="C96" s="42"/>
      <x:c r="D96" s="42"/>
      <x:c r="E96" s="42"/>
      <x:c r="F96" s="42"/>
      <x:c r="G96" s="42"/>
      <x:c r="H96" s="42"/>
      <x:c r="I96" s="45"/>
    </x:row>
    <x:row r="97">
      <x:c r="A97" s="41"/>
      <x:c r="B97" s="42"/>
      <x:c r="C97" s="42"/>
      <x:c r="D97" s="42"/>
      <x:c r="E97" s="42"/>
      <x:c r="F97" s="42"/>
      <x:c r="G97" s="42"/>
      <x:c r="H97" s="42"/>
      <x:c r="I97" s="45"/>
    </x:row>
    <x:row r="98">
      <x:c r="A98" s="41"/>
      <x:c r="B98" s="42"/>
      <x:c r="C98" s="42"/>
      <x:c r="D98" s="42"/>
      <x:c r="E98" s="42"/>
      <x:c r="F98" s="42"/>
      <x:c r="G98" s="42"/>
      <x:c r="H98" s="42"/>
      <x:c r="I98" s="45"/>
    </x:row>
    <x:row r="99">
      <x:c r="A99" s="41"/>
      <x:c r="B99" s="42"/>
      <x:c r="C99" s="42"/>
      <x:c r="D99" s="42"/>
      <x:c r="E99" s="42"/>
      <x:c r="F99" s="42"/>
      <x:c r="G99" s="42"/>
      <x:c r="H99" s="42"/>
      <x:c r="I99" s="45"/>
    </x:row>
    <x:row r="100">
      <x:c r="A100" s="48"/>
      <x:c r="B100" s="49"/>
      <x:c r="C100" s="49"/>
      <x:c r="D100" s="49"/>
      <x:c r="E100" s="49"/>
      <x:c r="F100" s="49"/>
      <x:c r="G100" s="49"/>
      <x:c r="H100" s="49"/>
      <x:c r="I100" s="50"/>
    </x:row>
  </x:sheetData>
  <x:mergeCells>
    <x:mergeCell ref="A1:I1"/>
  </x:mergeCells>
  <x:dataValidations count="1">
    <x:dataValidation type="list" sqref="A4:A24">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6" hidden="0" customWidth="1"/>
    <x:col min="3" max="3" width="34" hidden="0" customWidth="1"/>
    <x:col min="4" max="4" width="38" hidden="0" customWidth="1"/>
    <x:col min="5" max="5" width="22" hidden="0" customWidth="1"/>
    <x:col min="6" max="6" width="28" hidden="0" customWidth="1"/>
    <x:col min="7" max="7" width="16" hidden="0" customWidth="1"/>
    <x:col min="8" max="8" width="16" hidden="0" customWidth="1"/>
    <x:col min="9" max="9" width="16" hidden="0" customWidth="1"/>
  </x:cols>
  <x:sheetData>
    <x:row r="1">
      <x:c r="A1" s="36" t="str">
        <x:v>Classroom Needs</x:v>
      </x:c>
      <x:c r="B1" s="13"/>
      <x:c r="C1" s="13"/>
      <x:c r="D1" s="13"/>
      <x:c r="E1" s="13"/>
      <x:c r="F1" s="13"/>
      <x:c r="G1" s="13"/>
      <x:c r="H1" s="13"/>
      <x:c r="I1" s="13"/>
    </x:row>
    <x:row r="3">
      <x:c r="A3" s="38" t="str">
        <x:v>Select</x:v>
      </x:c>
      <x:c r="B3" s="39" t="str">
        <x:v>Component ID</x:v>
      </x:c>
      <x:c r="C3" s="39" t="str">
        <x:v>Portal Sub Item</x:v>
      </x:c>
      <x:c r="D3" s="39" t="str">
        <x:v>Mission Component</x:v>
      </x:c>
      <x:c r="E3" s="39" t="str">
        <x:v>Unit</x:v>
      </x:c>
      <x:c r="F3" s="39" t="str">
        <x:v>Recommended Quantity Formula</x:v>
      </x:c>
      <x:c r="G3" s="39" t="str">
        <x:v>Quantity</x:v>
      </x:c>
      <x:c r="H3" s="39" t="str">
        <x:v>Planning Unit Cost (₹)</x:v>
      </x:c>
      <x:c r="I3" s="40" t="str">
        <x:v>Total Amount (₹)</x:v>
      </x:c>
    </x:row>
    <x:row r="4">
      <x:c r="A4" s="41" t="str">
        <x:v>No</x:v>
      </x:c>
      <x:c r="B4" s="42" t="str">
        <x:v>GFS-CLS-001</x:v>
      </x:c>
      <x:c r="C4" s="42" t="str">
        <x:v>White Boards</x:v>
      </x:c>
      <x:c r="D4" s="42" t="str">
        <x:v>Ceramic White Board</x:v>
      </x:c>
      <x:c r="E4" s="42" t="str">
        <x:v>In number</x:v>
      </x:c>
      <x:c r="F4" s="42" t="str">
        <x:v>1 per classroom</x:v>
      </x:c>
      <x:c r="G4" s="43" t="n">
        <x:v>0</x:v>
      </x:c>
      <x:c r="H4" s="43" t="n">
        <x:v>8000</x:v>
      </x:c>
      <x:c r="I4" s="44" t="n">
        <x:f>IF(A4="Yes",G4*H4,0)</x:f>
        <x:v>0</x:v>
      </x:c>
    </x:row>
    <x:row r="5">
      <x:c r="A5" s="41" t="str">
        <x:v>No</x:v>
      </x:c>
      <x:c r="B5" s="42" t="str">
        <x:v>GFS-CLS-002</x:v>
      </x:c>
      <x:c r="C5" s="42" t="str">
        <x:v>Green Boards</x:v>
      </x:c>
      <x:c r="D5" s="42" t="str">
        <x:v>Green Board</x:v>
      </x:c>
      <x:c r="E5" s="42" t="str">
        <x:v>In number</x:v>
      </x:c>
      <x:c r="F5" s="42" t="str">
        <x:v>1 per classroom if preferred</x:v>
      </x:c>
      <x:c r="G5" s="43" t="n">
        <x:v>0</x:v>
      </x:c>
      <x:c r="H5" s="43" t="n">
        <x:v>7000</x:v>
      </x:c>
      <x:c r="I5" s="44" t="n">
        <x:f>IF(A5="Yes",G5*H5,0)</x:f>
        <x:v>0</x:v>
      </x:c>
    </x:row>
    <x:row r="6">
      <x:c r="A6" s="41" t="str">
        <x:v>No</x:v>
      </x:c>
      <x:c r="B6" s="42" t="str">
        <x:v>GFS-CLS-003</x:v>
      </x:c>
      <x:c r="C6" s="42" t="str">
        <x:v>Tables</x:v>
      </x:c>
      <x:c r="D6" s="42" t="str">
        <x:v>Teacher Tables</x:v>
      </x:c>
      <x:c r="E6" s="42" t="str">
        <x:v>In number</x:v>
      </x:c>
      <x:c r="F6" s="42" t="str">
        <x:v>1 per classroom/teacher</x:v>
      </x:c>
      <x:c r="G6" s="43" t="n">
        <x:v>0</x:v>
      </x:c>
      <x:c r="H6" s="43" t="n">
        <x:v>8000</x:v>
      </x:c>
      <x:c r="I6" s="44" t="n">
        <x:f>IF(A6="Yes",G6*H6,0)</x:f>
        <x:v>0</x:v>
      </x:c>
    </x:row>
    <x:row r="7">
      <x:c r="A7" s="41" t="str">
        <x:v>No</x:v>
      </x:c>
      <x:c r="B7" s="42" t="str">
        <x:v>GFS-CLS-004</x:v>
      </x:c>
      <x:c r="C7" s="42" t="str">
        <x:v>Chairs / Benches</x:v>
      </x:c>
      <x:c r="D7" s="42" t="str">
        <x:v>Student Benches / Dual Desks</x:v>
      </x:c>
      <x:c r="E7" s="42" t="str">
        <x:v>In number</x:v>
      </x:c>
      <x:c r="F7" s="42" t="str">
        <x:v>Students / 2</x:v>
      </x:c>
      <x:c r="G7" s="43" t="n">
        <x:v>0</x:v>
      </x:c>
      <x:c r="H7" s="43" t="n">
        <x:v>6500</x:v>
      </x:c>
      <x:c r="I7" s="44" t="n">
        <x:f>IF(A7="Yes",G7*H7,0)</x:f>
        <x:v>0</x:v>
      </x:c>
    </x:row>
    <x:row r="8">
      <x:c r="A8" s="41" t="str">
        <x:v>No</x:v>
      </x:c>
      <x:c r="B8" s="42" t="str">
        <x:v>GFS-CLS-005</x:v>
      </x:c>
      <x:c r="C8" s="42" t="str">
        <x:v>Stationery</x:v>
      </x:c>
      <x:c r="D8" s="42" t="str">
        <x:v>Student Stationery Kit</x:v>
      </x:c>
      <x:c r="E8" s="42" t="str">
        <x:v>In number</x:v>
      </x:c>
      <x:c r="F8" s="42" t="str">
        <x:v>Per student</x:v>
      </x:c>
      <x:c r="G8" s="43" t="n">
        <x:v>0</x:v>
      </x:c>
      <x:c r="H8" s="43" t="n">
        <x:v>750</x:v>
      </x:c>
      <x:c r="I8" s="44" t="n">
        <x:f>IF(A8="Yes",G8*H8,0)</x:f>
        <x:v>0</x:v>
      </x:c>
    </x:row>
    <x:row r="9">
      <x:c r="A9" s="41" t="str">
        <x:v>No</x:v>
      </x:c>
      <x:c r="B9" s="42" t="str">
        <x:v>GFS-CLS-006</x:v>
      </x:c>
      <x:c r="C9" s="42" t="str">
        <x:v>Cupboards</x:v>
      </x:c>
      <x:c r="D9" s="42" t="str">
        <x:v>Steel Cupboard</x:v>
      </x:c>
      <x:c r="E9" s="42" t="str">
        <x:v>In number</x:v>
      </x:c>
      <x:c r="F9" s="42" t="str">
        <x:v>1 per school/classroom</x:v>
      </x:c>
      <x:c r="G9" s="43" t="n">
        <x:v>0</x:v>
      </x:c>
      <x:c r="H9" s="43" t="n">
        <x:v>18000</x:v>
      </x:c>
      <x:c r="I9" s="44" t="n">
        <x:f>IF(A9="Yes",G9*H9,0)</x:f>
        <x:v>0</x:v>
      </x:c>
    </x:row>
    <x:row r="10">
      <x:c r="A10" s="41" t="str">
        <x:v>No</x:v>
      </x:c>
      <x:c r="B10" s="42" t="str">
        <x:v>GFS-CLS-007</x:v>
      </x:c>
      <x:c r="C10" s="42" t="str">
        <x:v>Braille / Large Font Text Books</x:v>
      </x:c>
      <x:c r="D10" s="42" t="str">
        <x:v>Accessible Text Books</x:v>
      </x:c>
      <x:c r="E10" s="42" t="str">
        <x:v>In number</x:v>
      </x:c>
      <x:c r="F10" s="42" t="str">
        <x:v>Need based</x:v>
      </x:c>
      <x:c r="G10" s="43" t="n">
        <x:v>0</x:v>
      </x:c>
      <x:c r="H10" s="43" t="n">
        <x:v>12000</x:v>
      </x:c>
      <x:c r="I10" s="44" t="n">
        <x:f>IF(A10="Yes",G10*H10,0)</x:f>
        <x:v>0</x:v>
      </x:c>
    </x:row>
    <x:row r="11">
      <x:c r="A11" s="41" t="str">
        <x:v>No</x:v>
      </x:c>
      <x:c r="B11" s="42" t="str">
        <x:v>GFS-CLS-008</x:v>
      </x:c>
      <x:c r="C11" s="42" t="str">
        <x:v>Science and Maths Kits</x:v>
      </x:c>
      <x:c r="D11" s="42" t="str">
        <x:v>Science &amp; Maths Kit</x:v>
      </x:c>
      <x:c r="E11" s="42" t="str">
        <x:v>In number</x:v>
      </x:c>
      <x:c r="F11" s="42" t="str">
        <x:v>1-2 per school</x:v>
      </x:c>
      <x:c r="G11" s="43" t="n">
        <x:v>0</x:v>
      </x:c>
      <x:c r="H11" s="43" t="n">
        <x:v>25000</x:v>
      </x:c>
      <x:c r="I11" s="44" t="n">
        <x:f>IF(A11="Yes",G11*H11,0)</x:f>
        <x:v>0</x:v>
      </x:c>
    </x:row>
    <x:row r="12">
      <x:c r="A12" s="41" t="str">
        <x:v>No</x:v>
      </x:c>
      <x:c r="B12" s="42" t="str">
        <x:v>GFS-CLS-009</x:v>
      </x:c>
      <x:c r="C12" s="42" t="str">
        <x:v>Text Books</x:v>
      </x:c>
      <x:c r="D12" s="42" t="str">
        <x:v>Text Book Set</x:v>
      </x:c>
      <x:c r="E12" s="42" t="str">
        <x:v>In number</x:v>
      </x:c>
      <x:c r="F12" s="42" t="str">
        <x:v>Per student if not supplied</x:v>
      </x:c>
      <x:c r="G12" s="43" t="n">
        <x:v>0</x:v>
      </x:c>
      <x:c r="H12" s="43" t="n">
        <x:v>2000</x:v>
      </x:c>
      <x:c r="I12" s="44" t="n">
        <x:f>IF(A12="Yes",G12*H12,0)</x:f>
        <x:v>0</x:v>
      </x:c>
    </x:row>
    <x:row r="13">
      <x:c r="A13" s="41" t="str">
        <x:v>No</x:v>
      </x:c>
      <x:c r="B13" s="42" t="str">
        <x:v>GFS-CLS-010</x:v>
      </x:c>
      <x:c r="C13" s="42" t="str">
        <x:v>School Uniform</x:v>
      </x:c>
      <x:c r="D13" s="42" t="str">
        <x:v>School Uniform Set</x:v>
      </x:c>
      <x:c r="E13" s="42" t="str">
        <x:v>In number</x:v>
      </x:c>
      <x:c r="F13" s="42" t="str">
        <x:v>Per student if sponsored</x:v>
      </x:c>
      <x:c r="G13" s="43" t="n">
        <x:v>0</x:v>
      </x:c>
      <x:c r="H13" s="43" t="n">
        <x:v>2000</x:v>
      </x:c>
      <x:c r="I13" s="44" t="n">
        <x:f>IF(A13="Yes",G13*H13,0)</x:f>
        <x:v>0</x:v>
      </x:c>
    </x:row>
    <x:row r="14">
      <x:c r="A14" s="41"/>
      <x:c r="B14" s="42"/>
      <x:c r="C14" s="42"/>
      <x:c r="D14" s="42"/>
      <x:c r="E14" s="42"/>
      <x:c r="F14" s="42"/>
      <x:c r="G14" s="42"/>
      <x:c r="H14" s="42"/>
      <x:c r="I14" s="45"/>
    </x:row>
    <x:row r="15">
      <x:c r="A15" s="41"/>
      <x:c r="B15" s="42"/>
      <x:c r="C15" s="42"/>
      <x:c r="D15" s="42"/>
      <x:c r="E15" s="42"/>
      <x:c r="F15" s="42"/>
      <x:c r="G15" s="42"/>
      <x:c r="H15" s="46" t="str">
        <x:v>Work Area Total</x:v>
      </x:c>
      <x:c r="I15" s="47" t="n">
        <x:f>SUM(I4:I13)</x:f>
        <x:v>0</x:v>
      </x:c>
    </x:row>
    <x:row r="16">
      <x:c r="A16" s="41"/>
      <x:c r="B16" s="42"/>
      <x:c r="C16" s="42"/>
      <x:c r="D16" s="42"/>
      <x:c r="E16" s="42"/>
      <x:c r="F16" s="42"/>
      <x:c r="G16" s="42"/>
      <x:c r="H16" s="42"/>
      <x:c r="I16" s="45"/>
    </x:row>
    <x:row r="17">
      <x:c r="A17" s="41"/>
      <x:c r="B17" s="42"/>
      <x:c r="C17" s="42"/>
      <x:c r="D17" s="42"/>
      <x:c r="E17" s="42"/>
      <x:c r="F17" s="42"/>
      <x:c r="G17" s="42"/>
      <x:c r="H17" s="42"/>
      <x:c r="I17" s="45"/>
    </x:row>
    <x:row r="18">
      <x:c r="A18" s="41"/>
      <x:c r="B18" s="42"/>
      <x:c r="C18" s="42"/>
      <x:c r="D18" s="42"/>
      <x:c r="E18" s="42"/>
      <x:c r="F18" s="42"/>
      <x:c r="G18" s="42"/>
      <x:c r="H18" s="42"/>
      <x:c r="I18" s="45"/>
    </x:row>
    <x:row r="19">
      <x:c r="A19" s="41"/>
      <x:c r="B19" s="42"/>
      <x:c r="C19" s="42"/>
      <x:c r="D19" s="42"/>
      <x:c r="E19" s="42"/>
      <x:c r="F19" s="42"/>
      <x:c r="G19" s="42"/>
      <x:c r="H19" s="42"/>
      <x:c r="I19" s="45"/>
    </x:row>
    <x:row r="20">
      <x:c r="A20" s="41"/>
      <x:c r="B20" s="42"/>
      <x:c r="C20" s="42"/>
      <x:c r="D20" s="42"/>
      <x:c r="E20" s="42"/>
      <x:c r="F20" s="42"/>
      <x:c r="G20" s="42"/>
      <x:c r="H20" s="42"/>
      <x:c r="I20" s="45"/>
    </x:row>
    <x:row r="21">
      <x:c r="A21" s="41"/>
      <x:c r="B21" s="42"/>
      <x:c r="C21" s="42"/>
      <x:c r="D21" s="42"/>
      <x:c r="E21" s="42"/>
      <x:c r="F21" s="42"/>
      <x:c r="G21" s="42"/>
      <x:c r="H21" s="42"/>
      <x:c r="I21" s="45"/>
    </x:row>
    <x:row r="22">
      <x:c r="A22" s="41"/>
      <x:c r="B22" s="42"/>
      <x:c r="C22" s="42"/>
      <x:c r="D22" s="42"/>
      <x:c r="E22" s="42"/>
      <x:c r="F22" s="42"/>
      <x:c r="G22" s="42"/>
      <x:c r="H22" s="42"/>
      <x:c r="I22" s="45"/>
    </x:row>
    <x:row r="23">
      <x:c r="A23" s="41"/>
      <x:c r="B23" s="42"/>
      <x:c r="C23" s="42"/>
      <x:c r="D23" s="42"/>
      <x:c r="E23" s="42"/>
      <x:c r="F23" s="42"/>
      <x:c r="G23" s="42"/>
      <x:c r="H23" s="42"/>
      <x:c r="I23" s="45"/>
    </x:row>
    <x:row r="24">
      <x:c r="A24" s="41"/>
      <x:c r="B24" s="42"/>
      <x:c r="C24" s="42"/>
      <x:c r="D24" s="42"/>
      <x:c r="E24" s="42"/>
      <x:c r="F24" s="42"/>
      <x:c r="G24" s="42"/>
      <x:c r="H24" s="42"/>
      <x:c r="I24" s="45"/>
    </x:row>
    <x:row r="25">
      <x:c r="A25" s="41"/>
      <x:c r="B25" s="42"/>
      <x:c r="C25" s="42"/>
      <x:c r="D25" s="42"/>
      <x:c r="E25" s="42"/>
      <x:c r="F25" s="42"/>
      <x:c r="G25" s="42"/>
      <x:c r="H25" s="42"/>
      <x:c r="I25" s="45"/>
    </x:row>
    <x:row r="26">
      <x:c r="A26" s="41"/>
      <x:c r="B26" s="42"/>
      <x:c r="C26" s="42"/>
      <x:c r="D26" s="42"/>
      <x:c r="E26" s="42"/>
      <x:c r="F26" s="42"/>
      <x:c r="G26" s="42"/>
      <x:c r="H26" s="42"/>
      <x:c r="I26" s="45"/>
    </x:row>
    <x:row r="27">
      <x:c r="A27" s="41"/>
      <x:c r="B27" s="42"/>
      <x:c r="C27" s="42"/>
      <x:c r="D27" s="42"/>
      <x:c r="E27" s="42"/>
      <x:c r="F27" s="42"/>
      <x:c r="G27" s="42"/>
      <x:c r="H27" s="42"/>
      <x:c r="I27" s="45"/>
    </x:row>
    <x:row r="28">
      <x:c r="A28" s="41"/>
      <x:c r="B28" s="42"/>
      <x:c r="C28" s="42"/>
      <x:c r="D28" s="42"/>
      <x:c r="E28" s="42"/>
      <x:c r="F28" s="42"/>
      <x:c r="G28" s="42"/>
      <x:c r="H28" s="42"/>
      <x:c r="I28" s="45"/>
    </x:row>
    <x:row r="29">
      <x:c r="A29" s="41"/>
      <x:c r="B29" s="42"/>
      <x:c r="C29" s="42"/>
      <x:c r="D29" s="42"/>
      <x:c r="E29" s="42"/>
      <x:c r="F29" s="42"/>
      <x:c r="G29" s="42"/>
      <x:c r="H29" s="42"/>
      <x:c r="I29" s="45"/>
    </x:row>
    <x:row r="30">
      <x:c r="A30" s="41"/>
      <x:c r="B30" s="42"/>
      <x:c r="C30" s="42"/>
      <x:c r="D30" s="42"/>
      <x:c r="E30" s="42"/>
      <x:c r="F30" s="42"/>
      <x:c r="G30" s="42"/>
      <x:c r="H30" s="42"/>
      <x:c r="I30" s="45"/>
    </x:row>
    <x:row r="31">
      <x:c r="A31" s="41"/>
      <x:c r="B31" s="42"/>
      <x:c r="C31" s="42"/>
      <x:c r="D31" s="42"/>
      <x:c r="E31" s="42"/>
      <x:c r="F31" s="42"/>
      <x:c r="G31" s="42"/>
      <x:c r="H31" s="42"/>
      <x:c r="I31" s="45"/>
    </x:row>
    <x:row r="32">
      <x:c r="A32" s="41"/>
      <x:c r="B32" s="42"/>
      <x:c r="C32" s="42"/>
      <x:c r="D32" s="42"/>
      <x:c r="E32" s="42"/>
      <x:c r="F32" s="42"/>
      <x:c r="G32" s="42"/>
      <x:c r="H32" s="42"/>
      <x:c r="I32" s="45"/>
    </x:row>
    <x:row r="33">
      <x:c r="A33" s="41"/>
      <x:c r="B33" s="42"/>
      <x:c r="C33" s="42"/>
      <x:c r="D33" s="42"/>
      <x:c r="E33" s="42"/>
      <x:c r="F33" s="42"/>
      <x:c r="G33" s="42"/>
      <x:c r="H33" s="42"/>
      <x:c r="I33" s="45"/>
    </x:row>
    <x:row r="34">
      <x:c r="A34" s="41"/>
      <x:c r="B34" s="42"/>
      <x:c r="C34" s="42"/>
      <x:c r="D34" s="42"/>
      <x:c r="E34" s="42"/>
      <x:c r="F34" s="42"/>
      <x:c r="G34" s="42"/>
      <x:c r="H34" s="42"/>
      <x:c r="I34" s="45"/>
    </x:row>
    <x:row r="35">
      <x:c r="A35" s="41"/>
      <x:c r="B35" s="42"/>
      <x:c r="C35" s="42"/>
      <x:c r="D35" s="42"/>
      <x:c r="E35" s="42"/>
      <x:c r="F35" s="42"/>
      <x:c r="G35" s="42"/>
      <x:c r="H35" s="42"/>
      <x:c r="I35" s="45"/>
    </x:row>
    <x:row r="36">
      <x:c r="A36" s="41"/>
      <x:c r="B36" s="42"/>
      <x:c r="C36" s="42"/>
      <x:c r="D36" s="42"/>
      <x:c r="E36" s="42"/>
      <x:c r="F36" s="42"/>
      <x:c r="G36" s="42"/>
      <x:c r="H36" s="42"/>
      <x:c r="I36" s="45"/>
    </x:row>
    <x:row r="37">
      <x:c r="A37" s="41"/>
      <x:c r="B37" s="42"/>
      <x:c r="C37" s="42"/>
      <x:c r="D37" s="42"/>
      <x:c r="E37" s="42"/>
      <x:c r="F37" s="42"/>
      <x:c r="G37" s="42"/>
      <x:c r="H37" s="42"/>
      <x:c r="I37" s="45"/>
    </x:row>
    <x:row r="38">
      <x:c r="A38" s="41"/>
      <x:c r="B38" s="42"/>
      <x:c r="C38" s="42"/>
      <x:c r="D38" s="42"/>
      <x:c r="E38" s="42"/>
      <x:c r="F38" s="42"/>
      <x:c r="G38" s="42"/>
      <x:c r="H38" s="42"/>
      <x:c r="I38" s="45"/>
    </x:row>
    <x:row r="39">
      <x:c r="A39" s="41"/>
      <x:c r="B39" s="42"/>
      <x:c r="C39" s="42"/>
      <x:c r="D39" s="42"/>
      <x:c r="E39" s="42"/>
      <x:c r="F39" s="42"/>
      <x:c r="G39" s="42"/>
      <x:c r="H39" s="42"/>
      <x:c r="I39" s="45"/>
    </x:row>
    <x:row r="40">
      <x:c r="A40" s="41"/>
      <x:c r="B40" s="42"/>
      <x:c r="C40" s="42"/>
      <x:c r="D40" s="42"/>
      <x:c r="E40" s="42"/>
      <x:c r="F40" s="42"/>
      <x:c r="G40" s="42"/>
      <x:c r="H40" s="42"/>
      <x:c r="I40" s="45"/>
    </x:row>
    <x:row r="41">
      <x:c r="A41" s="41"/>
      <x:c r="B41" s="42"/>
      <x:c r="C41" s="42"/>
      <x:c r="D41" s="42"/>
      <x:c r="E41" s="42"/>
      <x:c r="F41" s="42"/>
      <x:c r="G41" s="42"/>
      <x:c r="H41" s="42"/>
      <x:c r="I41" s="45"/>
    </x:row>
    <x:row r="42">
      <x:c r="A42" s="41"/>
      <x:c r="B42" s="42"/>
      <x:c r="C42" s="42"/>
      <x:c r="D42" s="42"/>
      <x:c r="E42" s="42"/>
      <x:c r="F42" s="42"/>
      <x:c r="G42" s="42"/>
      <x:c r="H42" s="42"/>
      <x:c r="I42" s="45"/>
    </x:row>
    <x:row r="43">
      <x:c r="A43" s="41"/>
      <x:c r="B43" s="42"/>
      <x:c r="C43" s="42"/>
      <x:c r="D43" s="42"/>
      <x:c r="E43" s="42"/>
      <x:c r="F43" s="42"/>
      <x:c r="G43" s="42"/>
      <x:c r="H43" s="42"/>
      <x:c r="I43" s="45"/>
    </x:row>
    <x:row r="44">
      <x:c r="A44" s="41"/>
      <x:c r="B44" s="42"/>
      <x:c r="C44" s="42"/>
      <x:c r="D44" s="42"/>
      <x:c r="E44" s="42"/>
      <x:c r="F44" s="42"/>
      <x:c r="G44" s="42"/>
      <x:c r="H44" s="42"/>
      <x:c r="I44" s="45"/>
    </x:row>
    <x:row r="45">
      <x:c r="A45" s="41"/>
      <x:c r="B45" s="42"/>
      <x:c r="C45" s="42"/>
      <x:c r="D45" s="42"/>
      <x:c r="E45" s="42"/>
      <x:c r="F45" s="42"/>
      <x:c r="G45" s="42"/>
      <x:c r="H45" s="42"/>
      <x:c r="I45" s="45"/>
    </x:row>
    <x:row r="46">
      <x:c r="A46" s="41"/>
      <x:c r="B46" s="42"/>
      <x:c r="C46" s="42"/>
      <x:c r="D46" s="42"/>
      <x:c r="E46" s="42"/>
      <x:c r="F46" s="42"/>
      <x:c r="G46" s="42"/>
      <x:c r="H46" s="42"/>
      <x:c r="I46" s="45"/>
    </x:row>
    <x:row r="47">
      <x:c r="A47" s="41"/>
      <x:c r="B47" s="42"/>
      <x:c r="C47" s="42"/>
      <x:c r="D47" s="42"/>
      <x:c r="E47" s="42"/>
      <x:c r="F47" s="42"/>
      <x:c r="G47" s="42"/>
      <x:c r="H47" s="42"/>
      <x:c r="I47" s="45"/>
    </x:row>
    <x:row r="48">
      <x:c r="A48" s="41"/>
      <x:c r="B48" s="42"/>
      <x:c r="C48" s="42"/>
      <x:c r="D48" s="42"/>
      <x:c r="E48" s="42"/>
      <x:c r="F48" s="42"/>
      <x:c r="G48" s="42"/>
      <x:c r="H48" s="42"/>
      <x:c r="I48" s="45"/>
    </x:row>
    <x:row r="49">
      <x:c r="A49" s="41"/>
      <x:c r="B49" s="42"/>
      <x:c r="C49" s="42"/>
      <x:c r="D49" s="42"/>
      <x:c r="E49" s="42"/>
      <x:c r="F49" s="42"/>
      <x:c r="G49" s="42"/>
      <x:c r="H49" s="42"/>
      <x:c r="I49" s="45"/>
    </x:row>
    <x:row r="50">
      <x:c r="A50" s="41"/>
      <x:c r="B50" s="42"/>
      <x:c r="C50" s="42"/>
      <x:c r="D50" s="42"/>
      <x:c r="E50" s="42"/>
      <x:c r="F50" s="42"/>
      <x:c r="G50" s="42"/>
      <x:c r="H50" s="42"/>
      <x:c r="I50" s="45"/>
    </x:row>
    <x:row r="51">
      <x:c r="A51" s="41"/>
      <x:c r="B51" s="42"/>
      <x:c r="C51" s="42"/>
      <x:c r="D51" s="42"/>
      <x:c r="E51" s="42"/>
      <x:c r="F51" s="42"/>
      <x:c r="G51" s="42"/>
      <x:c r="H51" s="42"/>
      <x:c r="I51" s="45"/>
    </x:row>
    <x:row r="52">
      <x:c r="A52" s="41"/>
      <x:c r="B52" s="42"/>
      <x:c r="C52" s="42"/>
      <x:c r="D52" s="42"/>
      <x:c r="E52" s="42"/>
      <x:c r="F52" s="42"/>
      <x:c r="G52" s="42"/>
      <x:c r="H52" s="42"/>
      <x:c r="I52" s="45"/>
    </x:row>
    <x:row r="53">
      <x:c r="A53" s="41"/>
      <x:c r="B53" s="42"/>
      <x:c r="C53" s="42"/>
      <x:c r="D53" s="42"/>
      <x:c r="E53" s="42"/>
      <x:c r="F53" s="42"/>
      <x:c r="G53" s="42"/>
      <x:c r="H53" s="42"/>
      <x:c r="I53" s="45"/>
    </x:row>
    <x:row r="54">
      <x:c r="A54" s="41"/>
      <x:c r="B54" s="42"/>
      <x:c r="C54" s="42"/>
      <x:c r="D54" s="42"/>
      <x:c r="E54" s="42"/>
      <x:c r="F54" s="42"/>
      <x:c r="G54" s="42"/>
      <x:c r="H54" s="42"/>
      <x:c r="I54" s="45"/>
    </x:row>
    <x:row r="55">
      <x:c r="A55" s="41"/>
      <x:c r="B55" s="42"/>
      <x:c r="C55" s="42"/>
      <x:c r="D55" s="42"/>
      <x:c r="E55" s="42"/>
      <x:c r="F55" s="42"/>
      <x:c r="G55" s="42"/>
      <x:c r="H55" s="42"/>
      <x:c r="I55" s="45"/>
    </x:row>
    <x:row r="56">
      <x:c r="A56" s="41"/>
      <x:c r="B56" s="42"/>
      <x:c r="C56" s="42"/>
      <x:c r="D56" s="42"/>
      <x:c r="E56" s="42"/>
      <x:c r="F56" s="42"/>
      <x:c r="G56" s="42"/>
      <x:c r="H56" s="42"/>
      <x:c r="I56" s="45"/>
    </x:row>
    <x:row r="57">
      <x:c r="A57" s="41"/>
      <x:c r="B57" s="42"/>
      <x:c r="C57" s="42"/>
      <x:c r="D57" s="42"/>
      <x:c r="E57" s="42"/>
      <x:c r="F57" s="42"/>
      <x:c r="G57" s="42"/>
      <x:c r="H57" s="42"/>
      <x:c r="I57" s="45"/>
    </x:row>
    <x:row r="58">
      <x:c r="A58" s="41"/>
      <x:c r="B58" s="42"/>
      <x:c r="C58" s="42"/>
      <x:c r="D58" s="42"/>
      <x:c r="E58" s="42"/>
      <x:c r="F58" s="42"/>
      <x:c r="G58" s="42"/>
      <x:c r="H58" s="42"/>
      <x:c r="I58" s="45"/>
    </x:row>
    <x:row r="59">
      <x:c r="A59" s="41"/>
      <x:c r="B59" s="42"/>
      <x:c r="C59" s="42"/>
      <x:c r="D59" s="42"/>
      <x:c r="E59" s="42"/>
      <x:c r="F59" s="42"/>
      <x:c r="G59" s="42"/>
      <x:c r="H59" s="42"/>
      <x:c r="I59" s="45"/>
    </x:row>
    <x:row r="60">
      <x:c r="A60" s="41"/>
      <x:c r="B60" s="42"/>
      <x:c r="C60" s="42"/>
      <x:c r="D60" s="42"/>
      <x:c r="E60" s="42"/>
      <x:c r="F60" s="42"/>
      <x:c r="G60" s="42"/>
      <x:c r="H60" s="42"/>
      <x:c r="I60" s="45"/>
    </x:row>
    <x:row r="61">
      <x:c r="A61" s="41"/>
      <x:c r="B61" s="42"/>
      <x:c r="C61" s="42"/>
      <x:c r="D61" s="42"/>
      <x:c r="E61" s="42"/>
      <x:c r="F61" s="42"/>
      <x:c r="G61" s="42"/>
      <x:c r="H61" s="42"/>
      <x:c r="I61" s="45"/>
    </x:row>
    <x:row r="62">
      <x:c r="A62" s="41"/>
      <x:c r="B62" s="42"/>
      <x:c r="C62" s="42"/>
      <x:c r="D62" s="42"/>
      <x:c r="E62" s="42"/>
      <x:c r="F62" s="42"/>
      <x:c r="G62" s="42"/>
      <x:c r="H62" s="42"/>
      <x:c r="I62" s="45"/>
    </x:row>
    <x:row r="63">
      <x:c r="A63" s="41"/>
      <x:c r="B63" s="42"/>
      <x:c r="C63" s="42"/>
      <x:c r="D63" s="42"/>
      <x:c r="E63" s="42"/>
      <x:c r="F63" s="42"/>
      <x:c r="G63" s="42"/>
      <x:c r="H63" s="42"/>
      <x:c r="I63" s="45"/>
    </x:row>
    <x:row r="64">
      <x:c r="A64" s="41"/>
      <x:c r="B64" s="42"/>
      <x:c r="C64" s="42"/>
      <x:c r="D64" s="42"/>
      <x:c r="E64" s="42"/>
      <x:c r="F64" s="42"/>
      <x:c r="G64" s="42"/>
      <x:c r="H64" s="42"/>
      <x:c r="I64" s="45"/>
    </x:row>
    <x:row r="65">
      <x:c r="A65" s="41"/>
      <x:c r="B65" s="42"/>
      <x:c r="C65" s="42"/>
      <x:c r="D65" s="42"/>
      <x:c r="E65" s="42"/>
      <x:c r="F65" s="42"/>
      <x:c r="G65" s="42"/>
      <x:c r="H65" s="42"/>
      <x:c r="I65" s="45"/>
    </x:row>
    <x:row r="66">
      <x:c r="A66" s="41"/>
      <x:c r="B66" s="42"/>
      <x:c r="C66" s="42"/>
      <x:c r="D66" s="42"/>
      <x:c r="E66" s="42"/>
      <x:c r="F66" s="42"/>
      <x:c r="G66" s="42"/>
      <x:c r="H66" s="42"/>
      <x:c r="I66" s="45"/>
    </x:row>
    <x:row r="67">
      <x:c r="A67" s="41"/>
      <x:c r="B67" s="42"/>
      <x:c r="C67" s="42"/>
      <x:c r="D67" s="42"/>
      <x:c r="E67" s="42"/>
      <x:c r="F67" s="42"/>
      <x:c r="G67" s="42"/>
      <x:c r="H67" s="42"/>
      <x:c r="I67" s="45"/>
    </x:row>
    <x:row r="68">
      <x:c r="A68" s="41"/>
      <x:c r="B68" s="42"/>
      <x:c r="C68" s="42"/>
      <x:c r="D68" s="42"/>
      <x:c r="E68" s="42"/>
      <x:c r="F68" s="42"/>
      <x:c r="G68" s="42"/>
      <x:c r="H68" s="42"/>
      <x:c r="I68" s="45"/>
    </x:row>
    <x:row r="69">
      <x:c r="A69" s="41"/>
      <x:c r="B69" s="42"/>
      <x:c r="C69" s="42"/>
      <x:c r="D69" s="42"/>
      <x:c r="E69" s="42"/>
      <x:c r="F69" s="42"/>
      <x:c r="G69" s="42"/>
      <x:c r="H69" s="42"/>
      <x:c r="I69" s="45"/>
    </x:row>
    <x:row r="70">
      <x:c r="A70" s="41"/>
      <x:c r="B70" s="42"/>
      <x:c r="C70" s="42"/>
      <x:c r="D70" s="42"/>
      <x:c r="E70" s="42"/>
      <x:c r="F70" s="42"/>
      <x:c r="G70" s="42"/>
      <x:c r="H70" s="42"/>
      <x:c r="I70" s="45"/>
    </x:row>
    <x:row r="71">
      <x:c r="A71" s="41"/>
      <x:c r="B71" s="42"/>
      <x:c r="C71" s="42"/>
      <x:c r="D71" s="42"/>
      <x:c r="E71" s="42"/>
      <x:c r="F71" s="42"/>
      <x:c r="G71" s="42"/>
      <x:c r="H71" s="42"/>
      <x:c r="I71" s="45"/>
    </x:row>
    <x:row r="72">
      <x:c r="A72" s="41"/>
      <x:c r="B72" s="42"/>
      <x:c r="C72" s="42"/>
      <x:c r="D72" s="42"/>
      <x:c r="E72" s="42"/>
      <x:c r="F72" s="42"/>
      <x:c r="G72" s="42"/>
      <x:c r="H72" s="42"/>
      <x:c r="I72" s="45"/>
    </x:row>
    <x:row r="73">
      <x:c r="A73" s="41"/>
      <x:c r="B73" s="42"/>
      <x:c r="C73" s="42"/>
      <x:c r="D73" s="42"/>
      <x:c r="E73" s="42"/>
      <x:c r="F73" s="42"/>
      <x:c r="G73" s="42"/>
      <x:c r="H73" s="42"/>
      <x:c r="I73" s="45"/>
    </x:row>
    <x:row r="74">
      <x:c r="A74" s="41"/>
      <x:c r="B74" s="42"/>
      <x:c r="C74" s="42"/>
      <x:c r="D74" s="42"/>
      <x:c r="E74" s="42"/>
      <x:c r="F74" s="42"/>
      <x:c r="G74" s="42"/>
      <x:c r="H74" s="42"/>
      <x:c r="I74" s="45"/>
    </x:row>
    <x:row r="75">
      <x:c r="A75" s="41"/>
      <x:c r="B75" s="42"/>
      <x:c r="C75" s="42"/>
      <x:c r="D75" s="42"/>
      <x:c r="E75" s="42"/>
      <x:c r="F75" s="42"/>
      <x:c r="G75" s="42"/>
      <x:c r="H75" s="42"/>
      <x:c r="I75" s="45"/>
    </x:row>
    <x:row r="76">
      <x:c r="A76" s="41"/>
      <x:c r="B76" s="42"/>
      <x:c r="C76" s="42"/>
      <x:c r="D76" s="42"/>
      <x:c r="E76" s="42"/>
      <x:c r="F76" s="42"/>
      <x:c r="G76" s="42"/>
      <x:c r="H76" s="42"/>
      <x:c r="I76" s="45"/>
    </x:row>
    <x:row r="77">
      <x:c r="A77" s="41"/>
      <x:c r="B77" s="42"/>
      <x:c r="C77" s="42"/>
      <x:c r="D77" s="42"/>
      <x:c r="E77" s="42"/>
      <x:c r="F77" s="42"/>
      <x:c r="G77" s="42"/>
      <x:c r="H77" s="42"/>
      <x:c r="I77" s="45"/>
    </x:row>
    <x:row r="78">
      <x:c r="A78" s="41"/>
      <x:c r="B78" s="42"/>
      <x:c r="C78" s="42"/>
      <x:c r="D78" s="42"/>
      <x:c r="E78" s="42"/>
      <x:c r="F78" s="42"/>
      <x:c r="G78" s="42"/>
      <x:c r="H78" s="42"/>
      <x:c r="I78" s="45"/>
    </x:row>
    <x:row r="79">
      <x:c r="A79" s="41"/>
      <x:c r="B79" s="42"/>
      <x:c r="C79" s="42"/>
      <x:c r="D79" s="42"/>
      <x:c r="E79" s="42"/>
      <x:c r="F79" s="42"/>
      <x:c r="G79" s="42"/>
      <x:c r="H79" s="42"/>
      <x:c r="I79" s="45"/>
    </x:row>
    <x:row r="80">
      <x:c r="A80" s="41"/>
      <x:c r="B80" s="42"/>
      <x:c r="C80" s="42"/>
      <x:c r="D80" s="42"/>
      <x:c r="E80" s="42"/>
      <x:c r="F80" s="42"/>
      <x:c r="G80" s="42"/>
      <x:c r="H80" s="42"/>
      <x:c r="I80" s="45"/>
    </x:row>
    <x:row r="81">
      <x:c r="A81" s="41"/>
      <x:c r="B81" s="42"/>
      <x:c r="C81" s="42"/>
      <x:c r="D81" s="42"/>
      <x:c r="E81" s="42"/>
      <x:c r="F81" s="42"/>
      <x:c r="G81" s="42"/>
      <x:c r="H81" s="42"/>
      <x:c r="I81" s="45"/>
    </x:row>
    <x:row r="82">
      <x:c r="A82" s="41"/>
      <x:c r="B82" s="42"/>
      <x:c r="C82" s="42"/>
      <x:c r="D82" s="42"/>
      <x:c r="E82" s="42"/>
      <x:c r="F82" s="42"/>
      <x:c r="G82" s="42"/>
      <x:c r="H82" s="42"/>
      <x:c r="I82" s="45"/>
    </x:row>
    <x:row r="83">
      <x:c r="A83" s="41"/>
      <x:c r="B83" s="42"/>
      <x:c r="C83" s="42"/>
      <x:c r="D83" s="42"/>
      <x:c r="E83" s="42"/>
      <x:c r="F83" s="42"/>
      <x:c r="G83" s="42"/>
      <x:c r="H83" s="42"/>
      <x:c r="I83" s="45"/>
    </x:row>
    <x:row r="84">
      <x:c r="A84" s="41"/>
      <x:c r="B84" s="42"/>
      <x:c r="C84" s="42"/>
      <x:c r="D84" s="42"/>
      <x:c r="E84" s="42"/>
      <x:c r="F84" s="42"/>
      <x:c r="G84" s="42"/>
      <x:c r="H84" s="42"/>
      <x:c r="I84" s="45"/>
    </x:row>
    <x:row r="85">
      <x:c r="A85" s="41"/>
      <x:c r="B85" s="42"/>
      <x:c r="C85" s="42"/>
      <x:c r="D85" s="42"/>
      <x:c r="E85" s="42"/>
      <x:c r="F85" s="42"/>
      <x:c r="G85" s="42"/>
      <x:c r="H85" s="42"/>
      <x:c r="I85" s="45"/>
    </x:row>
    <x:row r="86">
      <x:c r="A86" s="41"/>
      <x:c r="B86" s="42"/>
      <x:c r="C86" s="42"/>
      <x:c r="D86" s="42"/>
      <x:c r="E86" s="42"/>
      <x:c r="F86" s="42"/>
      <x:c r="G86" s="42"/>
      <x:c r="H86" s="42"/>
      <x:c r="I86" s="45"/>
    </x:row>
    <x:row r="87">
      <x:c r="A87" s="41"/>
      <x:c r="B87" s="42"/>
      <x:c r="C87" s="42"/>
      <x:c r="D87" s="42"/>
      <x:c r="E87" s="42"/>
      <x:c r="F87" s="42"/>
      <x:c r="G87" s="42"/>
      <x:c r="H87" s="42"/>
      <x:c r="I87" s="45"/>
    </x:row>
    <x:row r="88">
      <x:c r="A88" s="41"/>
      <x:c r="B88" s="42"/>
      <x:c r="C88" s="42"/>
      <x:c r="D88" s="42"/>
      <x:c r="E88" s="42"/>
      <x:c r="F88" s="42"/>
      <x:c r="G88" s="42"/>
      <x:c r="H88" s="42"/>
      <x:c r="I88" s="45"/>
    </x:row>
    <x:row r="89">
      <x:c r="A89" s="41"/>
      <x:c r="B89" s="42"/>
      <x:c r="C89" s="42"/>
      <x:c r="D89" s="42"/>
      <x:c r="E89" s="42"/>
      <x:c r="F89" s="42"/>
      <x:c r="G89" s="42"/>
      <x:c r="H89" s="42"/>
      <x:c r="I89" s="45"/>
    </x:row>
    <x:row r="90">
      <x:c r="A90" s="41"/>
      <x:c r="B90" s="42"/>
      <x:c r="C90" s="42"/>
      <x:c r="D90" s="42"/>
      <x:c r="E90" s="42"/>
      <x:c r="F90" s="42"/>
      <x:c r="G90" s="42"/>
      <x:c r="H90" s="42"/>
      <x:c r="I90" s="45"/>
    </x:row>
    <x:row r="91">
      <x:c r="A91" s="41"/>
      <x:c r="B91" s="42"/>
      <x:c r="C91" s="42"/>
      <x:c r="D91" s="42"/>
      <x:c r="E91" s="42"/>
      <x:c r="F91" s="42"/>
      <x:c r="G91" s="42"/>
      <x:c r="H91" s="42"/>
      <x:c r="I91" s="45"/>
    </x:row>
    <x:row r="92">
      <x:c r="A92" s="41"/>
      <x:c r="B92" s="42"/>
      <x:c r="C92" s="42"/>
      <x:c r="D92" s="42"/>
      <x:c r="E92" s="42"/>
      <x:c r="F92" s="42"/>
      <x:c r="G92" s="42"/>
      <x:c r="H92" s="42"/>
      <x:c r="I92" s="45"/>
    </x:row>
    <x:row r="93">
      <x:c r="A93" s="41"/>
      <x:c r="B93" s="42"/>
      <x:c r="C93" s="42"/>
      <x:c r="D93" s="42"/>
      <x:c r="E93" s="42"/>
      <x:c r="F93" s="42"/>
      <x:c r="G93" s="42"/>
      <x:c r="H93" s="42"/>
      <x:c r="I93" s="45"/>
    </x:row>
    <x:row r="94">
      <x:c r="A94" s="41"/>
      <x:c r="B94" s="42"/>
      <x:c r="C94" s="42"/>
      <x:c r="D94" s="42"/>
      <x:c r="E94" s="42"/>
      <x:c r="F94" s="42"/>
      <x:c r="G94" s="42"/>
      <x:c r="H94" s="42"/>
      <x:c r="I94" s="45"/>
    </x:row>
    <x:row r="95">
      <x:c r="A95" s="41"/>
      <x:c r="B95" s="42"/>
      <x:c r="C95" s="42"/>
      <x:c r="D95" s="42"/>
      <x:c r="E95" s="42"/>
      <x:c r="F95" s="42"/>
      <x:c r="G95" s="42"/>
      <x:c r="H95" s="42"/>
      <x:c r="I95" s="45"/>
    </x:row>
    <x:row r="96">
      <x:c r="A96" s="41"/>
      <x:c r="B96" s="42"/>
      <x:c r="C96" s="42"/>
      <x:c r="D96" s="42"/>
      <x:c r="E96" s="42"/>
      <x:c r="F96" s="42"/>
      <x:c r="G96" s="42"/>
      <x:c r="H96" s="42"/>
      <x:c r="I96" s="45"/>
    </x:row>
    <x:row r="97">
      <x:c r="A97" s="41"/>
      <x:c r="B97" s="42"/>
      <x:c r="C97" s="42"/>
      <x:c r="D97" s="42"/>
      <x:c r="E97" s="42"/>
      <x:c r="F97" s="42"/>
      <x:c r="G97" s="42"/>
      <x:c r="H97" s="42"/>
      <x:c r="I97" s="45"/>
    </x:row>
    <x:row r="98">
      <x:c r="A98" s="41"/>
      <x:c r="B98" s="42"/>
      <x:c r="C98" s="42"/>
      <x:c r="D98" s="42"/>
      <x:c r="E98" s="42"/>
      <x:c r="F98" s="42"/>
      <x:c r="G98" s="42"/>
      <x:c r="H98" s="42"/>
      <x:c r="I98" s="45"/>
    </x:row>
    <x:row r="99">
      <x:c r="A99" s="41"/>
      <x:c r="B99" s="42"/>
      <x:c r="C99" s="42"/>
      <x:c r="D99" s="42"/>
      <x:c r="E99" s="42"/>
      <x:c r="F99" s="42"/>
      <x:c r="G99" s="42"/>
      <x:c r="H99" s="42"/>
      <x:c r="I99" s="45"/>
    </x:row>
    <x:row r="100">
      <x:c r="A100" s="48"/>
      <x:c r="B100" s="49"/>
      <x:c r="C100" s="49"/>
      <x:c r="D100" s="49"/>
      <x:c r="E100" s="49"/>
      <x:c r="F100" s="49"/>
      <x:c r="G100" s="49"/>
      <x:c r="H100" s="49"/>
      <x:c r="I100" s="50"/>
    </x:row>
  </x:sheetData>
  <x:mergeCells>
    <x:mergeCell ref="A1:I1"/>
  </x:mergeCells>
  <x:dataValidations count="1">
    <x:dataValidation type="list" sqref="A4:A13">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34" hidden="0" customWidth="1"/>
    <x:col min="4" max="4" width="38" hidden="0" customWidth="1"/>
    <x:col min="5" max="5" width="22" hidden="0" customWidth="1"/>
    <x:col min="6" max="6" width="28" hidden="0" customWidth="1"/>
    <x:col min="7" max="7" width="16" hidden="0" customWidth="1"/>
    <x:col min="8" max="8" width="16" hidden="0" customWidth="1"/>
    <x:col min="9" max="9" width="16" hidden="0" customWidth="1"/>
  </x:cols>
  <x:sheetData>
    <x:row r="1">
      <x:c r="A1" s="36" t="str">
        <x:v>Basic Electrical Infrastructure</x:v>
      </x:c>
      <x:c r="B1" s="13"/>
      <x:c r="C1" s="13"/>
      <x:c r="D1" s="13"/>
      <x:c r="E1" s="13"/>
      <x:c r="F1" s="13"/>
      <x:c r="G1" s="13"/>
      <x:c r="H1" s="13"/>
      <x:c r="I1" s="13"/>
    </x:row>
    <x:row r="3">
      <x:c r="A3" s="38" t="str">
        <x:v>Select</x:v>
      </x:c>
      <x:c r="B3" s="39" t="str">
        <x:v>Component ID</x:v>
      </x:c>
      <x:c r="C3" s="39" t="str">
        <x:v>Portal Sub Item</x:v>
      </x:c>
      <x:c r="D3" s="39" t="str">
        <x:v>Mission Component</x:v>
      </x:c>
      <x:c r="E3" s="39" t="str">
        <x:v>Unit</x:v>
      </x:c>
      <x:c r="F3" s="39" t="str">
        <x:v>Recommended Quantity Formula</x:v>
      </x:c>
      <x:c r="G3" s="39" t="str">
        <x:v>Quantity</x:v>
      </x:c>
      <x:c r="H3" s="39" t="str">
        <x:v>Planning Unit Cost (₹)</x:v>
      </x:c>
      <x:c r="I3" s="40" t="str">
        <x:v>Total Amount (₹)</x:v>
      </x:c>
    </x:row>
    <x:row r="4">
      <x:c r="A4" s="41" t="str">
        <x:v>No</x:v>
      </x:c>
      <x:c r="B4" s="42" t="str">
        <x:v>GFS-ELE-001</x:v>
      </x:c>
      <x:c r="C4" s="42" t="str">
        <x:v>Ceiling Fans</x:v>
      </x:c>
      <x:c r="D4" s="42" t="str">
        <x:v>Ceiling Fan</x:v>
      </x:c>
      <x:c r="E4" s="42" t="str">
        <x:v>In number</x:v>
      </x:c>
      <x:c r="F4" s="42" t="str">
        <x:v>2 per classroom</x:v>
      </x:c>
      <x:c r="G4" s="43" t="n">
        <x:v>0</x:v>
      </x:c>
      <x:c r="H4" s="43" t="n">
        <x:v>3500</x:v>
      </x:c>
      <x:c r="I4" s="44" t="n">
        <x:f>IF(A4="Yes",G4*H4,0)</x:f>
        <x:v>0</x:v>
      </x:c>
    </x:row>
    <x:row r="5">
      <x:c r="A5" s="41" t="str">
        <x:v>No</x:v>
      </x:c>
      <x:c r="B5" s="42" t="str">
        <x:v>GFS-ELE-002</x:v>
      </x:c>
      <x:c r="C5" s="42" t="str">
        <x:v>Tube Light with Fitting for Common Areas</x:v>
      </x:c>
      <x:c r="D5" s="42" t="str">
        <x:v>LED Tube Light - Common Area</x:v>
      </x:c>
      <x:c r="E5" s="42" t="str">
        <x:v>In number</x:v>
      </x:c>
      <x:c r="F5" s="42" t="str">
        <x:v>Need based</x:v>
      </x:c>
      <x:c r="G5" s="43" t="n">
        <x:v>0</x:v>
      </x:c>
      <x:c r="H5" s="43" t="n">
        <x:v>1200</x:v>
      </x:c>
      <x:c r="I5" s="44" t="n">
        <x:f>IF(A5="Yes",G5*H5,0)</x:f>
        <x:v>0</x:v>
      </x:c>
    </x:row>
    <x:row r="6">
      <x:c r="A6" s="41" t="str">
        <x:v>No</x:v>
      </x:c>
      <x:c r="B6" s="42" t="str">
        <x:v>GFS-ELE-003</x:v>
      </x:c>
      <x:c r="C6" s="42" t="str">
        <x:v>Tube Light with Fitting in Classrooms</x:v>
      </x:c>
      <x:c r="D6" s="42" t="str">
        <x:v>LED Tube Light - Classroom</x:v>
      </x:c>
      <x:c r="E6" s="42" t="str">
        <x:v>In number</x:v>
      </x:c>
      <x:c r="F6" s="42" t="str">
        <x:v>2 per classroom</x:v>
      </x:c>
      <x:c r="G6" s="43" t="n">
        <x:v>0</x:v>
      </x:c>
      <x:c r="H6" s="43" t="n">
        <x:v>1200</x:v>
      </x:c>
      <x:c r="I6" s="44" t="n">
        <x:f>IF(A6="Yes",G6*H6,0)</x:f>
        <x:v>0</x:v>
      </x:c>
    </x:row>
    <x:row r="7">
      <x:c r="A7" s="41" t="str">
        <x:v>No</x:v>
      </x:c>
      <x:c r="B7" s="42" t="str">
        <x:v>GFS-ELE-004</x:v>
      </x:c>
      <x:c r="C7" s="42" t="str">
        <x:v>Air Cooler / Water Cooler</x:v>
      </x:c>
      <x:c r="D7" s="42" t="str">
        <x:v>Air Cooler / Water Cooler</x:v>
      </x:c>
      <x:c r="E7" s="42" t="str">
        <x:v>In number</x:v>
      </x:c>
      <x:c r="F7" s="42" t="str">
        <x:v>1 per school if required</x:v>
      </x:c>
      <x:c r="G7" s="43" t="n">
        <x:v>0</x:v>
      </x:c>
      <x:c r="H7" s="43" t="n">
        <x:v>35000</x:v>
      </x:c>
      <x:c r="I7" s="44" t="n">
        <x:f>IF(A7="Yes",G7*H7,0)</x:f>
        <x:v>0</x:v>
      </x:c>
    </x:row>
    <x:row r="8">
      <x:c r="A8" s="41" t="str">
        <x:v>No</x:v>
      </x:c>
      <x:c r="B8" s="42" t="str">
        <x:v>GFS-ELE-005</x:v>
      </x:c>
      <x:c r="C8" s="42" t="str">
        <x:v>Exhaust fan for Kitchen / Toilets</x:v>
      </x:c>
      <x:c r="D8" s="42" t="str">
        <x:v>Exhaust Fan</x:v>
      </x:c>
      <x:c r="E8" s="42" t="str">
        <x:v>In number</x:v>
      </x:c>
      <x:c r="F8" s="42" t="str">
        <x:v>Need based</x:v>
      </x:c>
      <x:c r="G8" s="43" t="n">
        <x:v>0</x:v>
      </x:c>
      <x:c r="H8" s="43" t="n">
        <x:v>3000</x:v>
      </x:c>
      <x:c r="I8" s="44" t="n">
        <x:f>IF(A8="Yes",G8*H8,0)</x:f>
        <x:v>0</x:v>
      </x:c>
    </x:row>
    <x:row r="9">
      <x:c r="A9" s="41" t="str">
        <x:v>No</x:v>
      </x:c>
      <x:c r="B9" s="42" t="str">
        <x:v>GFS-ELE-006</x:v>
      </x:c>
      <x:c r="C9" s="42" t="str">
        <x:v>Solar Panel / Energy Efficient Electrical Equipment</x:v>
      </x:c>
      <x:c r="D9" s="42" t="str">
        <x:v>Solar/Energy Efficient Equipment</x:v>
      </x:c>
      <x:c r="E9" s="42" t="str">
        <x:v>In number</x:v>
      </x:c>
      <x:c r="F9" s="42" t="str">
        <x:v>Need based</x:v>
      </x:c>
      <x:c r="G9" s="43" t="n">
        <x:v>0</x:v>
      </x:c>
      <x:c r="H9" s="43" t="n">
        <x:v>350000</x:v>
      </x:c>
      <x:c r="I9" s="44" t="n">
        <x:f>IF(A9="Yes",G9*H9,0)</x:f>
        <x:v>0</x:v>
      </x:c>
    </x:row>
    <x:row r="10">
      <x:c r="A10" s="41" t="str">
        <x:v>No</x:v>
      </x:c>
      <x:c r="B10" s="42" t="str">
        <x:v>GFS-ELE-007</x:v>
      </x:c>
      <x:c r="C10" s="42" t="str">
        <x:v>Generator / Inverter Sets</x:v>
      </x:c>
      <x:c r="D10" s="42" t="str">
        <x:v>Generator / Inverter</x:v>
      </x:c>
      <x:c r="E10" s="42" t="str">
        <x:v>In number</x:v>
      </x:c>
      <x:c r="F10" s="42" t="str">
        <x:v>1 per school if required</x:v>
      </x:c>
      <x:c r="G10" s="43" t="n">
        <x:v>0</x:v>
      </x:c>
      <x:c r="H10" s="43" t="n">
        <x:v>75000</x:v>
      </x:c>
      <x:c r="I10" s="44" t="n">
        <x:f>IF(A10="Yes",G10*H10,0)</x:f>
        <x:v>0</x:v>
      </x:c>
    </x:row>
    <x:row r="11">
      <x:c r="A11" s="41" t="str">
        <x:v>No</x:v>
      </x:c>
      <x:c r="B11" s="42" t="str">
        <x:v>GFS-ELE-008</x:v>
      </x:c>
      <x:c r="C11" s="42" t="str">
        <x:v>Cooking equipment</x:v>
      </x:c>
      <x:c r="D11" s="42" t="str">
        <x:v>Cooking Equipment</x:v>
      </x:c>
      <x:c r="E11" s="42" t="str">
        <x:v>In number</x:v>
      </x:c>
      <x:c r="F11" s="42" t="str">
        <x:v>Residential/need based</x:v>
      </x:c>
      <x:c r="G11" s="43" t="n">
        <x:v>0</x:v>
      </x:c>
      <x:c r="H11" s="43" t="n">
        <x:v>100000</x:v>
      </x:c>
      <x:c r="I11" s="44" t="n">
        <x:f>IF(A11="Yes",G11*H11,0)</x:f>
        <x:v>0</x:v>
      </x:c>
    </x:row>
    <x:row r="12">
      <x:c r="A12" s="41"/>
      <x:c r="B12" s="42"/>
      <x:c r="C12" s="42"/>
      <x:c r="D12" s="42"/>
      <x:c r="E12" s="42"/>
      <x:c r="F12" s="42"/>
      <x:c r="G12" s="42"/>
      <x:c r="H12" s="42"/>
      <x:c r="I12" s="45"/>
    </x:row>
    <x:row r="13">
      <x:c r="A13" s="41"/>
      <x:c r="B13" s="42"/>
      <x:c r="C13" s="42"/>
      <x:c r="D13" s="42"/>
      <x:c r="E13" s="42"/>
      <x:c r="F13" s="42"/>
      <x:c r="G13" s="42"/>
      <x:c r="H13" s="46" t="str">
        <x:v>Work Area Total</x:v>
      </x:c>
      <x:c r="I13" s="47" t="n">
        <x:f>SUM(I4:I11)</x:f>
        <x:v>0</x:v>
      </x:c>
    </x:row>
    <x:row r="14">
      <x:c r="A14" s="41"/>
      <x:c r="B14" s="42"/>
      <x:c r="C14" s="42"/>
      <x:c r="D14" s="42"/>
      <x:c r="E14" s="42"/>
      <x:c r="F14" s="42"/>
      <x:c r="G14" s="42"/>
      <x:c r="H14" s="42"/>
      <x:c r="I14" s="45"/>
    </x:row>
    <x:row r="15">
      <x:c r="A15" s="41"/>
      <x:c r="B15" s="42"/>
      <x:c r="C15" s="42"/>
      <x:c r="D15" s="42"/>
      <x:c r="E15" s="42"/>
      <x:c r="F15" s="42"/>
      <x:c r="G15" s="42"/>
      <x:c r="H15" s="42"/>
      <x:c r="I15" s="45"/>
    </x:row>
    <x:row r="16">
      <x:c r="A16" s="41"/>
      <x:c r="B16" s="42"/>
      <x:c r="C16" s="42"/>
      <x:c r="D16" s="42"/>
      <x:c r="E16" s="42"/>
      <x:c r="F16" s="42"/>
      <x:c r="G16" s="42"/>
      <x:c r="H16" s="42"/>
      <x:c r="I16" s="45"/>
    </x:row>
    <x:row r="17">
      <x:c r="A17" s="41"/>
      <x:c r="B17" s="42"/>
      <x:c r="C17" s="42"/>
      <x:c r="D17" s="42"/>
      <x:c r="E17" s="42"/>
      <x:c r="F17" s="42"/>
      <x:c r="G17" s="42"/>
      <x:c r="H17" s="42"/>
      <x:c r="I17" s="45"/>
    </x:row>
    <x:row r="18">
      <x:c r="A18" s="41"/>
      <x:c r="B18" s="42"/>
      <x:c r="C18" s="42"/>
      <x:c r="D18" s="42"/>
      <x:c r="E18" s="42"/>
      <x:c r="F18" s="42"/>
      <x:c r="G18" s="42"/>
      <x:c r="H18" s="42"/>
      <x:c r="I18" s="45"/>
    </x:row>
    <x:row r="19">
      <x:c r="A19" s="41"/>
      <x:c r="B19" s="42"/>
      <x:c r="C19" s="42"/>
      <x:c r="D19" s="42"/>
      <x:c r="E19" s="42"/>
      <x:c r="F19" s="42"/>
      <x:c r="G19" s="42"/>
      <x:c r="H19" s="42"/>
      <x:c r="I19" s="45"/>
    </x:row>
    <x:row r="20">
      <x:c r="A20" s="41"/>
      <x:c r="B20" s="42"/>
      <x:c r="C20" s="42"/>
      <x:c r="D20" s="42"/>
      <x:c r="E20" s="42"/>
      <x:c r="F20" s="42"/>
      <x:c r="G20" s="42"/>
      <x:c r="H20" s="42"/>
      <x:c r="I20" s="45"/>
    </x:row>
    <x:row r="21">
      <x:c r="A21" s="41"/>
      <x:c r="B21" s="42"/>
      <x:c r="C21" s="42"/>
      <x:c r="D21" s="42"/>
      <x:c r="E21" s="42"/>
      <x:c r="F21" s="42"/>
      <x:c r="G21" s="42"/>
      <x:c r="H21" s="42"/>
      <x:c r="I21" s="45"/>
    </x:row>
    <x:row r="22">
      <x:c r="A22" s="41"/>
      <x:c r="B22" s="42"/>
      <x:c r="C22" s="42"/>
      <x:c r="D22" s="42"/>
      <x:c r="E22" s="42"/>
      <x:c r="F22" s="42"/>
      <x:c r="G22" s="42"/>
      <x:c r="H22" s="42"/>
      <x:c r="I22" s="45"/>
    </x:row>
    <x:row r="23">
      <x:c r="A23" s="41"/>
      <x:c r="B23" s="42"/>
      <x:c r="C23" s="42"/>
      <x:c r="D23" s="42"/>
      <x:c r="E23" s="42"/>
      <x:c r="F23" s="42"/>
      <x:c r="G23" s="42"/>
      <x:c r="H23" s="42"/>
      <x:c r="I23" s="45"/>
    </x:row>
    <x:row r="24">
      <x:c r="A24" s="41"/>
      <x:c r="B24" s="42"/>
      <x:c r="C24" s="42"/>
      <x:c r="D24" s="42"/>
      <x:c r="E24" s="42"/>
      <x:c r="F24" s="42"/>
      <x:c r="G24" s="42"/>
      <x:c r="H24" s="42"/>
      <x:c r="I24" s="45"/>
    </x:row>
    <x:row r="25">
      <x:c r="A25" s="41"/>
      <x:c r="B25" s="42"/>
      <x:c r="C25" s="42"/>
      <x:c r="D25" s="42"/>
      <x:c r="E25" s="42"/>
      <x:c r="F25" s="42"/>
      <x:c r="G25" s="42"/>
      <x:c r="H25" s="42"/>
      <x:c r="I25" s="45"/>
    </x:row>
    <x:row r="26">
      <x:c r="A26" s="41"/>
      <x:c r="B26" s="42"/>
      <x:c r="C26" s="42"/>
      <x:c r="D26" s="42"/>
      <x:c r="E26" s="42"/>
      <x:c r="F26" s="42"/>
      <x:c r="G26" s="42"/>
      <x:c r="H26" s="42"/>
      <x:c r="I26" s="45"/>
    </x:row>
    <x:row r="27">
      <x:c r="A27" s="41"/>
      <x:c r="B27" s="42"/>
      <x:c r="C27" s="42"/>
      <x:c r="D27" s="42"/>
      <x:c r="E27" s="42"/>
      <x:c r="F27" s="42"/>
      <x:c r="G27" s="42"/>
      <x:c r="H27" s="42"/>
      <x:c r="I27" s="45"/>
    </x:row>
    <x:row r="28">
      <x:c r="A28" s="41"/>
      <x:c r="B28" s="42"/>
      <x:c r="C28" s="42"/>
      <x:c r="D28" s="42"/>
      <x:c r="E28" s="42"/>
      <x:c r="F28" s="42"/>
      <x:c r="G28" s="42"/>
      <x:c r="H28" s="42"/>
      <x:c r="I28" s="45"/>
    </x:row>
    <x:row r="29">
      <x:c r="A29" s="41"/>
      <x:c r="B29" s="42"/>
      <x:c r="C29" s="42"/>
      <x:c r="D29" s="42"/>
      <x:c r="E29" s="42"/>
      <x:c r="F29" s="42"/>
      <x:c r="G29" s="42"/>
      <x:c r="H29" s="42"/>
      <x:c r="I29" s="45"/>
    </x:row>
    <x:row r="30">
      <x:c r="A30" s="41"/>
      <x:c r="B30" s="42"/>
      <x:c r="C30" s="42"/>
      <x:c r="D30" s="42"/>
      <x:c r="E30" s="42"/>
      <x:c r="F30" s="42"/>
      <x:c r="G30" s="42"/>
      <x:c r="H30" s="42"/>
      <x:c r="I30" s="45"/>
    </x:row>
    <x:row r="31">
      <x:c r="A31" s="41"/>
      <x:c r="B31" s="42"/>
      <x:c r="C31" s="42"/>
      <x:c r="D31" s="42"/>
      <x:c r="E31" s="42"/>
      <x:c r="F31" s="42"/>
      <x:c r="G31" s="42"/>
      <x:c r="H31" s="42"/>
      <x:c r="I31" s="45"/>
    </x:row>
    <x:row r="32">
      <x:c r="A32" s="41"/>
      <x:c r="B32" s="42"/>
      <x:c r="C32" s="42"/>
      <x:c r="D32" s="42"/>
      <x:c r="E32" s="42"/>
      <x:c r="F32" s="42"/>
      <x:c r="G32" s="42"/>
      <x:c r="H32" s="42"/>
      <x:c r="I32" s="45"/>
    </x:row>
    <x:row r="33">
      <x:c r="A33" s="41"/>
      <x:c r="B33" s="42"/>
      <x:c r="C33" s="42"/>
      <x:c r="D33" s="42"/>
      <x:c r="E33" s="42"/>
      <x:c r="F33" s="42"/>
      <x:c r="G33" s="42"/>
      <x:c r="H33" s="42"/>
      <x:c r="I33" s="45"/>
    </x:row>
    <x:row r="34">
      <x:c r="A34" s="41"/>
      <x:c r="B34" s="42"/>
      <x:c r="C34" s="42"/>
      <x:c r="D34" s="42"/>
      <x:c r="E34" s="42"/>
      <x:c r="F34" s="42"/>
      <x:c r="G34" s="42"/>
      <x:c r="H34" s="42"/>
      <x:c r="I34" s="45"/>
    </x:row>
    <x:row r="35">
      <x:c r="A35" s="41"/>
      <x:c r="B35" s="42"/>
      <x:c r="C35" s="42"/>
      <x:c r="D35" s="42"/>
      <x:c r="E35" s="42"/>
      <x:c r="F35" s="42"/>
      <x:c r="G35" s="42"/>
      <x:c r="H35" s="42"/>
      <x:c r="I35" s="45"/>
    </x:row>
    <x:row r="36">
      <x:c r="A36" s="41"/>
      <x:c r="B36" s="42"/>
      <x:c r="C36" s="42"/>
      <x:c r="D36" s="42"/>
      <x:c r="E36" s="42"/>
      <x:c r="F36" s="42"/>
      <x:c r="G36" s="42"/>
      <x:c r="H36" s="42"/>
      <x:c r="I36" s="45"/>
    </x:row>
    <x:row r="37">
      <x:c r="A37" s="41"/>
      <x:c r="B37" s="42"/>
      <x:c r="C37" s="42"/>
      <x:c r="D37" s="42"/>
      <x:c r="E37" s="42"/>
      <x:c r="F37" s="42"/>
      <x:c r="G37" s="42"/>
      <x:c r="H37" s="42"/>
      <x:c r="I37" s="45"/>
    </x:row>
    <x:row r="38">
      <x:c r="A38" s="41"/>
      <x:c r="B38" s="42"/>
      <x:c r="C38" s="42"/>
      <x:c r="D38" s="42"/>
      <x:c r="E38" s="42"/>
      <x:c r="F38" s="42"/>
      <x:c r="G38" s="42"/>
      <x:c r="H38" s="42"/>
      <x:c r="I38" s="45"/>
    </x:row>
    <x:row r="39">
      <x:c r="A39" s="41"/>
      <x:c r="B39" s="42"/>
      <x:c r="C39" s="42"/>
      <x:c r="D39" s="42"/>
      <x:c r="E39" s="42"/>
      <x:c r="F39" s="42"/>
      <x:c r="G39" s="42"/>
      <x:c r="H39" s="42"/>
      <x:c r="I39" s="45"/>
    </x:row>
    <x:row r="40">
      <x:c r="A40" s="41"/>
      <x:c r="B40" s="42"/>
      <x:c r="C40" s="42"/>
      <x:c r="D40" s="42"/>
      <x:c r="E40" s="42"/>
      <x:c r="F40" s="42"/>
      <x:c r="G40" s="42"/>
      <x:c r="H40" s="42"/>
      <x:c r="I40" s="45"/>
    </x:row>
    <x:row r="41">
      <x:c r="A41" s="41"/>
      <x:c r="B41" s="42"/>
      <x:c r="C41" s="42"/>
      <x:c r="D41" s="42"/>
      <x:c r="E41" s="42"/>
      <x:c r="F41" s="42"/>
      <x:c r="G41" s="42"/>
      <x:c r="H41" s="42"/>
      <x:c r="I41" s="45"/>
    </x:row>
    <x:row r="42">
      <x:c r="A42" s="41"/>
      <x:c r="B42" s="42"/>
      <x:c r="C42" s="42"/>
      <x:c r="D42" s="42"/>
      <x:c r="E42" s="42"/>
      <x:c r="F42" s="42"/>
      <x:c r="G42" s="42"/>
      <x:c r="H42" s="42"/>
      <x:c r="I42" s="45"/>
    </x:row>
    <x:row r="43">
      <x:c r="A43" s="41"/>
      <x:c r="B43" s="42"/>
      <x:c r="C43" s="42"/>
      <x:c r="D43" s="42"/>
      <x:c r="E43" s="42"/>
      <x:c r="F43" s="42"/>
      <x:c r="G43" s="42"/>
      <x:c r="H43" s="42"/>
      <x:c r="I43" s="45"/>
    </x:row>
    <x:row r="44">
      <x:c r="A44" s="41"/>
      <x:c r="B44" s="42"/>
      <x:c r="C44" s="42"/>
      <x:c r="D44" s="42"/>
      <x:c r="E44" s="42"/>
      <x:c r="F44" s="42"/>
      <x:c r="G44" s="42"/>
      <x:c r="H44" s="42"/>
      <x:c r="I44" s="45"/>
    </x:row>
    <x:row r="45">
      <x:c r="A45" s="41"/>
      <x:c r="B45" s="42"/>
      <x:c r="C45" s="42"/>
      <x:c r="D45" s="42"/>
      <x:c r="E45" s="42"/>
      <x:c r="F45" s="42"/>
      <x:c r="G45" s="42"/>
      <x:c r="H45" s="42"/>
      <x:c r="I45" s="45"/>
    </x:row>
    <x:row r="46">
      <x:c r="A46" s="41"/>
      <x:c r="B46" s="42"/>
      <x:c r="C46" s="42"/>
      <x:c r="D46" s="42"/>
      <x:c r="E46" s="42"/>
      <x:c r="F46" s="42"/>
      <x:c r="G46" s="42"/>
      <x:c r="H46" s="42"/>
      <x:c r="I46" s="45"/>
    </x:row>
    <x:row r="47">
      <x:c r="A47" s="41"/>
      <x:c r="B47" s="42"/>
      <x:c r="C47" s="42"/>
      <x:c r="D47" s="42"/>
      <x:c r="E47" s="42"/>
      <x:c r="F47" s="42"/>
      <x:c r="G47" s="42"/>
      <x:c r="H47" s="42"/>
      <x:c r="I47" s="45"/>
    </x:row>
    <x:row r="48">
      <x:c r="A48" s="41"/>
      <x:c r="B48" s="42"/>
      <x:c r="C48" s="42"/>
      <x:c r="D48" s="42"/>
      <x:c r="E48" s="42"/>
      <x:c r="F48" s="42"/>
      <x:c r="G48" s="42"/>
      <x:c r="H48" s="42"/>
      <x:c r="I48" s="45"/>
    </x:row>
    <x:row r="49">
      <x:c r="A49" s="41"/>
      <x:c r="B49" s="42"/>
      <x:c r="C49" s="42"/>
      <x:c r="D49" s="42"/>
      <x:c r="E49" s="42"/>
      <x:c r="F49" s="42"/>
      <x:c r="G49" s="42"/>
      <x:c r="H49" s="42"/>
      <x:c r="I49" s="45"/>
    </x:row>
    <x:row r="50">
      <x:c r="A50" s="41"/>
      <x:c r="B50" s="42"/>
      <x:c r="C50" s="42"/>
      <x:c r="D50" s="42"/>
      <x:c r="E50" s="42"/>
      <x:c r="F50" s="42"/>
      <x:c r="G50" s="42"/>
      <x:c r="H50" s="42"/>
      <x:c r="I50" s="45"/>
    </x:row>
    <x:row r="51">
      <x:c r="A51" s="41"/>
      <x:c r="B51" s="42"/>
      <x:c r="C51" s="42"/>
      <x:c r="D51" s="42"/>
      <x:c r="E51" s="42"/>
      <x:c r="F51" s="42"/>
      <x:c r="G51" s="42"/>
      <x:c r="H51" s="42"/>
      <x:c r="I51" s="45"/>
    </x:row>
    <x:row r="52">
      <x:c r="A52" s="41"/>
      <x:c r="B52" s="42"/>
      <x:c r="C52" s="42"/>
      <x:c r="D52" s="42"/>
      <x:c r="E52" s="42"/>
      <x:c r="F52" s="42"/>
      <x:c r="G52" s="42"/>
      <x:c r="H52" s="42"/>
      <x:c r="I52" s="45"/>
    </x:row>
    <x:row r="53">
      <x:c r="A53" s="41"/>
      <x:c r="B53" s="42"/>
      <x:c r="C53" s="42"/>
      <x:c r="D53" s="42"/>
      <x:c r="E53" s="42"/>
      <x:c r="F53" s="42"/>
      <x:c r="G53" s="42"/>
      <x:c r="H53" s="42"/>
      <x:c r="I53" s="45"/>
    </x:row>
    <x:row r="54">
      <x:c r="A54" s="41"/>
      <x:c r="B54" s="42"/>
      <x:c r="C54" s="42"/>
      <x:c r="D54" s="42"/>
      <x:c r="E54" s="42"/>
      <x:c r="F54" s="42"/>
      <x:c r="G54" s="42"/>
      <x:c r="H54" s="42"/>
      <x:c r="I54" s="45"/>
    </x:row>
    <x:row r="55">
      <x:c r="A55" s="41"/>
      <x:c r="B55" s="42"/>
      <x:c r="C55" s="42"/>
      <x:c r="D55" s="42"/>
      <x:c r="E55" s="42"/>
      <x:c r="F55" s="42"/>
      <x:c r="G55" s="42"/>
      <x:c r="H55" s="42"/>
      <x:c r="I55" s="45"/>
    </x:row>
    <x:row r="56">
      <x:c r="A56" s="41"/>
      <x:c r="B56" s="42"/>
      <x:c r="C56" s="42"/>
      <x:c r="D56" s="42"/>
      <x:c r="E56" s="42"/>
      <x:c r="F56" s="42"/>
      <x:c r="G56" s="42"/>
      <x:c r="H56" s="42"/>
      <x:c r="I56" s="45"/>
    </x:row>
    <x:row r="57">
      <x:c r="A57" s="41"/>
      <x:c r="B57" s="42"/>
      <x:c r="C57" s="42"/>
      <x:c r="D57" s="42"/>
      <x:c r="E57" s="42"/>
      <x:c r="F57" s="42"/>
      <x:c r="G57" s="42"/>
      <x:c r="H57" s="42"/>
      <x:c r="I57" s="45"/>
    </x:row>
    <x:row r="58">
      <x:c r="A58" s="41"/>
      <x:c r="B58" s="42"/>
      <x:c r="C58" s="42"/>
      <x:c r="D58" s="42"/>
      <x:c r="E58" s="42"/>
      <x:c r="F58" s="42"/>
      <x:c r="G58" s="42"/>
      <x:c r="H58" s="42"/>
      <x:c r="I58" s="45"/>
    </x:row>
    <x:row r="59">
      <x:c r="A59" s="41"/>
      <x:c r="B59" s="42"/>
      <x:c r="C59" s="42"/>
      <x:c r="D59" s="42"/>
      <x:c r="E59" s="42"/>
      <x:c r="F59" s="42"/>
      <x:c r="G59" s="42"/>
      <x:c r="H59" s="42"/>
      <x:c r="I59" s="45"/>
    </x:row>
    <x:row r="60">
      <x:c r="A60" s="41"/>
      <x:c r="B60" s="42"/>
      <x:c r="C60" s="42"/>
      <x:c r="D60" s="42"/>
      <x:c r="E60" s="42"/>
      <x:c r="F60" s="42"/>
      <x:c r="G60" s="42"/>
      <x:c r="H60" s="42"/>
      <x:c r="I60" s="45"/>
    </x:row>
    <x:row r="61">
      <x:c r="A61" s="41"/>
      <x:c r="B61" s="42"/>
      <x:c r="C61" s="42"/>
      <x:c r="D61" s="42"/>
      <x:c r="E61" s="42"/>
      <x:c r="F61" s="42"/>
      <x:c r="G61" s="42"/>
      <x:c r="H61" s="42"/>
      <x:c r="I61" s="45"/>
    </x:row>
    <x:row r="62">
      <x:c r="A62" s="41"/>
      <x:c r="B62" s="42"/>
      <x:c r="C62" s="42"/>
      <x:c r="D62" s="42"/>
      <x:c r="E62" s="42"/>
      <x:c r="F62" s="42"/>
      <x:c r="G62" s="42"/>
      <x:c r="H62" s="42"/>
      <x:c r="I62" s="45"/>
    </x:row>
    <x:row r="63">
      <x:c r="A63" s="41"/>
      <x:c r="B63" s="42"/>
      <x:c r="C63" s="42"/>
      <x:c r="D63" s="42"/>
      <x:c r="E63" s="42"/>
      <x:c r="F63" s="42"/>
      <x:c r="G63" s="42"/>
      <x:c r="H63" s="42"/>
      <x:c r="I63" s="45"/>
    </x:row>
    <x:row r="64">
      <x:c r="A64" s="41"/>
      <x:c r="B64" s="42"/>
      <x:c r="C64" s="42"/>
      <x:c r="D64" s="42"/>
      <x:c r="E64" s="42"/>
      <x:c r="F64" s="42"/>
      <x:c r="G64" s="42"/>
      <x:c r="H64" s="42"/>
      <x:c r="I64" s="45"/>
    </x:row>
    <x:row r="65">
      <x:c r="A65" s="41"/>
      <x:c r="B65" s="42"/>
      <x:c r="C65" s="42"/>
      <x:c r="D65" s="42"/>
      <x:c r="E65" s="42"/>
      <x:c r="F65" s="42"/>
      <x:c r="G65" s="42"/>
      <x:c r="H65" s="42"/>
      <x:c r="I65" s="45"/>
    </x:row>
    <x:row r="66">
      <x:c r="A66" s="41"/>
      <x:c r="B66" s="42"/>
      <x:c r="C66" s="42"/>
      <x:c r="D66" s="42"/>
      <x:c r="E66" s="42"/>
      <x:c r="F66" s="42"/>
      <x:c r="G66" s="42"/>
      <x:c r="H66" s="42"/>
      <x:c r="I66" s="45"/>
    </x:row>
    <x:row r="67">
      <x:c r="A67" s="41"/>
      <x:c r="B67" s="42"/>
      <x:c r="C67" s="42"/>
      <x:c r="D67" s="42"/>
      <x:c r="E67" s="42"/>
      <x:c r="F67" s="42"/>
      <x:c r="G67" s="42"/>
      <x:c r="H67" s="42"/>
      <x:c r="I67" s="45"/>
    </x:row>
    <x:row r="68">
      <x:c r="A68" s="41"/>
      <x:c r="B68" s="42"/>
      <x:c r="C68" s="42"/>
      <x:c r="D68" s="42"/>
      <x:c r="E68" s="42"/>
      <x:c r="F68" s="42"/>
      <x:c r="G68" s="42"/>
      <x:c r="H68" s="42"/>
      <x:c r="I68" s="45"/>
    </x:row>
    <x:row r="69">
      <x:c r="A69" s="41"/>
      <x:c r="B69" s="42"/>
      <x:c r="C69" s="42"/>
      <x:c r="D69" s="42"/>
      <x:c r="E69" s="42"/>
      <x:c r="F69" s="42"/>
      <x:c r="G69" s="42"/>
      <x:c r="H69" s="42"/>
      <x:c r="I69" s="45"/>
    </x:row>
    <x:row r="70">
      <x:c r="A70" s="41"/>
      <x:c r="B70" s="42"/>
      <x:c r="C70" s="42"/>
      <x:c r="D70" s="42"/>
      <x:c r="E70" s="42"/>
      <x:c r="F70" s="42"/>
      <x:c r="G70" s="42"/>
      <x:c r="H70" s="42"/>
      <x:c r="I70" s="45"/>
    </x:row>
    <x:row r="71">
      <x:c r="A71" s="41"/>
      <x:c r="B71" s="42"/>
      <x:c r="C71" s="42"/>
      <x:c r="D71" s="42"/>
      <x:c r="E71" s="42"/>
      <x:c r="F71" s="42"/>
      <x:c r="G71" s="42"/>
      <x:c r="H71" s="42"/>
      <x:c r="I71" s="45"/>
    </x:row>
    <x:row r="72">
      <x:c r="A72" s="41"/>
      <x:c r="B72" s="42"/>
      <x:c r="C72" s="42"/>
      <x:c r="D72" s="42"/>
      <x:c r="E72" s="42"/>
      <x:c r="F72" s="42"/>
      <x:c r="G72" s="42"/>
      <x:c r="H72" s="42"/>
      <x:c r="I72" s="45"/>
    </x:row>
    <x:row r="73">
      <x:c r="A73" s="41"/>
      <x:c r="B73" s="42"/>
      <x:c r="C73" s="42"/>
      <x:c r="D73" s="42"/>
      <x:c r="E73" s="42"/>
      <x:c r="F73" s="42"/>
      <x:c r="G73" s="42"/>
      <x:c r="H73" s="42"/>
      <x:c r="I73" s="45"/>
    </x:row>
    <x:row r="74">
      <x:c r="A74" s="41"/>
      <x:c r="B74" s="42"/>
      <x:c r="C74" s="42"/>
      <x:c r="D74" s="42"/>
      <x:c r="E74" s="42"/>
      <x:c r="F74" s="42"/>
      <x:c r="G74" s="42"/>
      <x:c r="H74" s="42"/>
      <x:c r="I74" s="45"/>
    </x:row>
    <x:row r="75">
      <x:c r="A75" s="41"/>
      <x:c r="B75" s="42"/>
      <x:c r="C75" s="42"/>
      <x:c r="D75" s="42"/>
      <x:c r="E75" s="42"/>
      <x:c r="F75" s="42"/>
      <x:c r="G75" s="42"/>
      <x:c r="H75" s="42"/>
      <x:c r="I75" s="45"/>
    </x:row>
    <x:row r="76">
      <x:c r="A76" s="41"/>
      <x:c r="B76" s="42"/>
      <x:c r="C76" s="42"/>
      <x:c r="D76" s="42"/>
      <x:c r="E76" s="42"/>
      <x:c r="F76" s="42"/>
      <x:c r="G76" s="42"/>
      <x:c r="H76" s="42"/>
      <x:c r="I76" s="45"/>
    </x:row>
    <x:row r="77">
      <x:c r="A77" s="41"/>
      <x:c r="B77" s="42"/>
      <x:c r="C77" s="42"/>
      <x:c r="D77" s="42"/>
      <x:c r="E77" s="42"/>
      <x:c r="F77" s="42"/>
      <x:c r="G77" s="42"/>
      <x:c r="H77" s="42"/>
      <x:c r="I77" s="45"/>
    </x:row>
    <x:row r="78">
      <x:c r="A78" s="41"/>
      <x:c r="B78" s="42"/>
      <x:c r="C78" s="42"/>
      <x:c r="D78" s="42"/>
      <x:c r="E78" s="42"/>
      <x:c r="F78" s="42"/>
      <x:c r="G78" s="42"/>
      <x:c r="H78" s="42"/>
      <x:c r="I78" s="45"/>
    </x:row>
    <x:row r="79">
      <x:c r="A79" s="41"/>
      <x:c r="B79" s="42"/>
      <x:c r="C79" s="42"/>
      <x:c r="D79" s="42"/>
      <x:c r="E79" s="42"/>
      <x:c r="F79" s="42"/>
      <x:c r="G79" s="42"/>
      <x:c r="H79" s="42"/>
      <x:c r="I79" s="45"/>
    </x:row>
    <x:row r="80">
      <x:c r="A80" s="41"/>
      <x:c r="B80" s="42"/>
      <x:c r="C80" s="42"/>
      <x:c r="D80" s="42"/>
      <x:c r="E80" s="42"/>
      <x:c r="F80" s="42"/>
      <x:c r="G80" s="42"/>
      <x:c r="H80" s="42"/>
      <x:c r="I80" s="45"/>
    </x:row>
    <x:row r="81">
      <x:c r="A81" s="41"/>
      <x:c r="B81" s="42"/>
      <x:c r="C81" s="42"/>
      <x:c r="D81" s="42"/>
      <x:c r="E81" s="42"/>
      <x:c r="F81" s="42"/>
      <x:c r="G81" s="42"/>
      <x:c r="H81" s="42"/>
      <x:c r="I81" s="45"/>
    </x:row>
    <x:row r="82">
      <x:c r="A82" s="41"/>
      <x:c r="B82" s="42"/>
      <x:c r="C82" s="42"/>
      <x:c r="D82" s="42"/>
      <x:c r="E82" s="42"/>
      <x:c r="F82" s="42"/>
      <x:c r="G82" s="42"/>
      <x:c r="H82" s="42"/>
      <x:c r="I82" s="45"/>
    </x:row>
    <x:row r="83">
      <x:c r="A83" s="41"/>
      <x:c r="B83" s="42"/>
      <x:c r="C83" s="42"/>
      <x:c r="D83" s="42"/>
      <x:c r="E83" s="42"/>
      <x:c r="F83" s="42"/>
      <x:c r="G83" s="42"/>
      <x:c r="H83" s="42"/>
      <x:c r="I83" s="45"/>
    </x:row>
    <x:row r="84">
      <x:c r="A84" s="41"/>
      <x:c r="B84" s="42"/>
      <x:c r="C84" s="42"/>
      <x:c r="D84" s="42"/>
      <x:c r="E84" s="42"/>
      <x:c r="F84" s="42"/>
      <x:c r="G84" s="42"/>
      <x:c r="H84" s="42"/>
      <x:c r="I84" s="45"/>
    </x:row>
    <x:row r="85">
      <x:c r="A85" s="41"/>
      <x:c r="B85" s="42"/>
      <x:c r="C85" s="42"/>
      <x:c r="D85" s="42"/>
      <x:c r="E85" s="42"/>
      <x:c r="F85" s="42"/>
      <x:c r="G85" s="42"/>
      <x:c r="H85" s="42"/>
      <x:c r="I85" s="45"/>
    </x:row>
    <x:row r="86">
      <x:c r="A86" s="41"/>
      <x:c r="B86" s="42"/>
      <x:c r="C86" s="42"/>
      <x:c r="D86" s="42"/>
      <x:c r="E86" s="42"/>
      <x:c r="F86" s="42"/>
      <x:c r="G86" s="42"/>
      <x:c r="H86" s="42"/>
      <x:c r="I86" s="45"/>
    </x:row>
    <x:row r="87">
      <x:c r="A87" s="41"/>
      <x:c r="B87" s="42"/>
      <x:c r="C87" s="42"/>
      <x:c r="D87" s="42"/>
      <x:c r="E87" s="42"/>
      <x:c r="F87" s="42"/>
      <x:c r="G87" s="42"/>
      <x:c r="H87" s="42"/>
      <x:c r="I87" s="45"/>
    </x:row>
    <x:row r="88">
      <x:c r="A88" s="41"/>
      <x:c r="B88" s="42"/>
      <x:c r="C88" s="42"/>
      <x:c r="D88" s="42"/>
      <x:c r="E88" s="42"/>
      <x:c r="F88" s="42"/>
      <x:c r="G88" s="42"/>
      <x:c r="H88" s="42"/>
      <x:c r="I88" s="45"/>
    </x:row>
    <x:row r="89">
      <x:c r="A89" s="41"/>
      <x:c r="B89" s="42"/>
      <x:c r="C89" s="42"/>
      <x:c r="D89" s="42"/>
      <x:c r="E89" s="42"/>
      <x:c r="F89" s="42"/>
      <x:c r="G89" s="42"/>
      <x:c r="H89" s="42"/>
      <x:c r="I89" s="45"/>
    </x:row>
    <x:row r="90">
      <x:c r="A90" s="41"/>
      <x:c r="B90" s="42"/>
      <x:c r="C90" s="42"/>
      <x:c r="D90" s="42"/>
      <x:c r="E90" s="42"/>
      <x:c r="F90" s="42"/>
      <x:c r="G90" s="42"/>
      <x:c r="H90" s="42"/>
      <x:c r="I90" s="45"/>
    </x:row>
    <x:row r="91">
      <x:c r="A91" s="41"/>
      <x:c r="B91" s="42"/>
      <x:c r="C91" s="42"/>
      <x:c r="D91" s="42"/>
      <x:c r="E91" s="42"/>
      <x:c r="F91" s="42"/>
      <x:c r="G91" s="42"/>
      <x:c r="H91" s="42"/>
      <x:c r="I91" s="45"/>
    </x:row>
    <x:row r="92">
      <x:c r="A92" s="41"/>
      <x:c r="B92" s="42"/>
      <x:c r="C92" s="42"/>
      <x:c r="D92" s="42"/>
      <x:c r="E92" s="42"/>
      <x:c r="F92" s="42"/>
      <x:c r="G92" s="42"/>
      <x:c r="H92" s="42"/>
      <x:c r="I92" s="45"/>
    </x:row>
    <x:row r="93">
      <x:c r="A93" s="41"/>
      <x:c r="B93" s="42"/>
      <x:c r="C93" s="42"/>
      <x:c r="D93" s="42"/>
      <x:c r="E93" s="42"/>
      <x:c r="F93" s="42"/>
      <x:c r="G93" s="42"/>
      <x:c r="H93" s="42"/>
      <x:c r="I93" s="45"/>
    </x:row>
    <x:row r="94">
      <x:c r="A94" s="41"/>
      <x:c r="B94" s="42"/>
      <x:c r="C94" s="42"/>
      <x:c r="D94" s="42"/>
      <x:c r="E94" s="42"/>
      <x:c r="F94" s="42"/>
      <x:c r="G94" s="42"/>
      <x:c r="H94" s="42"/>
      <x:c r="I94" s="45"/>
    </x:row>
    <x:row r="95">
      <x:c r="A95" s="41"/>
      <x:c r="B95" s="42"/>
      <x:c r="C95" s="42"/>
      <x:c r="D95" s="42"/>
      <x:c r="E95" s="42"/>
      <x:c r="F95" s="42"/>
      <x:c r="G95" s="42"/>
      <x:c r="H95" s="42"/>
      <x:c r="I95" s="45"/>
    </x:row>
    <x:row r="96">
      <x:c r="A96" s="41"/>
      <x:c r="B96" s="42"/>
      <x:c r="C96" s="42"/>
      <x:c r="D96" s="42"/>
      <x:c r="E96" s="42"/>
      <x:c r="F96" s="42"/>
      <x:c r="G96" s="42"/>
      <x:c r="H96" s="42"/>
      <x:c r="I96" s="45"/>
    </x:row>
    <x:row r="97">
      <x:c r="A97" s="41"/>
      <x:c r="B97" s="42"/>
      <x:c r="C97" s="42"/>
      <x:c r="D97" s="42"/>
      <x:c r="E97" s="42"/>
      <x:c r="F97" s="42"/>
      <x:c r="G97" s="42"/>
      <x:c r="H97" s="42"/>
      <x:c r="I97" s="45"/>
    </x:row>
    <x:row r="98">
      <x:c r="A98" s="41"/>
      <x:c r="B98" s="42"/>
      <x:c r="C98" s="42"/>
      <x:c r="D98" s="42"/>
      <x:c r="E98" s="42"/>
      <x:c r="F98" s="42"/>
      <x:c r="G98" s="42"/>
      <x:c r="H98" s="42"/>
      <x:c r="I98" s="45"/>
    </x:row>
    <x:row r="99">
      <x:c r="A99" s="41"/>
      <x:c r="B99" s="42"/>
      <x:c r="C99" s="42"/>
      <x:c r="D99" s="42"/>
      <x:c r="E99" s="42"/>
      <x:c r="F99" s="42"/>
      <x:c r="G99" s="42"/>
      <x:c r="H99" s="42"/>
      <x:c r="I99" s="45"/>
    </x:row>
    <x:row r="100">
      <x:c r="A100" s="48"/>
      <x:c r="B100" s="49"/>
      <x:c r="C100" s="49"/>
      <x:c r="D100" s="49"/>
      <x:c r="E100" s="49"/>
      <x:c r="F100" s="49"/>
      <x:c r="G100" s="49"/>
      <x:c r="H100" s="49"/>
      <x:c r="I100" s="50"/>
    </x:row>
  </x:sheetData>
  <x:mergeCells>
    <x:mergeCell ref="A1:I1"/>
  </x:mergeCells>
  <x:dataValidations count="1">
    <x:dataValidation type="list" sqref="A4:A11">
      <x:formula1>"Yes,No"</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34" hidden="0" customWidth="1"/>
    <x:col min="4" max="4" width="38" hidden="0" customWidth="1"/>
    <x:col min="5" max="5" width="22" hidden="0" customWidth="1"/>
    <x:col min="6" max="6" width="28" hidden="0" customWidth="1"/>
    <x:col min="7" max="7" width="16" hidden="0" customWidth="1"/>
    <x:col min="8" max="8" width="16" hidden="0" customWidth="1"/>
    <x:col min="9" max="9" width="16" hidden="0" customWidth="1"/>
  </x:cols>
  <x:sheetData>
    <x:row r="1">
      <x:c r="A1" s="36" t="str">
        <x:v>Equipment for Co-Curricular Activities &amp; Sports</x:v>
      </x:c>
      <x:c r="B1" s="13"/>
      <x:c r="C1" s="13"/>
      <x:c r="D1" s="13"/>
      <x:c r="E1" s="13"/>
      <x:c r="F1" s="13"/>
      <x:c r="G1" s="13"/>
      <x:c r="H1" s="13"/>
      <x:c r="I1" s="13"/>
    </x:row>
    <x:row r="3">
      <x:c r="A3" s="38" t="str">
        <x:v>Select</x:v>
      </x:c>
      <x:c r="B3" s="39" t="str">
        <x:v>Component ID</x:v>
      </x:c>
      <x:c r="C3" s="39" t="str">
        <x:v>Portal Sub Item</x:v>
      </x:c>
      <x:c r="D3" s="39" t="str">
        <x:v>Mission Component</x:v>
      </x:c>
      <x:c r="E3" s="39" t="str">
        <x:v>Unit</x:v>
      </x:c>
      <x:c r="F3" s="39" t="str">
        <x:v>Recommended Quantity Formula</x:v>
      </x:c>
      <x:c r="G3" s="39" t="str">
        <x:v>Quantity</x:v>
      </x:c>
      <x:c r="H3" s="39" t="str">
        <x:v>Planning Unit Cost (₹)</x:v>
      </x:c>
      <x:c r="I3" s="40" t="str">
        <x:v>Total Amount (₹)</x:v>
      </x:c>
    </x:row>
    <x:row r="4">
      <x:c r="A4" s="41" t="str">
        <x:v>No</x:v>
      </x:c>
      <x:c r="B4" s="42" t="str">
        <x:v>GFS-SP-001</x:v>
      </x:c>
      <x:c r="C4" s="42" t="str">
        <x:v>Badminton Kits (Racquets, Shuttlecocks, Net etc.)</x:v>
      </x:c>
      <x:c r="D4" s="42" t="str">
        <x:v>Badminton Kit</x:v>
      </x:c>
      <x:c r="E4" s="42" t="str">
        <x:v>In number</x:v>
      </x:c>
      <x:c r="F4" s="42" t="str">
        <x:v>1 set</x:v>
      </x:c>
      <x:c r="G4" s="43" t="n">
        <x:v>0</x:v>
      </x:c>
      <x:c r="H4" s="43" t="n">
        <x:v>8000</x:v>
      </x:c>
      <x:c r="I4" s="44" t="n">
        <x:f>IF(A4="Yes",G4*H4,0)</x:f>
        <x:v>0</x:v>
      </x:c>
    </x:row>
    <x:row r="5">
      <x:c r="A5" s="41" t="str">
        <x:v>No</x:v>
      </x:c>
      <x:c r="B5" s="42" t="str">
        <x:v>GFS-SP-002</x:v>
      </x:c>
      <x:c r="C5" s="42" t="str">
        <x:v>Basketball Kits (Basketball, Posts, Rings etc.)</x:v>
      </x:c>
      <x:c r="D5" s="42" t="str">
        <x:v>Basketball Kit</x:v>
      </x:c>
      <x:c r="E5" s="42" t="str">
        <x:v>In number</x:v>
      </x:c>
      <x:c r="F5" s="42" t="str">
        <x:v>Need based</x:v>
      </x:c>
      <x:c r="G5" s="43" t="n">
        <x:v>0</x:v>
      </x:c>
      <x:c r="H5" s="43" t="n">
        <x:v>25000</x:v>
      </x:c>
      <x:c r="I5" s="44" t="n">
        <x:f>IF(A5="Yes",G5*H5,0)</x:f>
        <x:v>0</x:v>
      </x:c>
    </x:row>
    <x:row r="6">
      <x:c r="A6" s="41" t="str">
        <x:v>No</x:v>
      </x:c>
      <x:c r="B6" s="42" t="str">
        <x:v>GFS-SP-003</x:v>
      </x:c>
      <x:c r="C6" s="42" t="str">
        <x:v>Carrom Board with Accessories</x:v>
      </x:c>
      <x:c r="D6" s="42" t="str">
        <x:v>Carrom Board</x:v>
      </x:c>
      <x:c r="E6" s="42" t="str">
        <x:v>In number</x:v>
      </x:c>
      <x:c r="F6" s="42" t="str">
        <x:v>1</x:v>
      </x:c>
      <x:c r="G6" s="43" t="n">
        <x:v>0</x:v>
      </x:c>
      <x:c r="H6" s="43" t="n">
        <x:v>5000</x:v>
      </x:c>
      <x:c r="I6" s="44" t="n">
        <x:f>IF(A6="Yes",G6*H6,0)</x:f>
        <x:v>0</x:v>
      </x:c>
    </x:row>
    <x:row r="7">
      <x:c r="A7" s="41" t="str">
        <x:v>No</x:v>
      </x:c>
      <x:c r="B7" s="42" t="str">
        <x:v>GFS-SP-004</x:v>
      </x:c>
      <x:c r="C7" s="42" t="str">
        <x:v>Chess Board with Accessories</x:v>
      </x:c>
      <x:c r="D7" s="42" t="str">
        <x:v>Chess Board</x:v>
      </x:c>
      <x:c r="E7" s="42" t="str">
        <x:v>In number</x:v>
      </x:c>
      <x:c r="F7" s="42" t="str">
        <x:v>2</x:v>
      </x:c>
      <x:c r="G7" s="43" t="n">
        <x:v>0</x:v>
      </x:c>
      <x:c r="H7" s="43" t="n">
        <x:v>1500</x:v>
      </x:c>
      <x:c r="I7" s="44" t="n">
        <x:f>IF(A7="Yes",G7*H7,0)</x:f>
        <x:v>0</x:v>
      </x:c>
    </x:row>
    <x:row r="8">
      <x:c r="A8" s="41" t="str">
        <x:v>No</x:v>
      </x:c>
      <x:c r="B8" s="42" t="str">
        <x:v>GFS-SP-005</x:v>
      </x:c>
      <x:c r="C8" s="42" t="str">
        <x:v>Football Kits (Football, Pump, Goal Posts, Net etc.)</x:v>
      </x:c>
      <x:c r="D8" s="42" t="str">
        <x:v>Football Kit</x:v>
      </x:c>
      <x:c r="E8" s="42" t="str">
        <x:v>In number</x:v>
      </x:c>
      <x:c r="F8" s="42" t="str">
        <x:v>1</x:v>
      </x:c>
      <x:c r="G8" s="43" t="n">
        <x:v>0</x:v>
      </x:c>
      <x:c r="H8" s="43" t="n">
        <x:v>12000</x:v>
      </x:c>
      <x:c r="I8" s="44" t="n">
        <x:f>IF(A8="Yes",G8*H8,0)</x:f>
        <x:v>0</x:v>
      </x:c>
    </x:row>
    <x:row r="9">
      <x:c r="A9" s="41" t="str">
        <x:v>No</x:v>
      </x:c>
      <x:c r="B9" s="42" t="str">
        <x:v>GFS-SP-006</x:v>
      </x:c>
      <x:c r="C9" s="42" t="str">
        <x:v>Volleyball Kits (Volleyball, Posts, Net etc.)</x:v>
      </x:c>
      <x:c r="D9" s="42" t="str">
        <x:v>Volleyball Kit</x:v>
      </x:c>
      <x:c r="E9" s="42" t="str">
        <x:v>In number</x:v>
      </x:c>
      <x:c r="F9" s="42" t="str">
        <x:v>1</x:v>
      </x:c>
      <x:c r="G9" s="43" t="n">
        <x:v>0</x:v>
      </x:c>
      <x:c r="H9" s="43" t="n">
        <x:v>15000</x:v>
      </x:c>
      <x:c r="I9" s="44" t="n">
        <x:f>IF(A9="Yes",G9*H9,0)</x:f>
        <x:v>0</x:v>
      </x:c>
    </x:row>
    <x:row r="10">
      <x:c r="A10" s="41" t="str">
        <x:v>No</x:v>
      </x:c>
      <x:c r="B10" s="42" t="str">
        <x:v>GFS-SP-007</x:v>
      </x:c>
      <x:c r="C10" s="42" t="str">
        <x:v>Cricket Kits (Ball, Bat, Wickets etc.)</x:v>
      </x:c>
      <x:c r="D10" s="42" t="str">
        <x:v>Cricket Kit</x:v>
      </x:c>
      <x:c r="E10" s="42" t="str">
        <x:v>In number</x:v>
      </x:c>
      <x:c r="F10" s="42" t="str">
        <x:v>1</x:v>
      </x:c>
      <x:c r="G10" s="43" t="n">
        <x:v>0</x:v>
      </x:c>
      <x:c r="H10" s="43" t="n">
        <x:v>20000</x:v>
      </x:c>
      <x:c r="I10" s="44" t="n">
        <x:f>IF(A10="Yes",G10*H10,0)</x:f>
        <x:v>0</x:v>
      </x:c>
    </x:row>
    <x:row r="11">
      <x:c r="A11" s="41" t="str">
        <x:v>No</x:v>
      </x:c>
      <x:c r="B11" s="42" t="str">
        <x:v>GFS-SP-008</x:v>
      </x:c>
      <x:c r="C11" s="42" t="str">
        <x:v>Hockey Kits (Ball, Sticks, Goal Posts etc.)</x:v>
      </x:c>
      <x:c r="D11" s="42" t="str">
        <x:v>Hockey Kit</x:v>
      </x:c>
      <x:c r="E11" s="42" t="str">
        <x:v>In number</x:v>
      </x:c>
      <x:c r="F11" s="42" t="str">
        <x:v>Need based</x:v>
      </x:c>
      <x:c r="G11" s="43" t="n">
        <x:v>0</x:v>
      </x:c>
      <x:c r="H11" s="43" t="n">
        <x:v>30000</x:v>
      </x:c>
      <x:c r="I11" s="44" t="n">
        <x:f>IF(A11="Yes",G11*H11,0)</x:f>
        <x:v>0</x:v>
      </x:c>
    </x:row>
    <x:row r="12">
      <x:c r="A12" s="41" t="str">
        <x:v>No</x:v>
      </x:c>
      <x:c r="B12" s="42" t="str">
        <x:v>GFS-SP-009</x:v>
      </x:c>
      <x:c r="C12" s="42" t="str">
        <x:v>Flying Discs / Rings</x:v>
      </x:c>
      <x:c r="D12" s="42" t="str">
        <x:v>Flying Discs / Rings</x:v>
      </x:c>
      <x:c r="E12" s="42" t="str">
        <x:v>In number</x:v>
      </x:c>
      <x:c r="F12" s="42" t="str">
        <x:v>2</x:v>
      </x:c>
      <x:c r="G12" s="43" t="n">
        <x:v>0</x:v>
      </x:c>
      <x:c r="H12" s="43" t="n">
        <x:v>2500</x:v>
      </x:c>
      <x:c r="I12" s="44" t="n">
        <x:f>IF(A12="Yes",G12*H12,0)</x:f>
        <x:v>0</x:v>
      </x:c>
    </x:row>
    <x:row r="13">
      <x:c r="A13" s="41" t="str">
        <x:v>No</x:v>
      </x:c>
      <x:c r="B13" s="42" t="str">
        <x:v>GFS-SP-010</x:v>
      </x:c>
      <x:c r="C13" s="42" t="str">
        <x:v>Miscellaneous in Primary Sports / Education Equipment</x:v>
      </x:c>
      <x:c r="D13" s="42" t="str">
        <x:v>Primary Sports / Education Kit</x:v>
      </x:c>
      <x:c r="E13" s="42" t="str">
        <x:v>In number</x:v>
      </x:c>
      <x:c r="F13" s="42" t="str">
        <x:v>1</x:v>
      </x:c>
      <x:c r="G13" s="43" t="n">
        <x:v>0</x:v>
      </x:c>
      <x:c r="H13" s="43" t="n">
        <x:v>25000</x:v>
      </x:c>
      <x:c r="I13" s="44" t="n">
        <x:f>IF(A13="Yes",G13*H13,0)</x:f>
        <x:v>0</x:v>
      </x:c>
    </x:row>
    <x:row r="14">
      <x:c r="A14" s="41" t="str">
        <x:v>No</x:v>
      </x:c>
      <x:c r="B14" s="42" t="str">
        <x:v>GFS-SP-011</x:v>
      </x:c>
      <x:c r="C14" s="42" t="str">
        <x:v>Toy and games Corner (including physical and digital toys/games)</x:v>
      </x:c>
      <x:c r="D14" s="42" t="str">
        <x:v>Toy &amp; Games Corner</x:v>
      </x:c>
      <x:c r="E14" s="42" t="str">
        <x:v>In number</x:v>
      </x:c>
      <x:c r="F14" s="42" t="str">
        <x:v>1</x:v>
      </x:c>
      <x:c r="G14" s="43" t="n">
        <x:v>0</x:v>
      </x:c>
      <x:c r="H14" s="43" t="n">
        <x:v>35000</x:v>
      </x:c>
      <x:c r="I14" s="44" t="n">
        <x:f>IF(A14="Yes",G14*H14,0)</x:f>
        <x:v>0</x:v>
      </x:c>
    </x:row>
    <x:row r="15">
      <x:c r="A15" s="41"/>
      <x:c r="B15" s="42"/>
      <x:c r="C15" s="42"/>
      <x:c r="D15" s="42"/>
      <x:c r="E15" s="42"/>
      <x:c r="F15" s="42"/>
      <x:c r="G15" s="42"/>
      <x:c r="H15" s="42"/>
      <x:c r="I15" s="45"/>
    </x:row>
    <x:row r="16">
      <x:c r="A16" s="41"/>
      <x:c r="B16" s="42"/>
      <x:c r="C16" s="42"/>
      <x:c r="D16" s="42"/>
      <x:c r="E16" s="42"/>
      <x:c r="F16" s="42"/>
      <x:c r="G16" s="42"/>
      <x:c r="H16" s="46" t="str">
        <x:v>Work Area Total</x:v>
      </x:c>
      <x:c r="I16" s="47" t="n">
        <x:f>SUM(I4:I14)</x:f>
        <x:v>0</x:v>
      </x:c>
    </x:row>
    <x:row r="17">
      <x:c r="A17" s="41"/>
      <x:c r="B17" s="42"/>
      <x:c r="C17" s="42"/>
      <x:c r="D17" s="42"/>
      <x:c r="E17" s="42"/>
      <x:c r="F17" s="42"/>
      <x:c r="G17" s="42"/>
      <x:c r="H17" s="42"/>
      <x:c r="I17" s="45"/>
    </x:row>
    <x:row r="18">
      <x:c r="A18" s="41"/>
      <x:c r="B18" s="42"/>
      <x:c r="C18" s="42"/>
      <x:c r="D18" s="42"/>
      <x:c r="E18" s="42"/>
      <x:c r="F18" s="42"/>
      <x:c r="G18" s="42"/>
      <x:c r="H18" s="42"/>
      <x:c r="I18" s="45"/>
    </x:row>
    <x:row r="19">
      <x:c r="A19" s="41"/>
      <x:c r="B19" s="42"/>
      <x:c r="C19" s="42"/>
      <x:c r="D19" s="42"/>
      <x:c r="E19" s="42"/>
      <x:c r="F19" s="42"/>
      <x:c r="G19" s="42"/>
      <x:c r="H19" s="42"/>
      <x:c r="I19" s="45"/>
    </x:row>
    <x:row r="20">
      <x:c r="A20" s="41"/>
      <x:c r="B20" s="42"/>
      <x:c r="C20" s="42"/>
      <x:c r="D20" s="42"/>
      <x:c r="E20" s="42"/>
      <x:c r="F20" s="42"/>
      <x:c r="G20" s="42"/>
      <x:c r="H20" s="42"/>
      <x:c r="I20" s="45"/>
    </x:row>
    <x:row r="21">
      <x:c r="A21" s="41"/>
      <x:c r="B21" s="42"/>
      <x:c r="C21" s="42"/>
      <x:c r="D21" s="42"/>
      <x:c r="E21" s="42"/>
      <x:c r="F21" s="42"/>
      <x:c r="G21" s="42"/>
      <x:c r="H21" s="42"/>
      <x:c r="I21" s="45"/>
    </x:row>
    <x:row r="22">
      <x:c r="A22" s="41"/>
      <x:c r="B22" s="42"/>
      <x:c r="C22" s="42"/>
      <x:c r="D22" s="42"/>
      <x:c r="E22" s="42"/>
      <x:c r="F22" s="42"/>
      <x:c r="G22" s="42"/>
      <x:c r="H22" s="42"/>
      <x:c r="I22" s="45"/>
    </x:row>
    <x:row r="23">
      <x:c r="A23" s="41"/>
      <x:c r="B23" s="42"/>
      <x:c r="C23" s="42"/>
      <x:c r="D23" s="42"/>
      <x:c r="E23" s="42"/>
      <x:c r="F23" s="42"/>
      <x:c r="G23" s="42"/>
      <x:c r="H23" s="42"/>
      <x:c r="I23" s="45"/>
    </x:row>
    <x:row r="24">
      <x:c r="A24" s="41"/>
      <x:c r="B24" s="42"/>
      <x:c r="C24" s="42"/>
      <x:c r="D24" s="42"/>
      <x:c r="E24" s="42"/>
      <x:c r="F24" s="42"/>
      <x:c r="G24" s="42"/>
      <x:c r="H24" s="42"/>
      <x:c r="I24" s="45"/>
    </x:row>
    <x:row r="25">
      <x:c r="A25" s="41"/>
      <x:c r="B25" s="42"/>
      <x:c r="C25" s="42"/>
      <x:c r="D25" s="42"/>
      <x:c r="E25" s="42"/>
      <x:c r="F25" s="42"/>
      <x:c r="G25" s="42"/>
      <x:c r="H25" s="42"/>
      <x:c r="I25" s="45"/>
    </x:row>
    <x:row r="26">
      <x:c r="A26" s="41"/>
      <x:c r="B26" s="42"/>
      <x:c r="C26" s="42"/>
      <x:c r="D26" s="42"/>
      <x:c r="E26" s="42"/>
      <x:c r="F26" s="42"/>
      <x:c r="G26" s="42"/>
      <x:c r="H26" s="42"/>
      <x:c r="I26" s="45"/>
    </x:row>
    <x:row r="27">
      <x:c r="A27" s="41"/>
      <x:c r="B27" s="42"/>
      <x:c r="C27" s="42"/>
      <x:c r="D27" s="42"/>
      <x:c r="E27" s="42"/>
      <x:c r="F27" s="42"/>
      <x:c r="G27" s="42"/>
      <x:c r="H27" s="42"/>
      <x:c r="I27" s="45"/>
    </x:row>
    <x:row r="28">
      <x:c r="A28" s="41"/>
      <x:c r="B28" s="42"/>
      <x:c r="C28" s="42"/>
      <x:c r="D28" s="42"/>
      <x:c r="E28" s="42"/>
      <x:c r="F28" s="42"/>
      <x:c r="G28" s="42"/>
      <x:c r="H28" s="42"/>
      <x:c r="I28" s="45"/>
    </x:row>
    <x:row r="29">
      <x:c r="A29" s="41"/>
      <x:c r="B29" s="42"/>
      <x:c r="C29" s="42"/>
      <x:c r="D29" s="42"/>
      <x:c r="E29" s="42"/>
      <x:c r="F29" s="42"/>
      <x:c r="G29" s="42"/>
      <x:c r="H29" s="42"/>
      <x:c r="I29" s="45"/>
    </x:row>
    <x:row r="30">
      <x:c r="A30" s="41"/>
      <x:c r="B30" s="42"/>
      <x:c r="C30" s="42"/>
      <x:c r="D30" s="42"/>
      <x:c r="E30" s="42"/>
      <x:c r="F30" s="42"/>
      <x:c r="G30" s="42"/>
      <x:c r="H30" s="42"/>
      <x:c r="I30" s="45"/>
    </x:row>
    <x:row r="31">
      <x:c r="A31" s="41"/>
      <x:c r="B31" s="42"/>
      <x:c r="C31" s="42"/>
      <x:c r="D31" s="42"/>
      <x:c r="E31" s="42"/>
      <x:c r="F31" s="42"/>
      <x:c r="G31" s="42"/>
      <x:c r="H31" s="42"/>
      <x:c r="I31" s="45"/>
    </x:row>
    <x:row r="32">
      <x:c r="A32" s="41"/>
      <x:c r="B32" s="42"/>
      <x:c r="C32" s="42"/>
      <x:c r="D32" s="42"/>
      <x:c r="E32" s="42"/>
      <x:c r="F32" s="42"/>
      <x:c r="G32" s="42"/>
      <x:c r="H32" s="42"/>
      <x:c r="I32" s="45"/>
    </x:row>
    <x:row r="33">
      <x:c r="A33" s="41"/>
      <x:c r="B33" s="42"/>
      <x:c r="C33" s="42"/>
      <x:c r="D33" s="42"/>
      <x:c r="E33" s="42"/>
      <x:c r="F33" s="42"/>
      <x:c r="G33" s="42"/>
      <x:c r="H33" s="42"/>
      <x:c r="I33" s="45"/>
    </x:row>
    <x:row r="34">
      <x:c r="A34" s="41"/>
      <x:c r="B34" s="42"/>
      <x:c r="C34" s="42"/>
      <x:c r="D34" s="42"/>
      <x:c r="E34" s="42"/>
      <x:c r="F34" s="42"/>
      <x:c r="G34" s="42"/>
      <x:c r="H34" s="42"/>
      <x:c r="I34" s="45"/>
    </x:row>
    <x:row r="35">
      <x:c r="A35" s="41"/>
      <x:c r="B35" s="42"/>
      <x:c r="C35" s="42"/>
      <x:c r="D35" s="42"/>
      <x:c r="E35" s="42"/>
      <x:c r="F35" s="42"/>
      <x:c r="G35" s="42"/>
      <x:c r="H35" s="42"/>
      <x:c r="I35" s="45"/>
    </x:row>
    <x:row r="36">
      <x:c r="A36" s="41"/>
      <x:c r="B36" s="42"/>
      <x:c r="C36" s="42"/>
      <x:c r="D36" s="42"/>
      <x:c r="E36" s="42"/>
      <x:c r="F36" s="42"/>
      <x:c r="G36" s="42"/>
      <x:c r="H36" s="42"/>
      <x:c r="I36" s="45"/>
    </x:row>
    <x:row r="37">
      <x:c r="A37" s="41"/>
      <x:c r="B37" s="42"/>
      <x:c r="C37" s="42"/>
      <x:c r="D37" s="42"/>
      <x:c r="E37" s="42"/>
      <x:c r="F37" s="42"/>
      <x:c r="G37" s="42"/>
      <x:c r="H37" s="42"/>
      <x:c r="I37" s="45"/>
    </x:row>
    <x:row r="38">
      <x:c r="A38" s="41"/>
      <x:c r="B38" s="42"/>
      <x:c r="C38" s="42"/>
      <x:c r="D38" s="42"/>
      <x:c r="E38" s="42"/>
      <x:c r="F38" s="42"/>
      <x:c r="G38" s="42"/>
      <x:c r="H38" s="42"/>
      <x:c r="I38" s="45"/>
    </x:row>
    <x:row r="39">
      <x:c r="A39" s="41"/>
      <x:c r="B39" s="42"/>
      <x:c r="C39" s="42"/>
      <x:c r="D39" s="42"/>
      <x:c r="E39" s="42"/>
      <x:c r="F39" s="42"/>
      <x:c r="G39" s="42"/>
      <x:c r="H39" s="42"/>
      <x:c r="I39" s="45"/>
    </x:row>
    <x:row r="40">
      <x:c r="A40" s="41"/>
      <x:c r="B40" s="42"/>
      <x:c r="C40" s="42"/>
      <x:c r="D40" s="42"/>
      <x:c r="E40" s="42"/>
      <x:c r="F40" s="42"/>
      <x:c r="G40" s="42"/>
      <x:c r="H40" s="42"/>
      <x:c r="I40" s="45"/>
    </x:row>
    <x:row r="41">
      <x:c r="A41" s="41"/>
      <x:c r="B41" s="42"/>
      <x:c r="C41" s="42"/>
      <x:c r="D41" s="42"/>
      <x:c r="E41" s="42"/>
      <x:c r="F41" s="42"/>
      <x:c r="G41" s="42"/>
      <x:c r="H41" s="42"/>
      <x:c r="I41" s="45"/>
    </x:row>
    <x:row r="42">
      <x:c r="A42" s="41"/>
      <x:c r="B42" s="42"/>
      <x:c r="C42" s="42"/>
      <x:c r="D42" s="42"/>
      <x:c r="E42" s="42"/>
      <x:c r="F42" s="42"/>
      <x:c r="G42" s="42"/>
      <x:c r="H42" s="42"/>
      <x:c r="I42" s="45"/>
    </x:row>
    <x:row r="43">
      <x:c r="A43" s="41"/>
      <x:c r="B43" s="42"/>
      <x:c r="C43" s="42"/>
      <x:c r="D43" s="42"/>
      <x:c r="E43" s="42"/>
      <x:c r="F43" s="42"/>
      <x:c r="G43" s="42"/>
      <x:c r="H43" s="42"/>
      <x:c r="I43" s="45"/>
    </x:row>
    <x:row r="44">
      <x:c r="A44" s="41"/>
      <x:c r="B44" s="42"/>
      <x:c r="C44" s="42"/>
      <x:c r="D44" s="42"/>
      <x:c r="E44" s="42"/>
      <x:c r="F44" s="42"/>
      <x:c r="G44" s="42"/>
      <x:c r="H44" s="42"/>
      <x:c r="I44" s="45"/>
    </x:row>
    <x:row r="45">
      <x:c r="A45" s="41"/>
      <x:c r="B45" s="42"/>
      <x:c r="C45" s="42"/>
      <x:c r="D45" s="42"/>
      <x:c r="E45" s="42"/>
      <x:c r="F45" s="42"/>
      <x:c r="G45" s="42"/>
      <x:c r="H45" s="42"/>
      <x:c r="I45" s="45"/>
    </x:row>
    <x:row r="46">
      <x:c r="A46" s="41"/>
      <x:c r="B46" s="42"/>
      <x:c r="C46" s="42"/>
      <x:c r="D46" s="42"/>
      <x:c r="E46" s="42"/>
      <x:c r="F46" s="42"/>
      <x:c r="G46" s="42"/>
      <x:c r="H46" s="42"/>
      <x:c r="I46" s="45"/>
    </x:row>
    <x:row r="47">
      <x:c r="A47" s="41"/>
      <x:c r="B47" s="42"/>
      <x:c r="C47" s="42"/>
      <x:c r="D47" s="42"/>
      <x:c r="E47" s="42"/>
      <x:c r="F47" s="42"/>
      <x:c r="G47" s="42"/>
      <x:c r="H47" s="42"/>
      <x:c r="I47" s="45"/>
    </x:row>
    <x:row r="48">
      <x:c r="A48" s="41"/>
      <x:c r="B48" s="42"/>
      <x:c r="C48" s="42"/>
      <x:c r="D48" s="42"/>
      <x:c r="E48" s="42"/>
      <x:c r="F48" s="42"/>
      <x:c r="G48" s="42"/>
      <x:c r="H48" s="42"/>
      <x:c r="I48" s="45"/>
    </x:row>
    <x:row r="49">
      <x:c r="A49" s="41"/>
      <x:c r="B49" s="42"/>
      <x:c r="C49" s="42"/>
      <x:c r="D49" s="42"/>
      <x:c r="E49" s="42"/>
      <x:c r="F49" s="42"/>
      <x:c r="G49" s="42"/>
      <x:c r="H49" s="42"/>
      <x:c r="I49" s="45"/>
    </x:row>
    <x:row r="50">
      <x:c r="A50" s="41"/>
      <x:c r="B50" s="42"/>
      <x:c r="C50" s="42"/>
      <x:c r="D50" s="42"/>
      <x:c r="E50" s="42"/>
      <x:c r="F50" s="42"/>
      <x:c r="G50" s="42"/>
      <x:c r="H50" s="42"/>
      <x:c r="I50" s="45"/>
    </x:row>
    <x:row r="51">
      <x:c r="A51" s="41"/>
      <x:c r="B51" s="42"/>
      <x:c r="C51" s="42"/>
      <x:c r="D51" s="42"/>
      <x:c r="E51" s="42"/>
      <x:c r="F51" s="42"/>
      <x:c r="G51" s="42"/>
      <x:c r="H51" s="42"/>
      <x:c r="I51" s="45"/>
    </x:row>
    <x:row r="52">
      <x:c r="A52" s="41"/>
      <x:c r="B52" s="42"/>
      <x:c r="C52" s="42"/>
      <x:c r="D52" s="42"/>
      <x:c r="E52" s="42"/>
      <x:c r="F52" s="42"/>
      <x:c r="G52" s="42"/>
      <x:c r="H52" s="42"/>
      <x:c r="I52" s="45"/>
    </x:row>
    <x:row r="53">
      <x:c r="A53" s="41"/>
      <x:c r="B53" s="42"/>
      <x:c r="C53" s="42"/>
      <x:c r="D53" s="42"/>
      <x:c r="E53" s="42"/>
      <x:c r="F53" s="42"/>
      <x:c r="G53" s="42"/>
      <x:c r="H53" s="42"/>
      <x:c r="I53" s="45"/>
    </x:row>
    <x:row r="54">
      <x:c r="A54" s="41"/>
      <x:c r="B54" s="42"/>
      <x:c r="C54" s="42"/>
      <x:c r="D54" s="42"/>
      <x:c r="E54" s="42"/>
      <x:c r="F54" s="42"/>
      <x:c r="G54" s="42"/>
      <x:c r="H54" s="42"/>
      <x:c r="I54" s="45"/>
    </x:row>
    <x:row r="55">
      <x:c r="A55" s="41"/>
      <x:c r="B55" s="42"/>
      <x:c r="C55" s="42"/>
      <x:c r="D55" s="42"/>
      <x:c r="E55" s="42"/>
      <x:c r="F55" s="42"/>
      <x:c r="G55" s="42"/>
      <x:c r="H55" s="42"/>
      <x:c r="I55" s="45"/>
    </x:row>
    <x:row r="56">
      <x:c r="A56" s="41"/>
      <x:c r="B56" s="42"/>
      <x:c r="C56" s="42"/>
      <x:c r="D56" s="42"/>
      <x:c r="E56" s="42"/>
      <x:c r="F56" s="42"/>
      <x:c r="G56" s="42"/>
      <x:c r="H56" s="42"/>
      <x:c r="I56" s="45"/>
    </x:row>
    <x:row r="57">
      <x:c r="A57" s="41"/>
      <x:c r="B57" s="42"/>
      <x:c r="C57" s="42"/>
      <x:c r="D57" s="42"/>
      <x:c r="E57" s="42"/>
      <x:c r="F57" s="42"/>
      <x:c r="G57" s="42"/>
      <x:c r="H57" s="42"/>
      <x:c r="I57" s="45"/>
    </x:row>
    <x:row r="58">
      <x:c r="A58" s="41"/>
      <x:c r="B58" s="42"/>
      <x:c r="C58" s="42"/>
      <x:c r="D58" s="42"/>
      <x:c r="E58" s="42"/>
      <x:c r="F58" s="42"/>
      <x:c r="G58" s="42"/>
      <x:c r="H58" s="42"/>
      <x:c r="I58" s="45"/>
    </x:row>
    <x:row r="59">
      <x:c r="A59" s="41"/>
      <x:c r="B59" s="42"/>
      <x:c r="C59" s="42"/>
      <x:c r="D59" s="42"/>
      <x:c r="E59" s="42"/>
      <x:c r="F59" s="42"/>
      <x:c r="G59" s="42"/>
      <x:c r="H59" s="42"/>
      <x:c r="I59" s="45"/>
    </x:row>
    <x:row r="60">
      <x:c r="A60" s="41"/>
      <x:c r="B60" s="42"/>
      <x:c r="C60" s="42"/>
      <x:c r="D60" s="42"/>
      <x:c r="E60" s="42"/>
      <x:c r="F60" s="42"/>
      <x:c r="G60" s="42"/>
      <x:c r="H60" s="42"/>
      <x:c r="I60" s="45"/>
    </x:row>
    <x:row r="61">
      <x:c r="A61" s="41"/>
      <x:c r="B61" s="42"/>
      <x:c r="C61" s="42"/>
      <x:c r="D61" s="42"/>
      <x:c r="E61" s="42"/>
      <x:c r="F61" s="42"/>
      <x:c r="G61" s="42"/>
      <x:c r="H61" s="42"/>
      <x:c r="I61" s="45"/>
    </x:row>
    <x:row r="62">
      <x:c r="A62" s="41"/>
      <x:c r="B62" s="42"/>
      <x:c r="C62" s="42"/>
      <x:c r="D62" s="42"/>
      <x:c r="E62" s="42"/>
      <x:c r="F62" s="42"/>
      <x:c r="G62" s="42"/>
      <x:c r="H62" s="42"/>
      <x:c r="I62" s="45"/>
    </x:row>
    <x:row r="63">
      <x:c r="A63" s="41"/>
      <x:c r="B63" s="42"/>
      <x:c r="C63" s="42"/>
      <x:c r="D63" s="42"/>
      <x:c r="E63" s="42"/>
      <x:c r="F63" s="42"/>
      <x:c r="G63" s="42"/>
      <x:c r="H63" s="42"/>
      <x:c r="I63" s="45"/>
    </x:row>
    <x:row r="64">
      <x:c r="A64" s="41"/>
      <x:c r="B64" s="42"/>
      <x:c r="C64" s="42"/>
      <x:c r="D64" s="42"/>
      <x:c r="E64" s="42"/>
      <x:c r="F64" s="42"/>
      <x:c r="G64" s="42"/>
      <x:c r="H64" s="42"/>
      <x:c r="I64" s="45"/>
    </x:row>
    <x:row r="65">
      <x:c r="A65" s="41"/>
      <x:c r="B65" s="42"/>
      <x:c r="C65" s="42"/>
      <x:c r="D65" s="42"/>
      <x:c r="E65" s="42"/>
      <x:c r="F65" s="42"/>
      <x:c r="G65" s="42"/>
      <x:c r="H65" s="42"/>
      <x:c r="I65" s="45"/>
    </x:row>
    <x:row r="66">
      <x:c r="A66" s="41"/>
      <x:c r="B66" s="42"/>
      <x:c r="C66" s="42"/>
      <x:c r="D66" s="42"/>
      <x:c r="E66" s="42"/>
      <x:c r="F66" s="42"/>
      <x:c r="G66" s="42"/>
      <x:c r="H66" s="42"/>
      <x:c r="I66" s="45"/>
    </x:row>
    <x:row r="67">
      <x:c r="A67" s="41"/>
      <x:c r="B67" s="42"/>
      <x:c r="C67" s="42"/>
      <x:c r="D67" s="42"/>
      <x:c r="E67" s="42"/>
      <x:c r="F67" s="42"/>
      <x:c r="G67" s="42"/>
      <x:c r="H67" s="42"/>
      <x:c r="I67" s="45"/>
    </x:row>
    <x:row r="68">
      <x:c r="A68" s="41"/>
      <x:c r="B68" s="42"/>
      <x:c r="C68" s="42"/>
      <x:c r="D68" s="42"/>
      <x:c r="E68" s="42"/>
      <x:c r="F68" s="42"/>
      <x:c r="G68" s="42"/>
      <x:c r="H68" s="42"/>
      <x:c r="I68" s="45"/>
    </x:row>
    <x:row r="69">
      <x:c r="A69" s="41"/>
      <x:c r="B69" s="42"/>
      <x:c r="C69" s="42"/>
      <x:c r="D69" s="42"/>
      <x:c r="E69" s="42"/>
      <x:c r="F69" s="42"/>
      <x:c r="G69" s="42"/>
      <x:c r="H69" s="42"/>
      <x:c r="I69" s="45"/>
    </x:row>
    <x:row r="70">
      <x:c r="A70" s="41"/>
      <x:c r="B70" s="42"/>
      <x:c r="C70" s="42"/>
      <x:c r="D70" s="42"/>
      <x:c r="E70" s="42"/>
      <x:c r="F70" s="42"/>
      <x:c r="G70" s="42"/>
      <x:c r="H70" s="42"/>
      <x:c r="I70" s="45"/>
    </x:row>
    <x:row r="71">
      <x:c r="A71" s="41"/>
      <x:c r="B71" s="42"/>
      <x:c r="C71" s="42"/>
      <x:c r="D71" s="42"/>
      <x:c r="E71" s="42"/>
      <x:c r="F71" s="42"/>
      <x:c r="G71" s="42"/>
      <x:c r="H71" s="42"/>
      <x:c r="I71" s="45"/>
    </x:row>
    <x:row r="72">
      <x:c r="A72" s="41"/>
      <x:c r="B72" s="42"/>
      <x:c r="C72" s="42"/>
      <x:c r="D72" s="42"/>
      <x:c r="E72" s="42"/>
      <x:c r="F72" s="42"/>
      <x:c r="G72" s="42"/>
      <x:c r="H72" s="42"/>
      <x:c r="I72" s="45"/>
    </x:row>
    <x:row r="73">
      <x:c r="A73" s="41"/>
      <x:c r="B73" s="42"/>
      <x:c r="C73" s="42"/>
      <x:c r="D73" s="42"/>
      <x:c r="E73" s="42"/>
      <x:c r="F73" s="42"/>
      <x:c r="G73" s="42"/>
      <x:c r="H73" s="42"/>
      <x:c r="I73" s="45"/>
    </x:row>
    <x:row r="74">
      <x:c r="A74" s="41"/>
      <x:c r="B74" s="42"/>
      <x:c r="C74" s="42"/>
      <x:c r="D74" s="42"/>
      <x:c r="E74" s="42"/>
      <x:c r="F74" s="42"/>
      <x:c r="G74" s="42"/>
      <x:c r="H74" s="42"/>
      <x:c r="I74" s="45"/>
    </x:row>
    <x:row r="75">
      <x:c r="A75" s="41"/>
      <x:c r="B75" s="42"/>
      <x:c r="C75" s="42"/>
      <x:c r="D75" s="42"/>
      <x:c r="E75" s="42"/>
      <x:c r="F75" s="42"/>
      <x:c r="G75" s="42"/>
      <x:c r="H75" s="42"/>
      <x:c r="I75" s="45"/>
    </x:row>
    <x:row r="76">
      <x:c r="A76" s="41"/>
      <x:c r="B76" s="42"/>
      <x:c r="C76" s="42"/>
      <x:c r="D76" s="42"/>
      <x:c r="E76" s="42"/>
      <x:c r="F76" s="42"/>
      <x:c r="G76" s="42"/>
      <x:c r="H76" s="42"/>
      <x:c r="I76" s="45"/>
    </x:row>
    <x:row r="77">
      <x:c r="A77" s="41"/>
      <x:c r="B77" s="42"/>
      <x:c r="C77" s="42"/>
      <x:c r="D77" s="42"/>
      <x:c r="E77" s="42"/>
      <x:c r="F77" s="42"/>
      <x:c r="G77" s="42"/>
      <x:c r="H77" s="42"/>
      <x:c r="I77" s="45"/>
    </x:row>
    <x:row r="78">
      <x:c r="A78" s="41"/>
      <x:c r="B78" s="42"/>
      <x:c r="C78" s="42"/>
      <x:c r="D78" s="42"/>
      <x:c r="E78" s="42"/>
      <x:c r="F78" s="42"/>
      <x:c r="G78" s="42"/>
      <x:c r="H78" s="42"/>
      <x:c r="I78" s="45"/>
    </x:row>
    <x:row r="79">
      <x:c r="A79" s="41"/>
      <x:c r="B79" s="42"/>
      <x:c r="C79" s="42"/>
      <x:c r="D79" s="42"/>
      <x:c r="E79" s="42"/>
      <x:c r="F79" s="42"/>
      <x:c r="G79" s="42"/>
      <x:c r="H79" s="42"/>
      <x:c r="I79" s="45"/>
    </x:row>
    <x:row r="80">
      <x:c r="A80" s="41"/>
      <x:c r="B80" s="42"/>
      <x:c r="C80" s="42"/>
      <x:c r="D80" s="42"/>
      <x:c r="E80" s="42"/>
      <x:c r="F80" s="42"/>
      <x:c r="G80" s="42"/>
      <x:c r="H80" s="42"/>
      <x:c r="I80" s="45"/>
    </x:row>
    <x:row r="81">
      <x:c r="A81" s="41"/>
      <x:c r="B81" s="42"/>
      <x:c r="C81" s="42"/>
      <x:c r="D81" s="42"/>
      <x:c r="E81" s="42"/>
      <x:c r="F81" s="42"/>
      <x:c r="G81" s="42"/>
      <x:c r="H81" s="42"/>
      <x:c r="I81" s="45"/>
    </x:row>
    <x:row r="82">
      <x:c r="A82" s="41"/>
      <x:c r="B82" s="42"/>
      <x:c r="C82" s="42"/>
      <x:c r="D82" s="42"/>
      <x:c r="E82" s="42"/>
      <x:c r="F82" s="42"/>
      <x:c r="G82" s="42"/>
      <x:c r="H82" s="42"/>
      <x:c r="I82" s="45"/>
    </x:row>
    <x:row r="83">
      <x:c r="A83" s="41"/>
      <x:c r="B83" s="42"/>
      <x:c r="C83" s="42"/>
      <x:c r="D83" s="42"/>
      <x:c r="E83" s="42"/>
      <x:c r="F83" s="42"/>
      <x:c r="G83" s="42"/>
      <x:c r="H83" s="42"/>
      <x:c r="I83" s="45"/>
    </x:row>
    <x:row r="84">
      <x:c r="A84" s="41"/>
      <x:c r="B84" s="42"/>
      <x:c r="C84" s="42"/>
      <x:c r="D84" s="42"/>
      <x:c r="E84" s="42"/>
      <x:c r="F84" s="42"/>
      <x:c r="G84" s="42"/>
      <x:c r="H84" s="42"/>
      <x:c r="I84" s="45"/>
    </x:row>
    <x:row r="85">
      <x:c r="A85" s="41"/>
      <x:c r="B85" s="42"/>
      <x:c r="C85" s="42"/>
      <x:c r="D85" s="42"/>
      <x:c r="E85" s="42"/>
      <x:c r="F85" s="42"/>
      <x:c r="G85" s="42"/>
      <x:c r="H85" s="42"/>
      <x:c r="I85" s="45"/>
    </x:row>
    <x:row r="86">
      <x:c r="A86" s="41"/>
      <x:c r="B86" s="42"/>
      <x:c r="C86" s="42"/>
      <x:c r="D86" s="42"/>
      <x:c r="E86" s="42"/>
      <x:c r="F86" s="42"/>
      <x:c r="G86" s="42"/>
      <x:c r="H86" s="42"/>
      <x:c r="I86" s="45"/>
    </x:row>
    <x:row r="87">
      <x:c r="A87" s="41"/>
      <x:c r="B87" s="42"/>
      <x:c r="C87" s="42"/>
      <x:c r="D87" s="42"/>
      <x:c r="E87" s="42"/>
      <x:c r="F87" s="42"/>
      <x:c r="G87" s="42"/>
      <x:c r="H87" s="42"/>
      <x:c r="I87" s="45"/>
    </x:row>
    <x:row r="88">
      <x:c r="A88" s="41"/>
      <x:c r="B88" s="42"/>
      <x:c r="C88" s="42"/>
      <x:c r="D88" s="42"/>
      <x:c r="E88" s="42"/>
      <x:c r="F88" s="42"/>
      <x:c r="G88" s="42"/>
      <x:c r="H88" s="42"/>
      <x:c r="I88" s="45"/>
    </x:row>
    <x:row r="89">
      <x:c r="A89" s="41"/>
      <x:c r="B89" s="42"/>
      <x:c r="C89" s="42"/>
      <x:c r="D89" s="42"/>
      <x:c r="E89" s="42"/>
      <x:c r="F89" s="42"/>
      <x:c r="G89" s="42"/>
      <x:c r="H89" s="42"/>
      <x:c r="I89" s="45"/>
    </x:row>
    <x:row r="90">
      <x:c r="A90" s="41"/>
      <x:c r="B90" s="42"/>
      <x:c r="C90" s="42"/>
      <x:c r="D90" s="42"/>
      <x:c r="E90" s="42"/>
      <x:c r="F90" s="42"/>
      <x:c r="G90" s="42"/>
      <x:c r="H90" s="42"/>
      <x:c r="I90" s="45"/>
    </x:row>
    <x:row r="91">
      <x:c r="A91" s="41"/>
      <x:c r="B91" s="42"/>
      <x:c r="C91" s="42"/>
      <x:c r="D91" s="42"/>
      <x:c r="E91" s="42"/>
      <x:c r="F91" s="42"/>
      <x:c r="G91" s="42"/>
      <x:c r="H91" s="42"/>
      <x:c r="I91" s="45"/>
    </x:row>
    <x:row r="92">
      <x:c r="A92" s="41"/>
      <x:c r="B92" s="42"/>
      <x:c r="C92" s="42"/>
      <x:c r="D92" s="42"/>
      <x:c r="E92" s="42"/>
      <x:c r="F92" s="42"/>
      <x:c r="G92" s="42"/>
      <x:c r="H92" s="42"/>
      <x:c r="I92" s="45"/>
    </x:row>
    <x:row r="93">
      <x:c r="A93" s="41"/>
      <x:c r="B93" s="42"/>
      <x:c r="C93" s="42"/>
      <x:c r="D93" s="42"/>
      <x:c r="E93" s="42"/>
      <x:c r="F93" s="42"/>
      <x:c r="G93" s="42"/>
      <x:c r="H93" s="42"/>
      <x:c r="I93" s="45"/>
    </x:row>
    <x:row r="94">
      <x:c r="A94" s="41"/>
      <x:c r="B94" s="42"/>
      <x:c r="C94" s="42"/>
      <x:c r="D94" s="42"/>
      <x:c r="E94" s="42"/>
      <x:c r="F94" s="42"/>
      <x:c r="G94" s="42"/>
      <x:c r="H94" s="42"/>
      <x:c r="I94" s="45"/>
    </x:row>
    <x:row r="95">
      <x:c r="A95" s="41"/>
      <x:c r="B95" s="42"/>
      <x:c r="C95" s="42"/>
      <x:c r="D95" s="42"/>
      <x:c r="E95" s="42"/>
      <x:c r="F95" s="42"/>
      <x:c r="G95" s="42"/>
      <x:c r="H95" s="42"/>
      <x:c r="I95" s="45"/>
    </x:row>
    <x:row r="96">
      <x:c r="A96" s="41"/>
      <x:c r="B96" s="42"/>
      <x:c r="C96" s="42"/>
      <x:c r="D96" s="42"/>
      <x:c r="E96" s="42"/>
      <x:c r="F96" s="42"/>
      <x:c r="G96" s="42"/>
      <x:c r="H96" s="42"/>
      <x:c r="I96" s="45"/>
    </x:row>
    <x:row r="97">
      <x:c r="A97" s="41"/>
      <x:c r="B97" s="42"/>
      <x:c r="C97" s="42"/>
      <x:c r="D97" s="42"/>
      <x:c r="E97" s="42"/>
      <x:c r="F97" s="42"/>
      <x:c r="G97" s="42"/>
      <x:c r="H97" s="42"/>
      <x:c r="I97" s="45"/>
    </x:row>
    <x:row r="98">
      <x:c r="A98" s="41"/>
      <x:c r="B98" s="42"/>
      <x:c r="C98" s="42"/>
      <x:c r="D98" s="42"/>
      <x:c r="E98" s="42"/>
      <x:c r="F98" s="42"/>
      <x:c r="G98" s="42"/>
      <x:c r="H98" s="42"/>
      <x:c r="I98" s="45"/>
    </x:row>
    <x:row r="99">
      <x:c r="A99" s="41"/>
      <x:c r="B99" s="42"/>
      <x:c r="C99" s="42"/>
      <x:c r="D99" s="42"/>
      <x:c r="E99" s="42"/>
      <x:c r="F99" s="42"/>
      <x:c r="G99" s="42"/>
      <x:c r="H99" s="42"/>
      <x:c r="I99" s="45"/>
    </x:row>
    <x:row r="100">
      <x:c r="A100" s="48"/>
      <x:c r="B100" s="49"/>
      <x:c r="C100" s="49"/>
      <x:c r="D100" s="49"/>
      <x:c r="E100" s="49"/>
      <x:c r="F100" s="49"/>
      <x:c r="G100" s="49"/>
      <x:c r="H100" s="49"/>
      <x:c r="I100" s="50"/>
    </x:row>
  </x:sheetData>
  <x:mergeCells>
    <x:mergeCell ref="A1:I1"/>
  </x:mergeCells>
  <x:dataValidations count="1">
    <x:dataValidation type="list" sqref="A4:A14">
      <x:formula1>"Yes,No"</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16" hidden="0" customWidth="1"/>
    <x:col min="3" max="3" width="34" hidden="0" customWidth="1"/>
    <x:col min="4" max="4" width="38" hidden="0" customWidth="1"/>
    <x:col min="5" max="5" width="22" hidden="0" customWidth="1"/>
    <x:col min="6" max="6" width="28" hidden="0" customWidth="1"/>
    <x:col min="7" max="7" width="16" hidden="0" customWidth="1"/>
    <x:col min="8" max="8" width="16" hidden="0" customWidth="1"/>
    <x:col min="9" max="9" width="16" hidden="0" customWidth="1"/>
  </x:cols>
  <x:sheetData>
    <x:row r="1">
      <x:c r="A1" s="36" t="str">
        <x:v>Health and Safety Aids</x:v>
      </x:c>
      <x:c r="B1" s="13"/>
      <x:c r="C1" s="13"/>
      <x:c r="D1" s="13"/>
      <x:c r="E1" s="13"/>
      <x:c r="F1" s="13"/>
      <x:c r="G1" s="13"/>
      <x:c r="H1" s="13"/>
      <x:c r="I1" s="13"/>
    </x:row>
    <x:row r="3">
      <x:c r="A3" s="38" t="str">
        <x:v>Select</x:v>
      </x:c>
      <x:c r="B3" s="39" t="str">
        <x:v>Component ID</x:v>
      </x:c>
      <x:c r="C3" s="39" t="str">
        <x:v>Portal Sub Item</x:v>
      </x:c>
      <x:c r="D3" s="39" t="str">
        <x:v>Mission Component</x:v>
      </x:c>
      <x:c r="E3" s="39" t="str">
        <x:v>Unit</x:v>
      </x:c>
      <x:c r="F3" s="39" t="str">
        <x:v>Recommended Quantity Formula</x:v>
      </x:c>
      <x:c r="G3" s="39" t="str">
        <x:v>Quantity</x:v>
      </x:c>
      <x:c r="H3" s="39" t="str">
        <x:v>Planning Unit Cost (₹)</x:v>
      </x:c>
      <x:c r="I3" s="40" t="str">
        <x:v>Total Amount (₹)</x:v>
      </x:c>
    </x:row>
    <x:row r="4">
      <x:c r="A4" s="41" t="str">
        <x:v>No</x:v>
      </x:c>
      <x:c r="B4" s="42" t="str">
        <x:v>GFS-HS-001</x:v>
      </x:c>
      <x:c r="C4" s="42" t="str">
        <x:v>Fire Extinguisher</x:v>
      </x:c>
      <x:c r="D4" s="42" t="str">
        <x:v>Fire Extinguisher</x:v>
      </x:c>
      <x:c r="E4" s="42" t="str">
        <x:v>In number</x:v>
      </x:c>
      <x:c r="F4" s="42" t="str">
        <x:v>2 per school</x:v>
      </x:c>
      <x:c r="G4" s="43" t="n">
        <x:v>0</x:v>
      </x:c>
      <x:c r="H4" s="43" t="n">
        <x:v>7500</x:v>
      </x:c>
      <x:c r="I4" s="44" t="n">
        <x:f>IF(A4="Yes",G4*H4,0)</x:f>
        <x:v>0</x:v>
      </x:c>
    </x:row>
    <x:row r="5">
      <x:c r="A5" s="41" t="str">
        <x:v>No</x:v>
      </x:c>
      <x:c r="B5" s="42" t="str">
        <x:v>GFS-HS-002</x:v>
      </x:c>
      <x:c r="C5" s="42" t="str">
        <x:v>First Aid Kit</x:v>
      </x:c>
      <x:c r="D5" s="42" t="str">
        <x:v>First Aid Kit</x:v>
      </x:c>
      <x:c r="E5" s="42" t="str">
        <x:v>In number</x:v>
      </x:c>
      <x:c r="F5" s="42" t="str">
        <x:v>1 per school</x:v>
      </x:c>
      <x:c r="G5" s="43" t="n">
        <x:v>0</x:v>
      </x:c>
      <x:c r="H5" s="43" t="n">
        <x:v>5000</x:v>
      </x:c>
      <x:c r="I5" s="44" t="n">
        <x:f>IF(A5="Yes",G5*H5,0)</x:f>
        <x:v>0</x:v>
      </x:c>
    </x:row>
    <x:row r="6">
      <x:c r="A6" s="41" t="str">
        <x:v>No</x:v>
      </x:c>
      <x:c r="B6" s="42" t="str">
        <x:v>GFS-HS-003</x:v>
      </x:c>
      <x:c r="C6" s="42" t="str">
        <x:v>Water Purifier</x:v>
      </x:c>
      <x:c r="D6" s="42" t="str">
        <x:v>Water Purifier / RO</x:v>
      </x:c>
      <x:c r="E6" s="42" t="str">
        <x:v>In number</x:v>
      </x:c>
      <x:c r="F6" s="42" t="str">
        <x:v>1 per school if required</x:v>
      </x:c>
      <x:c r="G6" s="43" t="n">
        <x:v>0</x:v>
      </x:c>
      <x:c r="H6" s="43" t="n">
        <x:v>35000</x:v>
      </x:c>
      <x:c r="I6" s="44" t="n">
        <x:f>IF(A6="Yes",G6*H6,0)</x:f>
        <x:v>0</x:v>
      </x:c>
    </x:row>
    <x:row r="7">
      <x:c r="A7" s="41" t="str">
        <x:v>No</x:v>
      </x:c>
      <x:c r="B7" s="42" t="str">
        <x:v>GFS-HS-004</x:v>
      </x:c>
      <x:c r="C7" s="42" t="str">
        <x:v>Disinfectants &amp; Sanitizers</x:v>
      </x:c>
      <x:c r="D7" s="42" t="str">
        <x:v>Sanitation Pack</x:v>
      </x:c>
      <x:c r="E7" s="42" t="str">
        <x:v>In number</x:v>
      </x:c>
      <x:c r="F7" s="42" t="str">
        <x:v>1 annual pack</x:v>
      </x:c>
      <x:c r="G7" s="43" t="n">
        <x:v>0</x:v>
      </x:c>
      <x:c r="H7" s="43" t="n">
        <x:v>5000</x:v>
      </x:c>
      <x:c r="I7" s="44" t="n">
        <x:f>IF(A7="Yes",G7*H7,0)</x:f>
        <x:v>0</x:v>
      </x:c>
    </x:row>
    <x:row r="8">
      <x:c r="A8" s="41" t="str">
        <x:v>No</x:v>
      </x:c>
      <x:c r="B8" s="42" t="str">
        <x:v>GFS-HS-005</x:v>
      </x:c>
      <x:c r="C8" s="42" t="str">
        <x:v>Masks</x:v>
      </x:c>
      <x:c r="D8" s="42" t="str">
        <x:v>Masks Pack</x:v>
      </x:c>
      <x:c r="E8" s="42" t="str">
        <x:v>In number</x:v>
      </x:c>
      <x:c r="F8" s="42" t="str">
        <x:v>Need based</x:v>
      </x:c>
      <x:c r="G8" s="43" t="n">
        <x:v>0</x:v>
      </x:c>
      <x:c r="H8" s="43" t="n">
        <x:v>3000</x:v>
      </x:c>
      <x:c r="I8" s="44" t="n">
        <x:f>IF(A8="Yes",G8*H8,0)</x:f>
        <x:v>0</x:v>
      </x:c>
    </x:row>
    <x:row r="9">
      <x:c r="A9" s="41" t="str">
        <x:v>No</x:v>
      </x:c>
      <x:c r="B9" s="42" t="str">
        <x:v>GFS-HS-006</x:v>
      </x:c>
      <x:c r="C9" s="42" t="str">
        <x:v>Infrared Thermometer</x:v>
      </x:c>
      <x:c r="D9" s="42" t="str">
        <x:v>Infrared Thermometer</x:v>
      </x:c>
      <x:c r="E9" s="42" t="str">
        <x:v>In number</x:v>
      </x:c>
      <x:c r="F9" s="42" t="str">
        <x:v>1 per school</x:v>
      </x:c>
      <x:c r="G9" s="43" t="n">
        <x:v>0</x:v>
      </x:c>
      <x:c r="H9" s="43" t="n">
        <x:v>2500</x:v>
      </x:c>
      <x:c r="I9" s="44" t="n">
        <x:f>IF(A9="Yes",G9*H9,0)</x:f>
        <x:v>0</x:v>
      </x:c>
    </x:row>
    <x:row r="10">
      <x:c r="A10" s="41" t="str">
        <x:v>No</x:v>
      </x:c>
      <x:c r="B10" s="42" t="str">
        <x:v>GFS-HS-007</x:v>
      </x:c>
      <x:c r="C10" s="42" t="str">
        <x:v>Hand Wash Facilities</x:v>
      </x:c>
      <x:c r="D10" s="42" t="str">
        <x:v>Hand Wash Facility</x:v>
      </x:c>
      <x:c r="E10" s="42" t="str">
        <x:v>In number</x:v>
      </x:c>
      <x:c r="F10" s="42" t="str">
        <x:v>1 per school if required</x:v>
      </x:c>
      <x:c r="G10" s="43" t="n">
        <x:v>0</x:v>
      </x:c>
      <x:c r="H10" s="43" t="n">
        <x:v>25000</x:v>
      </x:c>
      <x:c r="I10" s="44" t="n">
        <x:f>IF(A10="Yes",G10*H10,0)</x:f>
        <x:v>0</x:v>
      </x:c>
    </x:row>
    <x:row r="11">
      <x:c r="A11" s="41" t="str">
        <x:v>No</x:v>
      </x:c>
      <x:c r="B11" s="42" t="str">
        <x:v>GFS-HS-008</x:v>
      </x:c>
      <x:c r="C11" s="42" t="str">
        <x:v>Hearing Aids</x:v>
      </x:c>
      <x:c r="D11" s="42" t="str">
        <x:v>Hearing Aid</x:v>
      </x:c>
      <x:c r="E11" s="42" t="str">
        <x:v>In number</x:v>
      </x:c>
      <x:c r="F11" s="42" t="str">
        <x:v>Need based</x:v>
      </x:c>
      <x:c r="G11" s="43" t="n">
        <x:v>0</x:v>
      </x:c>
      <x:c r="H11" s="43" t="n">
        <x:v>20000</x:v>
      </x:c>
      <x:c r="I11" s="44" t="n">
        <x:f>IF(A11="Yes",G11*H11,0)</x:f>
        <x:v>0</x:v>
      </x:c>
    </x:row>
    <x:row r="12">
      <x:c r="A12" s="41" t="str">
        <x:v>No</x:v>
      </x:c>
      <x:c r="B12" s="42" t="str">
        <x:v>GFS-HS-009</x:v>
      </x:c>
      <x:c r="C12" s="42" t="str">
        <x:v>Sanitary Pad Vending /disposal Machines</x:v>
      </x:c>
      <x:c r="D12" s="42" t="str">
        <x:v>Sanitary Pad Vending/Disposal Machine</x:v>
      </x:c>
      <x:c r="E12" s="42" t="str">
        <x:v>In number</x:v>
      </x:c>
      <x:c r="F12" s="42" t="str">
        <x:v>Girls schools/need based</x:v>
      </x:c>
      <x:c r="G12" s="43" t="n">
        <x:v>0</x:v>
      </x:c>
      <x:c r="H12" s="43" t="n">
        <x:v>35000</x:v>
      </x:c>
      <x:c r="I12" s="44" t="n">
        <x:f>IF(A12="Yes",G12*H12,0)</x:f>
        <x:v>0</x:v>
      </x:c>
    </x:row>
    <x:row r="13">
      <x:c r="A13" s="41" t="str">
        <x:v>No</x:v>
      </x:c>
      <x:c r="B13" s="42" t="str">
        <x:v>GFS-HS-010</x:v>
      </x:c>
      <x:c r="C13" s="42" t="str">
        <x:v>Wheel Chair</x:v>
      </x:c>
      <x:c r="D13" s="42" t="str">
        <x:v>Wheelchair</x:v>
      </x:c>
      <x:c r="E13" s="42" t="str">
        <x:v>In number</x:v>
      </x:c>
      <x:c r="F13" s="42" t="str">
        <x:v>Need based</x:v>
      </x:c>
      <x:c r="G13" s="43" t="n">
        <x:v>0</x:v>
      </x:c>
      <x:c r="H13" s="43" t="n">
        <x:v>15000</x:v>
      </x:c>
      <x:c r="I13" s="44" t="n">
        <x:f>IF(A13="Yes",G13*H13,0)</x:f>
        <x:v>0</x:v>
      </x:c>
    </x:row>
    <x:row r="14">
      <x:c r="A14" s="41"/>
      <x:c r="B14" s="42"/>
      <x:c r="C14" s="42"/>
      <x:c r="D14" s="42"/>
      <x:c r="E14" s="42"/>
      <x:c r="F14" s="42"/>
      <x:c r="G14" s="42"/>
      <x:c r="H14" s="42"/>
      <x:c r="I14" s="45"/>
    </x:row>
    <x:row r="15">
      <x:c r="A15" s="41"/>
      <x:c r="B15" s="42"/>
      <x:c r="C15" s="42"/>
      <x:c r="D15" s="42"/>
      <x:c r="E15" s="42"/>
      <x:c r="F15" s="42"/>
      <x:c r="G15" s="42"/>
      <x:c r="H15" s="46" t="str">
        <x:v>Work Area Total</x:v>
      </x:c>
      <x:c r="I15" s="47" t="n">
        <x:f>SUM(I4:I13)</x:f>
        <x:v>0</x:v>
      </x:c>
    </x:row>
    <x:row r="16">
      <x:c r="A16" s="41"/>
      <x:c r="B16" s="42"/>
      <x:c r="C16" s="42"/>
      <x:c r="D16" s="42"/>
      <x:c r="E16" s="42"/>
      <x:c r="F16" s="42"/>
      <x:c r="G16" s="42"/>
      <x:c r="H16" s="42"/>
      <x:c r="I16" s="45"/>
    </x:row>
    <x:row r="17">
      <x:c r="A17" s="41"/>
      <x:c r="B17" s="42"/>
      <x:c r="C17" s="42"/>
      <x:c r="D17" s="42"/>
      <x:c r="E17" s="42"/>
      <x:c r="F17" s="42"/>
      <x:c r="G17" s="42"/>
      <x:c r="H17" s="42"/>
      <x:c r="I17" s="45"/>
    </x:row>
    <x:row r="18">
      <x:c r="A18" s="41"/>
      <x:c r="B18" s="42"/>
      <x:c r="C18" s="42"/>
      <x:c r="D18" s="42"/>
      <x:c r="E18" s="42"/>
      <x:c r="F18" s="42"/>
      <x:c r="G18" s="42"/>
      <x:c r="H18" s="42"/>
      <x:c r="I18" s="45"/>
    </x:row>
    <x:row r="19">
      <x:c r="A19" s="41"/>
      <x:c r="B19" s="42"/>
      <x:c r="C19" s="42"/>
      <x:c r="D19" s="42"/>
      <x:c r="E19" s="42"/>
      <x:c r="F19" s="42"/>
      <x:c r="G19" s="42"/>
      <x:c r="H19" s="42"/>
      <x:c r="I19" s="45"/>
    </x:row>
    <x:row r="20">
      <x:c r="A20" s="41"/>
      <x:c r="B20" s="42"/>
      <x:c r="C20" s="42"/>
      <x:c r="D20" s="42"/>
      <x:c r="E20" s="42"/>
      <x:c r="F20" s="42"/>
      <x:c r="G20" s="42"/>
      <x:c r="H20" s="42"/>
      <x:c r="I20" s="45"/>
    </x:row>
    <x:row r="21">
      <x:c r="A21" s="41"/>
      <x:c r="B21" s="42"/>
      <x:c r="C21" s="42"/>
      <x:c r="D21" s="42"/>
      <x:c r="E21" s="42"/>
      <x:c r="F21" s="42"/>
      <x:c r="G21" s="42"/>
      <x:c r="H21" s="42"/>
      <x:c r="I21" s="45"/>
    </x:row>
    <x:row r="22">
      <x:c r="A22" s="41"/>
      <x:c r="B22" s="42"/>
      <x:c r="C22" s="42"/>
      <x:c r="D22" s="42"/>
      <x:c r="E22" s="42"/>
      <x:c r="F22" s="42"/>
      <x:c r="G22" s="42"/>
      <x:c r="H22" s="42"/>
      <x:c r="I22" s="45"/>
    </x:row>
    <x:row r="23">
      <x:c r="A23" s="41"/>
      <x:c r="B23" s="42"/>
      <x:c r="C23" s="42"/>
      <x:c r="D23" s="42"/>
      <x:c r="E23" s="42"/>
      <x:c r="F23" s="42"/>
      <x:c r="G23" s="42"/>
      <x:c r="H23" s="42"/>
      <x:c r="I23" s="45"/>
    </x:row>
    <x:row r="24">
      <x:c r="A24" s="41"/>
      <x:c r="B24" s="42"/>
      <x:c r="C24" s="42"/>
      <x:c r="D24" s="42"/>
      <x:c r="E24" s="42"/>
      <x:c r="F24" s="42"/>
      <x:c r="G24" s="42"/>
      <x:c r="H24" s="42"/>
      <x:c r="I24" s="45"/>
    </x:row>
    <x:row r="25">
      <x:c r="A25" s="41"/>
      <x:c r="B25" s="42"/>
      <x:c r="C25" s="42"/>
      <x:c r="D25" s="42"/>
      <x:c r="E25" s="42"/>
      <x:c r="F25" s="42"/>
      <x:c r="G25" s="42"/>
      <x:c r="H25" s="42"/>
      <x:c r="I25" s="45"/>
    </x:row>
    <x:row r="26">
      <x:c r="A26" s="41"/>
      <x:c r="B26" s="42"/>
      <x:c r="C26" s="42"/>
      <x:c r="D26" s="42"/>
      <x:c r="E26" s="42"/>
      <x:c r="F26" s="42"/>
      <x:c r="G26" s="42"/>
      <x:c r="H26" s="42"/>
      <x:c r="I26" s="45"/>
    </x:row>
    <x:row r="27">
      <x:c r="A27" s="41"/>
      <x:c r="B27" s="42"/>
      <x:c r="C27" s="42"/>
      <x:c r="D27" s="42"/>
      <x:c r="E27" s="42"/>
      <x:c r="F27" s="42"/>
      <x:c r="G27" s="42"/>
      <x:c r="H27" s="42"/>
      <x:c r="I27" s="45"/>
    </x:row>
    <x:row r="28">
      <x:c r="A28" s="41"/>
      <x:c r="B28" s="42"/>
      <x:c r="C28" s="42"/>
      <x:c r="D28" s="42"/>
      <x:c r="E28" s="42"/>
      <x:c r="F28" s="42"/>
      <x:c r="G28" s="42"/>
      <x:c r="H28" s="42"/>
      <x:c r="I28" s="45"/>
    </x:row>
    <x:row r="29">
      <x:c r="A29" s="41"/>
      <x:c r="B29" s="42"/>
      <x:c r="C29" s="42"/>
      <x:c r="D29" s="42"/>
      <x:c r="E29" s="42"/>
      <x:c r="F29" s="42"/>
      <x:c r="G29" s="42"/>
      <x:c r="H29" s="42"/>
      <x:c r="I29" s="45"/>
    </x:row>
    <x:row r="30">
      <x:c r="A30" s="41"/>
      <x:c r="B30" s="42"/>
      <x:c r="C30" s="42"/>
      <x:c r="D30" s="42"/>
      <x:c r="E30" s="42"/>
      <x:c r="F30" s="42"/>
      <x:c r="G30" s="42"/>
      <x:c r="H30" s="42"/>
      <x:c r="I30" s="45"/>
    </x:row>
    <x:row r="31">
      <x:c r="A31" s="41"/>
      <x:c r="B31" s="42"/>
      <x:c r="C31" s="42"/>
      <x:c r="D31" s="42"/>
      <x:c r="E31" s="42"/>
      <x:c r="F31" s="42"/>
      <x:c r="G31" s="42"/>
      <x:c r="H31" s="42"/>
      <x:c r="I31" s="45"/>
    </x:row>
    <x:row r="32">
      <x:c r="A32" s="41"/>
      <x:c r="B32" s="42"/>
      <x:c r="C32" s="42"/>
      <x:c r="D32" s="42"/>
      <x:c r="E32" s="42"/>
      <x:c r="F32" s="42"/>
      <x:c r="G32" s="42"/>
      <x:c r="H32" s="42"/>
      <x:c r="I32" s="45"/>
    </x:row>
    <x:row r="33">
      <x:c r="A33" s="41"/>
      <x:c r="B33" s="42"/>
      <x:c r="C33" s="42"/>
      <x:c r="D33" s="42"/>
      <x:c r="E33" s="42"/>
      <x:c r="F33" s="42"/>
      <x:c r="G33" s="42"/>
      <x:c r="H33" s="42"/>
      <x:c r="I33" s="45"/>
    </x:row>
    <x:row r="34">
      <x:c r="A34" s="41"/>
      <x:c r="B34" s="42"/>
      <x:c r="C34" s="42"/>
      <x:c r="D34" s="42"/>
      <x:c r="E34" s="42"/>
      <x:c r="F34" s="42"/>
      <x:c r="G34" s="42"/>
      <x:c r="H34" s="42"/>
      <x:c r="I34" s="45"/>
    </x:row>
    <x:row r="35">
      <x:c r="A35" s="41"/>
      <x:c r="B35" s="42"/>
      <x:c r="C35" s="42"/>
      <x:c r="D35" s="42"/>
      <x:c r="E35" s="42"/>
      <x:c r="F35" s="42"/>
      <x:c r="G35" s="42"/>
      <x:c r="H35" s="42"/>
      <x:c r="I35" s="45"/>
    </x:row>
    <x:row r="36">
      <x:c r="A36" s="41"/>
      <x:c r="B36" s="42"/>
      <x:c r="C36" s="42"/>
      <x:c r="D36" s="42"/>
      <x:c r="E36" s="42"/>
      <x:c r="F36" s="42"/>
      <x:c r="G36" s="42"/>
      <x:c r="H36" s="42"/>
      <x:c r="I36" s="45"/>
    </x:row>
    <x:row r="37">
      <x:c r="A37" s="41"/>
      <x:c r="B37" s="42"/>
      <x:c r="C37" s="42"/>
      <x:c r="D37" s="42"/>
      <x:c r="E37" s="42"/>
      <x:c r="F37" s="42"/>
      <x:c r="G37" s="42"/>
      <x:c r="H37" s="42"/>
      <x:c r="I37" s="45"/>
    </x:row>
    <x:row r="38">
      <x:c r="A38" s="41"/>
      <x:c r="B38" s="42"/>
      <x:c r="C38" s="42"/>
      <x:c r="D38" s="42"/>
      <x:c r="E38" s="42"/>
      <x:c r="F38" s="42"/>
      <x:c r="G38" s="42"/>
      <x:c r="H38" s="42"/>
      <x:c r="I38" s="45"/>
    </x:row>
    <x:row r="39">
      <x:c r="A39" s="41"/>
      <x:c r="B39" s="42"/>
      <x:c r="C39" s="42"/>
      <x:c r="D39" s="42"/>
      <x:c r="E39" s="42"/>
      <x:c r="F39" s="42"/>
      <x:c r="G39" s="42"/>
      <x:c r="H39" s="42"/>
      <x:c r="I39" s="45"/>
    </x:row>
    <x:row r="40">
      <x:c r="A40" s="41"/>
      <x:c r="B40" s="42"/>
      <x:c r="C40" s="42"/>
      <x:c r="D40" s="42"/>
      <x:c r="E40" s="42"/>
      <x:c r="F40" s="42"/>
      <x:c r="G40" s="42"/>
      <x:c r="H40" s="42"/>
      <x:c r="I40" s="45"/>
    </x:row>
    <x:row r="41">
      <x:c r="A41" s="41"/>
      <x:c r="B41" s="42"/>
      <x:c r="C41" s="42"/>
      <x:c r="D41" s="42"/>
      <x:c r="E41" s="42"/>
      <x:c r="F41" s="42"/>
      <x:c r="G41" s="42"/>
      <x:c r="H41" s="42"/>
      <x:c r="I41" s="45"/>
    </x:row>
    <x:row r="42">
      <x:c r="A42" s="41"/>
      <x:c r="B42" s="42"/>
      <x:c r="C42" s="42"/>
      <x:c r="D42" s="42"/>
      <x:c r="E42" s="42"/>
      <x:c r="F42" s="42"/>
      <x:c r="G42" s="42"/>
      <x:c r="H42" s="42"/>
      <x:c r="I42" s="45"/>
    </x:row>
    <x:row r="43">
      <x:c r="A43" s="41"/>
      <x:c r="B43" s="42"/>
      <x:c r="C43" s="42"/>
      <x:c r="D43" s="42"/>
      <x:c r="E43" s="42"/>
      <x:c r="F43" s="42"/>
      <x:c r="G43" s="42"/>
      <x:c r="H43" s="42"/>
      <x:c r="I43" s="45"/>
    </x:row>
    <x:row r="44">
      <x:c r="A44" s="41"/>
      <x:c r="B44" s="42"/>
      <x:c r="C44" s="42"/>
      <x:c r="D44" s="42"/>
      <x:c r="E44" s="42"/>
      <x:c r="F44" s="42"/>
      <x:c r="G44" s="42"/>
      <x:c r="H44" s="42"/>
      <x:c r="I44" s="45"/>
    </x:row>
    <x:row r="45">
      <x:c r="A45" s="41"/>
      <x:c r="B45" s="42"/>
      <x:c r="C45" s="42"/>
      <x:c r="D45" s="42"/>
      <x:c r="E45" s="42"/>
      <x:c r="F45" s="42"/>
      <x:c r="G45" s="42"/>
      <x:c r="H45" s="42"/>
      <x:c r="I45" s="45"/>
    </x:row>
    <x:row r="46">
      <x:c r="A46" s="41"/>
      <x:c r="B46" s="42"/>
      <x:c r="C46" s="42"/>
      <x:c r="D46" s="42"/>
      <x:c r="E46" s="42"/>
      <x:c r="F46" s="42"/>
      <x:c r="G46" s="42"/>
      <x:c r="H46" s="42"/>
      <x:c r="I46" s="45"/>
    </x:row>
    <x:row r="47">
      <x:c r="A47" s="41"/>
      <x:c r="B47" s="42"/>
      <x:c r="C47" s="42"/>
      <x:c r="D47" s="42"/>
      <x:c r="E47" s="42"/>
      <x:c r="F47" s="42"/>
      <x:c r="G47" s="42"/>
      <x:c r="H47" s="42"/>
      <x:c r="I47" s="45"/>
    </x:row>
    <x:row r="48">
      <x:c r="A48" s="41"/>
      <x:c r="B48" s="42"/>
      <x:c r="C48" s="42"/>
      <x:c r="D48" s="42"/>
      <x:c r="E48" s="42"/>
      <x:c r="F48" s="42"/>
      <x:c r="G48" s="42"/>
      <x:c r="H48" s="42"/>
      <x:c r="I48" s="45"/>
    </x:row>
    <x:row r="49">
      <x:c r="A49" s="41"/>
      <x:c r="B49" s="42"/>
      <x:c r="C49" s="42"/>
      <x:c r="D49" s="42"/>
      <x:c r="E49" s="42"/>
      <x:c r="F49" s="42"/>
      <x:c r="G49" s="42"/>
      <x:c r="H49" s="42"/>
      <x:c r="I49" s="45"/>
    </x:row>
    <x:row r="50">
      <x:c r="A50" s="41"/>
      <x:c r="B50" s="42"/>
      <x:c r="C50" s="42"/>
      <x:c r="D50" s="42"/>
      <x:c r="E50" s="42"/>
      <x:c r="F50" s="42"/>
      <x:c r="G50" s="42"/>
      <x:c r="H50" s="42"/>
      <x:c r="I50" s="45"/>
    </x:row>
    <x:row r="51">
      <x:c r="A51" s="41"/>
      <x:c r="B51" s="42"/>
      <x:c r="C51" s="42"/>
      <x:c r="D51" s="42"/>
      <x:c r="E51" s="42"/>
      <x:c r="F51" s="42"/>
      <x:c r="G51" s="42"/>
      <x:c r="H51" s="42"/>
      <x:c r="I51" s="45"/>
    </x:row>
    <x:row r="52">
      <x:c r="A52" s="41"/>
      <x:c r="B52" s="42"/>
      <x:c r="C52" s="42"/>
      <x:c r="D52" s="42"/>
      <x:c r="E52" s="42"/>
      <x:c r="F52" s="42"/>
      <x:c r="G52" s="42"/>
      <x:c r="H52" s="42"/>
      <x:c r="I52" s="45"/>
    </x:row>
    <x:row r="53">
      <x:c r="A53" s="41"/>
      <x:c r="B53" s="42"/>
      <x:c r="C53" s="42"/>
      <x:c r="D53" s="42"/>
      <x:c r="E53" s="42"/>
      <x:c r="F53" s="42"/>
      <x:c r="G53" s="42"/>
      <x:c r="H53" s="42"/>
      <x:c r="I53" s="45"/>
    </x:row>
    <x:row r="54">
      <x:c r="A54" s="41"/>
      <x:c r="B54" s="42"/>
      <x:c r="C54" s="42"/>
      <x:c r="D54" s="42"/>
      <x:c r="E54" s="42"/>
      <x:c r="F54" s="42"/>
      <x:c r="G54" s="42"/>
      <x:c r="H54" s="42"/>
      <x:c r="I54" s="45"/>
    </x:row>
    <x:row r="55">
      <x:c r="A55" s="41"/>
      <x:c r="B55" s="42"/>
      <x:c r="C55" s="42"/>
      <x:c r="D55" s="42"/>
      <x:c r="E55" s="42"/>
      <x:c r="F55" s="42"/>
      <x:c r="G55" s="42"/>
      <x:c r="H55" s="42"/>
      <x:c r="I55" s="45"/>
    </x:row>
    <x:row r="56">
      <x:c r="A56" s="41"/>
      <x:c r="B56" s="42"/>
      <x:c r="C56" s="42"/>
      <x:c r="D56" s="42"/>
      <x:c r="E56" s="42"/>
      <x:c r="F56" s="42"/>
      <x:c r="G56" s="42"/>
      <x:c r="H56" s="42"/>
      <x:c r="I56" s="45"/>
    </x:row>
    <x:row r="57">
      <x:c r="A57" s="41"/>
      <x:c r="B57" s="42"/>
      <x:c r="C57" s="42"/>
      <x:c r="D57" s="42"/>
      <x:c r="E57" s="42"/>
      <x:c r="F57" s="42"/>
      <x:c r="G57" s="42"/>
      <x:c r="H57" s="42"/>
      <x:c r="I57" s="45"/>
    </x:row>
    <x:row r="58">
      <x:c r="A58" s="41"/>
      <x:c r="B58" s="42"/>
      <x:c r="C58" s="42"/>
      <x:c r="D58" s="42"/>
      <x:c r="E58" s="42"/>
      <x:c r="F58" s="42"/>
      <x:c r="G58" s="42"/>
      <x:c r="H58" s="42"/>
      <x:c r="I58" s="45"/>
    </x:row>
    <x:row r="59">
      <x:c r="A59" s="41"/>
      <x:c r="B59" s="42"/>
      <x:c r="C59" s="42"/>
      <x:c r="D59" s="42"/>
      <x:c r="E59" s="42"/>
      <x:c r="F59" s="42"/>
      <x:c r="G59" s="42"/>
      <x:c r="H59" s="42"/>
      <x:c r="I59" s="45"/>
    </x:row>
    <x:row r="60">
      <x:c r="A60" s="41"/>
      <x:c r="B60" s="42"/>
      <x:c r="C60" s="42"/>
      <x:c r="D60" s="42"/>
      <x:c r="E60" s="42"/>
      <x:c r="F60" s="42"/>
      <x:c r="G60" s="42"/>
      <x:c r="H60" s="42"/>
      <x:c r="I60" s="45"/>
    </x:row>
    <x:row r="61">
      <x:c r="A61" s="41"/>
      <x:c r="B61" s="42"/>
      <x:c r="C61" s="42"/>
      <x:c r="D61" s="42"/>
      <x:c r="E61" s="42"/>
      <x:c r="F61" s="42"/>
      <x:c r="G61" s="42"/>
      <x:c r="H61" s="42"/>
      <x:c r="I61" s="45"/>
    </x:row>
    <x:row r="62">
      <x:c r="A62" s="41"/>
      <x:c r="B62" s="42"/>
      <x:c r="C62" s="42"/>
      <x:c r="D62" s="42"/>
      <x:c r="E62" s="42"/>
      <x:c r="F62" s="42"/>
      <x:c r="G62" s="42"/>
      <x:c r="H62" s="42"/>
      <x:c r="I62" s="45"/>
    </x:row>
    <x:row r="63">
      <x:c r="A63" s="41"/>
      <x:c r="B63" s="42"/>
      <x:c r="C63" s="42"/>
      <x:c r="D63" s="42"/>
      <x:c r="E63" s="42"/>
      <x:c r="F63" s="42"/>
      <x:c r="G63" s="42"/>
      <x:c r="H63" s="42"/>
      <x:c r="I63" s="45"/>
    </x:row>
    <x:row r="64">
      <x:c r="A64" s="41"/>
      <x:c r="B64" s="42"/>
      <x:c r="C64" s="42"/>
      <x:c r="D64" s="42"/>
      <x:c r="E64" s="42"/>
      <x:c r="F64" s="42"/>
      <x:c r="G64" s="42"/>
      <x:c r="H64" s="42"/>
      <x:c r="I64" s="45"/>
    </x:row>
    <x:row r="65">
      <x:c r="A65" s="41"/>
      <x:c r="B65" s="42"/>
      <x:c r="C65" s="42"/>
      <x:c r="D65" s="42"/>
      <x:c r="E65" s="42"/>
      <x:c r="F65" s="42"/>
      <x:c r="G65" s="42"/>
      <x:c r="H65" s="42"/>
      <x:c r="I65" s="45"/>
    </x:row>
    <x:row r="66">
      <x:c r="A66" s="41"/>
      <x:c r="B66" s="42"/>
      <x:c r="C66" s="42"/>
      <x:c r="D66" s="42"/>
      <x:c r="E66" s="42"/>
      <x:c r="F66" s="42"/>
      <x:c r="G66" s="42"/>
      <x:c r="H66" s="42"/>
      <x:c r="I66" s="45"/>
    </x:row>
    <x:row r="67">
      <x:c r="A67" s="41"/>
      <x:c r="B67" s="42"/>
      <x:c r="C67" s="42"/>
      <x:c r="D67" s="42"/>
      <x:c r="E67" s="42"/>
      <x:c r="F67" s="42"/>
      <x:c r="G67" s="42"/>
      <x:c r="H67" s="42"/>
      <x:c r="I67" s="45"/>
    </x:row>
    <x:row r="68">
      <x:c r="A68" s="41"/>
      <x:c r="B68" s="42"/>
      <x:c r="C68" s="42"/>
      <x:c r="D68" s="42"/>
      <x:c r="E68" s="42"/>
      <x:c r="F68" s="42"/>
      <x:c r="G68" s="42"/>
      <x:c r="H68" s="42"/>
      <x:c r="I68" s="45"/>
    </x:row>
    <x:row r="69">
      <x:c r="A69" s="41"/>
      <x:c r="B69" s="42"/>
      <x:c r="C69" s="42"/>
      <x:c r="D69" s="42"/>
      <x:c r="E69" s="42"/>
      <x:c r="F69" s="42"/>
      <x:c r="G69" s="42"/>
      <x:c r="H69" s="42"/>
      <x:c r="I69" s="45"/>
    </x:row>
    <x:row r="70">
      <x:c r="A70" s="41"/>
      <x:c r="B70" s="42"/>
      <x:c r="C70" s="42"/>
      <x:c r="D70" s="42"/>
      <x:c r="E70" s="42"/>
      <x:c r="F70" s="42"/>
      <x:c r="G70" s="42"/>
      <x:c r="H70" s="42"/>
      <x:c r="I70" s="45"/>
    </x:row>
    <x:row r="71">
      <x:c r="A71" s="41"/>
      <x:c r="B71" s="42"/>
      <x:c r="C71" s="42"/>
      <x:c r="D71" s="42"/>
      <x:c r="E71" s="42"/>
      <x:c r="F71" s="42"/>
      <x:c r="G71" s="42"/>
      <x:c r="H71" s="42"/>
      <x:c r="I71" s="45"/>
    </x:row>
    <x:row r="72">
      <x:c r="A72" s="41"/>
      <x:c r="B72" s="42"/>
      <x:c r="C72" s="42"/>
      <x:c r="D72" s="42"/>
      <x:c r="E72" s="42"/>
      <x:c r="F72" s="42"/>
      <x:c r="G72" s="42"/>
      <x:c r="H72" s="42"/>
      <x:c r="I72" s="45"/>
    </x:row>
    <x:row r="73">
      <x:c r="A73" s="41"/>
      <x:c r="B73" s="42"/>
      <x:c r="C73" s="42"/>
      <x:c r="D73" s="42"/>
      <x:c r="E73" s="42"/>
      <x:c r="F73" s="42"/>
      <x:c r="G73" s="42"/>
      <x:c r="H73" s="42"/>
      <x:c r="I73" s="45"/>
    </x:row>
    <x:row r="74">
      <x:c r="A74" s="41"/>
      <x:c r="B74" s="42"/>
      <x:c r="C74" s="42"/>
      <x:c r="D74" s="42"/>
      <x:c r="E74" s="42"/>
      <x:c r="F74" s="42"/>
      <x:c r="G74" s="42"/>
      <x:c r="H74" s="42"/>
      <x:c r="I74" s="45"/>
    </x:row>
    <x:row r="75">
      <x:c r="A75" s="41"/>
      <x:c r="B75" s="42"/>
      <x:c r="C75" s="42"/>
      <x:c r="D75" s="42"/>
      <x:c r="E75" s="42"/>
      <x:c r="F75" s="42"/>
      <x:c r="G75" s="42"/>
      <x:c r="H75" s="42"/>
      <x:c r="I75" s="45"/>
    </x:row>
    <x:row r="76">
      <x:c r="A76" s="41"/>
      <x:c r="B76" s="42"/>
      <x:c r="C76" s="42"/>
      <x:c r="D76" s="42"/>
      <x:c r="E76" s="42"/>
      <x:c r="F76" s="42"/>
      <x:c r="G76" s="42"/>
      <x:c r="H76" s="42"/>
      <x:c r="I76" s="45"/>
    </x:row>
    <x:row r="77">
      <x:c r="A77" s="41"/>
      <x:c r="B77" s="42"/>
      <x:c r="C77" s="42"/>
      <x:c r="D77" s="42"/>
      <x:c r="E77" s="42"/>
      <x:c r="F77" s="42"/>
      <x:c r="G77" s="42"/>
      <x:c r="H77" s="42"/>
      <x:c r="I77" s="45"/>
    </x:row>
    <x:row r="78">
      <x:c r="A78" s="41"/>
      <x:c r="B78" s="42"/>
      <x:c r="C78" s="42"/>
      <x:c r="D78" s="42"/>
      <x:c r="E78" s="42"/>
      <x:c r="F78" s="42"/>
      <x:c r="G78" s="42"/>
      <x:c r="H78" s="42"/>
      <x:c r="I78" s="45"/>
    </x:row>
    <x:row r="79">
      <x:c r="A79" s="41"/>
      <x:c r="B79" s="42"/>
      <x:c r="C79" s="42"/>
      <x:c r="D79" s="42"/>
      <x:c r="E79" s="42"/>
      <x:c r="F79" s="42"/>
      <x:c r="G79" s="42"/>
      <x:c r="H79" s="42"/>
      <x:c r="I79" s="45"/>
    </x:row>
    <x:row r="80">
      <x:c r="A80" s="41"/>
      <x:c r="B80" s="42"/>
      <x:c r="C80" s="42"/>
      <x:c r="D80" s="42"/>
      <x:c r="E80" s="42"/>
      <x:c r="F80" s="42"/>
      <x:c r="G80" s="42"/>
      <x:c r="H80" s="42"/>
      <x:c r="I80" s="45"/>
    </x:row>
    <x:row r="81">
      <x:c r="A81" s="41"/>
      <x:c r="B81" s="42"/>
      <x:c r="C81" s="42"/>
      <x:c r="D81" s="42"/>
      <x:c r="E81" s="42"/>
      <x:c r="F81" s="42"/>
      <x:c r="G81" s="42"/>
      <x:c r="H81" s="42"/>
      <x:c r="I81" s="45"/>
    </x:row>
    <x:row r="82">
      <x:c r="A82" s="41"/>
      <x:c r="B82" s="42"/>
      <x:c r="C82" s="42"/>
      <x:c r="D82" s="42"/>
      <x:c r="E82" s="42"/>
      <x:c r="F82" s="42"/>
      <x:c r="G82" s="42"/>
      <x:c r="H82" s="42"/>
      <x:c r="I82" s="45"/>
    </x:row>
    <x:row r="83">
      <x:c r="A83" s="41"/>
      <x:c r="B83" s="42"/>
      <x:c r="C83" s="42"/>
      <x:c r="D83" s="42"/>
      <x:c r="E83" s="42"/>
      <x:c r="F83" s="42"/>
      <x:c r="G83" s="42"/>
      <x:c r="H83" s="42"/>
      <x:c r="I83" s="45"/>
    </x:row>
    <x:row r="84">
      <x:c r="A84" s="41"/>
      <x:c r="B84" s="42"/>
      <x:c r="C84" s="42"/>
      <x:c r="D84" s="42"/>
      <x:c r="E84" s="42"/>
      <x:c r="F84" s="42"/>
      <x:c r="G84" s="42"/>
      <x:c r="H84" s="42"/>
      <x:c r="I84" s="45"/>
    </x:row>
    <x:row r="85">
      <x:c r="A85" s="41"/>
      <x:c r="B85" s="42"/>
      <x:c r="C85" s="42"/>
      <x:c r="D85" s="42"/>
      <x:c r="E85" s="42"/>
      <x:c r="F85" s="42"/>
      <x:c r="G85" s="42"/>
      <x:c r="H85" s="42"/>
      <x:c r="I85" s="45"/>
    </x:row>
    <x:row r="86">
      <x:c r="A86" s="41"/>
      <x:c r="B86" s="42"/>
      <x:c r="C86" s="42"/>
      <x:c r="D86" s="42"/>
      <x:c r="E86" s="42"/>
      <x:c r="F86" s="42"/>
      <x:c r="G86" s="42"/>
      <x:c r="H86" s="42"/>
      <x:c r="I86" s="45"/>
    </x:row>
    <x:row r="87">
      <x:c r="A87" s="41"/>
      <x:c r="B87" s="42"/>
      <x:c r="C87" s="42"/>
      <x:c r="D87" s="42"/>
      <x:c r="E87" s="42"/>
      <x:c r="F87" s="42"/>
      <x:c r="G87" s="42"/>
      <x:c r="H87" s="42"/>
      <x:c r="I87" s="45"/>
    </x:row>
    <x:row r="88">
      <x:c r="A88" s="41"/>
      <x:c r="B88" s="42"/>
      <x:c r="C88" s="42"/>
      <x:c r="D88" s="42"/>
      <x:c r="E88" s="42"/>
      <x:c r="F88" s="42"/>
      <x:c r="G88" s="42"/>
      <x:c r="H88" s="42"/>
      <x:c r="I88" s="45"/>
    </x:row>
    <x:row r="89">
      <x:c r="A89" s="41"/>
      <x:c r="B89" s="42"/>
      <x:c r="C89" s="42"/>
      <x:c r="D89" s="42"/>
      <x:c r="E89" s="42"/>
      <x:c r="F89" s="42"/>
      <x:c r="G89" s="42"/>
      <x:c r="H89" s="42"/>
      <x:c r="I89" s="45"/>
    </x:row>
    <x:row r="90">
      <x:c r="A90" s="41"/>
      <x:c r="B90" s="42"/>
      <x:c r="C90" s="42"/>
      <x:c r="D90" s="42"/>
      <x:c r="E90" s="42"/>
      <x:c r="F90" s="42"/>
      <x:c r="G90" s="42"/>
      <x:c r="H90" s="42"/>
      <x:c r="I90" s="45"/>
    </x:row>
    <x:row r="91">
      <x:c r="A91" s="41"/>
      <x:c r="B91" s="42"/>
      <x:c r="C91" s="42"/>
      <x:c r="D91" s="42"/>
      <x:c r="E91" s="42"/>
      <x:c r="F91" s="42"/>
      <x:c r="G91" s="42"/>
      <x:c r="H91" s="42"/>
      <x:c r="I91" s="45"/>
    </x:row>
    <x:row r="92">
      <x:c r="A92" s="41"/>
      <x:c r="B92" s="42"/>
      <x:c r="C92" s="42"/>
      <x:c r="D92" s="42"/>
      <x:c r="E92" s="42"/>
      <x:c r="F92" s="42"/>
      <x:c r="G92" s="42"/>
      <x:c r="H92" s="42"/>
      <x:c r="I92" s="45"/>
    </x:row>
    <x:row r="93">
      <x:c r="A93" s="41"/>
      <x:c r="B93" s="42"/>
      <x:c r="C93" s="42"/>
      <x:c r="D93" s="42"/>
      <x:c r="E93" s="42"/>
      <x:c r="F93" s="42"/>
      <x:c r="G93" s="42"/>
      <x:c r="H93" s="42"/>
      <x:c r="I93" s="45"/>
    </x:row>
    <x:row r="94">
      <x:c r="A94" s="41"/>
      <x:c r="B94" s="42"/>
      <x:c r="C94" s="42"/>
      <x:c r="D94" s="42"/>
      <x:c r="E94" s="42"/>
      <x:c r="F94" s="42"/>
      <x:c r="G94" s="42"/>
      <x:c r="H94" s="42"/>
      <x:c r="I94" s="45"/>
    </x:row>
    <x:row r="95">
      <x:c r="A95" s="41"/>
      <x:c r="B95" s="42"/>
      <x:c r="C95" s="42"/>
      <x:c r="D95" s="42"/>
      <x:c r="E95" s="42"/>
      <x:c r="F95" s="42"/>
      <x:c r="G95" s="42"/>
      <x:c r="H95" s="42"/>
      <x:c r="I95" s="45"/>
    </x:row>
    <x:row r="96">
      <x:c r="A96" s="41"/>
      <x:c r="B96" s="42"/>
      <x:c r="C96" s="42"/>
      <x:c r="D96" s="42"/>
      <x:c r="E96" s="42"/>
      <x:c r="F96" s="42"/>
      <x:c r="G96" s="42"/>
      <x:c r="H96" s="42"/>
      <x:c r="I96" s="45"/>
    </x:row>
    <x:row r="97">
      <x:c r="A97" s="41"/>
      <x:c r="B97" s="42"/>
      <x:c r="C97" s="42"/>
      <x:c r="D97" s="42"/>
      <x:c r="E97" s="42"/>
      <x:c r="F97" s="42"/>
      <x:c r="G97" s="42"/>
      <x:c r="H97" s="42"/>
      <x:c r="I97" s="45"/>
    </x:row>
    <x:row r="98">
      <x:c r="A98" s="41"/>
      <x:c r="B98" s="42"/>
      <x:c r="C98" s="42"/>
      <x:c r="D98" s="42"/>
      <x:c r="E98" s="42"/>
      <x:c r="F98" s="42"/>
      <x:c r="G98" s="42"/>
      <x:c r="H98" s="42"/>
      <x:c r="I98" s="45"/>
    </x:row>
    <x:row r="99">
      <x:c r="A99" s="41"/>
      <x:c r="B99" s="42"/>
      <x:c r="C99" s="42"/>
      <x:c r="D99" s="42"/>
      <x:c r="E99" s="42"/>
      <x:c r="F99" s="42"/>
      <x:c r="G99" s="42"/>
      <x:c r="H99" s="42"/>
      <x:c r="I99" s="45"/>
    </x:row>
    <x:row r="100">
      <x:c r="A100" s="48"/>
      <x:c r="B100" s="49"/>
      <x:c r="C100" s="49"/>
      <x:c r="D100" s="49"/>
      <x:c r="E100" s="49"/>
      <x:c r="F100" s="49"/>
      <x:c r="G100" s="49"/>
      <x:c r="H100" s="49"/>
      <x:c r="I100" s="50"/>
    </x:row>
  </x:sheetData>
  <x:mergeCells>
    <x:mergeCell ref="A1:I1"/>
  </x:mergeCells>
  <x:dataValidations count="1">
    <x:dataValidation type="list" sqref="A4:A13">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16" hidden="0" customWidth="1"/>
    <x:col min="3" max="3" width="34" hidden="0" customWidth="1"/>
    <x:col min="4" max="4" width="38" hidden="0" customWidth="1"/>
    <x:col min="5" max="5" width="22" hidden="0" customWidth="1"/>
    <x:col min="6" max="6" width="28" hidden="0" customWidth="1"/>
    <x:col min="7" max="7" width="16" hidden="0" customWidth="1"/>
    <x:col min="8" max="8" width="16" hidden="0" customWidth="1"/>
    <x:col min="9" max="9" width="16" hidden="0" customWidth="1"/>
  </x:cols>
  <x:sheetData>
    <x:row r="1">
      <x:c r="A1" s="36" t="str">
        <x:v>Teaching Learning Material</x:v>
      </x:c>
      <x:c r="B1" s="13"/>
      <x:c r="C1" s="13"/>
      <x:c r="D1" s="13"/>
      <x:c r="E1" s="13"/>
      <x:c r="F1" s="13"/>
      <x:c r="G1" s="13"/>
      <x:c r="H1" s="13"/>
      <x:c r="I1" s="13"/>
    </x:row>
    <x:row r="3">
      <x:c r="A3" s="38" t="str">
        <x:v>Select</x:v>
      </x:c>
      <x:c r="B3" s="39" t="str">
        <x:v>Component ID</x:v>
      </x:c>
      <x:c r="C3" s="39" t="str">
        <x:v>Portal Sub Item</x:v>
      </x:c>
      <x:c r="D3" s="39" t="str">
        <x:v>Mission Component</x:v>
      </x:c>
      <x:c r="E3" s="39" t="str">
        <x:v>Unit</x:v>
      </x:c>
      <x:c r="F3" s="39" t="str">
        <x:v>Recommended Quantity Formula</x:v>
      </x:c>
      <x:c r="G3" s="39" t="str">
        <x:v>Quantity</x:v>
      </x:c>
      <x:c r="H3" s="39" t="str">
        <x:v>Planning Unit Cost (₹)</x:v>
      </x:c>
      <x:c r="I3" s="40" t="str">
        <x:v>Total Amount (₹)</x:v>
      </x:c>
    </x:row>
    <x:row r="4">
      <x:c r="A4" s="41" t="str">
        <x:v>No</x:v>
      </x:c>
      <x:c r="B4" s="42" t="str">
        <x:v>GFS-TLM-001</x:v>
      </x:c>
      <x:c r="C4" s="42" t="str">
        <x:v>E-content and Software</x:v>
      </x:c>
      <x:c r="D4" s="42" t="str">
        <x:v>Educational E-content / Software</x:v>
      </x:c>
      <x:c r="E4" s="42" t="str">
        <x:v>In number</x:v>
      </x:c>
      <x:c r="F4" s="42" t="str">
        <x:v>1 license/package</x:v>
      </x:c>
      <x:c r="G4" s="43" t="n">
        <x:v>0</x:v>
      </x:c>
      <x:c r="H4" s="43" t="n">
        <x:v>25000</x:v>
      </x:c>
      <x:c r="I4" s="44" t="n">
        <x:f>IF(A4="Yes",G4*H4,0)</x:f>
        <x:v>0</x:v>
      </x:c>
    </x:row>
    <x:row r="5">
      <x:c r="A5" s="41" t="str">
        <x:v>No</x:v>
      </x:c>
      <x:c r="B5" s="42" t="str">
        <x:v>GFS-TLM-002</x:v>
      </x:c>
      <x:c r="C5" s="42" t="str">
        <x:v>Subscription to Children Magazines and Newspapers (digital/Physical)</x:v>
      </x:c>
      <x:c r="D5" s="42" t="str">
        <x:v>Magazine/Newspaper Subscription</x:v>
      </x:c>
      <x:c r="E5" s="42" t="str">
        <x:v>In number</x:v>
      </x:c>
      <x:c r="F5" s="42" t="str">
        <x:v>1 annual subscription</x:v>
      </x:c>
      <x:c r="G5" s="43" t="n">
        <x:v>0</x:v>
      </x:c>
      <x:c r="H5" s="43" t="n">
        <x:v>10000</x:v>
      </x:c>
      <x:c r="I5" s="44" t="n">
        <x:f>IF(A5="Yes",G5*H5,0)</x:f>
        <x:v>0</x:v>
      </x:c>
    </x:row>
    <x:row r="6">
      <x:c r="A6" s="41" t="str">
        <x:v>No</x:v>
      </x:c>
      <x:c r="B6" s="42" t="str">
        <x:v>GFS-TLM-003</x:v>
      </x:c>
      <x:c r="C6" s="42" t="str">
        <x:v>Toys, puzzles, puppets (digital/Physical)Board games &amp; Electronic/video games</x:v>
      </x:c>
      <x:c r="D6" s="42" t="str">
        <x:v>Learning Games Kit</x:v>
      </x:c>
      <x:c r="E6" s="42" t="str">
        <x:v>In number</x:v>
      </x:c>
      <x:c r="F6" s="42" t="str">
        <x:v>1 set</x:v>
      </x:c>
      <x:c r="G6" s="43" t="n">
        <x:v>0</x:v>
      </x:c>
      <x:c r="H6" s="43" t="n">
        <x:v>20000</x:v>
      </x:c>
      <x:c r="I6" s="44" t="n">
        <x:f>IF(A6="Yes",G6*H6,0)</x:f>
        <x:v>0</x:v>
      </x:c>
    </x:row>
    <x:row r="7">
      <x:c r="A7" s="41" t="str">
        <x:v>No</x:v>
      </x:c>
      <x:c r="B7" s="42" t="str">
        <x:v>GFS-TLM-004</x:v>
      </x:c>
      <x:c r="C7" s="42" t="str">
        <x:v>eLabs/OLABs</x:v>
      </x:c>
      <x:c r="D7" s="42" t="str">
        <x:v>eLabs / OLABs</x:v>
      </x:c>
      <x:c r="E7" s="42" t="str">
        <x:v>In number</x:v>
      </x:c>
      <x:c r="F7" s="42" t="str">
        <x:v>1 setup</x:v>
      </x:c>
      <x:c r="G7" s="43" t="n">
        <x:v>0</x:v>
      </x:c>
      <x:c r="H7" s="43" t="n">
        <x:v>75000</x:v>
      </x:c>
      <x:c r="I7" s="44" t="n">
        <x:f>IF(A7="Yes",G7*H7,0)</x:f>
        <x:v>0</x:v>
      </x:c>
    </x:row>
    <x:row r="8">
      <x:c r="A8" s="41"/>
      <x:c r="B8" s="42"/>
      <x:c r="C8" s="42"/>
      <x:c r="D8" s="42"/>
      <x:c r="E8" s="42"/>
      <x:c r="F8" s="42"/>
      <x:c r="G8" s="42"/>
      <x:c r="H8" s="42"/>
      <x:c r="I8" s="45"/>
    </x:row>
    <x:row r="9">
      <x:c r="A9" s="41"/>
      <x:c r="B9" s="42"/>
      <x:c r="C9" s="42"/>
      <x:c r="D9" s="42"/>
      <x:c r="E9" s="42"/>
      <x:c r="F9" s="42"/>
      <x:c r="G9" s="42"/>
      <x:c r="H9" s="46" t="str">
        <x:v>Work Area Total</x:v>
      </x:c>
      <x:c r="I9" s="47" t="n">
        <x:f>SUM(I4:I7)</x:f>
        <x:v>0</x:v>
      </x:c>
    </x:row>
    <x:row r="10">
      <x:c r="A10" s="41"/>
      <x:c r="B10" s="42"/>
      <x:c r="C10" s="42"/>
      <x:c r="D10" s="42"/>
      <x:c r="E10" s="42"/>
      <x:c r="F10" s="42"/>
      <x:c r="G10" s="42"/>
      <x:c r="H10" s="42"/>
      <x:c r="I10" s="45"/>
    </x:row>
    <x:row r="11">
      <x:c r="A11" s="41"/>
      <x:c r="B11" s="42"/>
      <x:c r="C11" s="42"/>
      <x:c r="D11" s="42"/>
      <x:c r="E11" s="42"/>
      <x:c r="F11" s="42"/>
      <x:c r="G11" s="42"/>
      <x:c r="H11" s="42"/>
      <x:c r="I11" s="45"/>
    </x:row>
    <x:row r="12">
      <x:c r="A12" s="41"/>
      <x:c r="B12" s="42"/>
      <x:c r="C12" s="42"/>
      <x:c r="D12" s="42"/>
      <x:c r="E12" s="42"/>
      <x:c r="F12" s="42"/>
      <x:c r="G12" s="42"/>
      <x:c r="H12" s="42"/>
      <x:c r="I12" s="45"/>
    </x:row>
    <x:row r="13">
      <x:c r="A13" s="41"/>
      <x:c r="B13" s="42"/>
      <x:c r="C13" s="42"/>
      <x:c r="D13" s="42"/>
      <x:c r="E13" s="42"/>
      <x:c r="F13" s="42"/>
      <x:c r="G13" s="42"/>
      <x:c r="H13" s="42"/>
      <x:c r="I13" s="45"/>
    </x:row>
    <x:row r="14">
      <x:c r="A14" s="41"/>
      <x:c r="B14" s="42"/>
      <x:c r="C14" s="42"/>
      <x:c r="D14" s="42"/>
      <x:c r="E14" s="42"/>
      <x:c r="F14" s="42"/>
      <x:c r="G14" s="42"/>
      <x:c r="H14" s="42"/>
      <x:c r="I14" s="45"/>
    </x:row>
    <x:row r="15">
      <x:c r="A15" s="41"/>
      <x:c r="B15" s="42"/>
      <x:c r="C15" s="42"/>
      <x:c r="D15" s="42"/>
      <x:c r="E15" s="42"/>
      <x:c r="F15" s="42"/>
      <x:c r="G15" s="42"/>
      <x:c r="H15" s="42"/>
      <x:c r="I15" s="45"/>
    </x:row>
    <x:row r="16">
      <x:c r="A16" s="41"/>
      <x:c r="B16" s="42"/>
      <x:c r="C16" s="42"/>
      <x:c r="D16" s="42"/>
      <x:c r="E16" s="42"/>
      <x:c r="F16" s="42"/>
      <x:c r="G16" s="42"/>
      <x:c r="H16" s="42"/>
      <x:c r="I16" s="45"/>
    </x:row>
    <x:row r="17">
      <x:c r="A17" s="41"/>
      <x:c r="B17" s="42"/>
      <x:c r="C17" s="42"/>
      <x:c r="D17" s="42"/>
      <x:c r="E17" s="42"/>
      <x:c r="F17" s="42"/>
      <x:c r="G17" s="42"/>
      <x:c r="H17" s="42"/>
      <x:c r="I17" s="45"/>
    </x:row>
    <x:row r="18">
      <x:c r="A18" s="41"/>
      <x:c r="B18" s="42"/>
      <x:c r="C18" s="42"/>
      <x:c r="D18" s="42"/>
      <x:c r="E18" s="42"/>
      <x:c r="F18" s="42"/>
      <x:c r="G18" s="42"/>
      <x:c r="H18" s="42"/>
      <x:c r="I18" s="45"/>
    </x:row>
    <x:row r="19">
      <x:c r="A19" s="41"/>
      <x:c r="B19" s="42"/>
      <x:c r="C19" s="42"/>
      <x:c r="D19" s="42"/>
      <x:c r="E19" s="42"/>
      <x:c r="F19" s="42"/>
      <x:c r="G19" s="42"/>
      <x:c r="H19" s="42"/>
      <x:c r="I19" s="45"/>
    </x:row>
    <x:row r="20">
      <x:c r="A20" s="41"/>
      <x:c r="B20" s="42"/>
      <x:c r="C20" s="42"/>
      <x:c r="D20" s="42"/>
      <x:c r="E20" s="42"/>
      <x:c r="F20" s="42"/>
      <x:c r="G20" s="42"/>
      <x:c r="H20" s="42"/>
      <x:c r="I20" s="45"/>
    </x:row>
    <x:row r="21">
      <x:c r="A21" s="41"/>
      <x:c r="B21" s="42"/>
      <x:c r="C21" s="42"/>
      <x:c r="D21" s="42"/>
      <x:c r="E21" s="42"/>
      <x:c r="F21" s="42"/>
      <x:c r="G21" s="42"/>
      <x:c r="H21" s="42"/>
      <x:c r="I21" s="45"/>
    </x:row>
    <x:row r="22">
      <x:c r="A22" s="41"/>
      <x:c r="B22" s="42"/>
      <x:c r="C22" s="42"/>
      <x:c r="D22" s="42"/>
      <x:c r="E22" s="42"/>
      <x:c r="F22" s="42"/>
      <x:c r="G22" s="42"/>
      <x:c r="H22" s="42"/>
      <x:c r="I22" s="45"/>
    </x:row>
    <x:row r="23">
      <x:c r="A23" s="41"/>
      <x:c r="B23" s="42"/>
      <x:c r="C23" s="42"/>
      <x:c r="D23" s="42"/>
      <x:c r="E23" s="42"/>
      <x:c r="F23" s="42"/>
      <x:c r="G23" s="42"/>
      <x:c r="H23" s="42"/>
      <x:c r="I23" s="45"/>
    </x:row>
    <x:row r="24">
      <x:c r="A24" s="41"/>
      <x:c r="B24" s="42"/>
      <x:c r="C24" s="42"/>
      <x:c r="D24" s="42"/>
      <x:c r="E24" s="42"/>
      <x:c r="F24" s="42"/>
      <x:c r="G24" s="42"/>
      <x:c r="H24" s="42"/>
      <x:c r="I24" s="45"/>
    </x:row>
    <x:row r="25">
      <x:c r="A25" s="41"/>
      <x:c r="B25" s="42"/>
      <x:c r="C25" s="42"/>
      <x:c r="D25" s="42"/>
      <x:c r="E25" s="42"/>
      <x:c r="F25" s="42"/>
      <x:c r="G25" s="42"/>
      <x:c r="H25" s="42"/>
      <x:c r="I25" s="45"/>
    </x:row>
    <x:row r="26">
      <x:c r="A26" s="41"/>
      <x:c r="B26" s="42"/>
      <x:c r="C26" s="42"/>
      <x:c r="D26" s="42"/>
      <x:c r="E26" s="42"/>
      <x:c r="F26" s="42"/>
      <x:c r="G26" s="42"/>
      <x:c r="H26" s="42"/>
      <x:c r="I26" s="45"/>
    </x:row>
    <x:row r="27">
      <x:c r="A27" s="41"/>
      <x:c r="B27" s="42"/>
      <x:c r="C27" s="42"/>
      <x:c r="D27" s="42"/>
      <x:c r="E27" s="42"/>
      <x:c r="F27" s="42"/>
      <x:c r="G27" s="42"/>
      <x:c r="H27" s="42"/>
      <x:c r="I27" s="45"/>
    </x:row>
    <x:row r="28">
      <x:c r="A28" s="41"/>
      <x:c r="B28" s="42"/>
      <x:c r="C28" s="42"/>
      <x:c r="D28" s="42"/>
      <x:c r="E28" s="42"/>
      <x:c r="F28" s="42"/>
      <x:c r="G28" s="42"/>
      <x:c r="H28" s="42"/>
      <x:c r="I28" s="45"/>
    </x:row>
    <x:row r="29">
      <x:c r="A29" s="41"/>
      <x:c r="B29" s="42"/>
      <x:c r="C29" s="42"/>
      <x:c r="D29" s="42"/>
      <x:c r="E29" s="42"/>
      <x:c r="F29" s="42"/>
      <x:c r="G29" s="42"/>
      <x:c r="H29" s="42"/>
      <x:c r="I29" s="45"/>
    </x:row>
    <x:row r="30">
      <x:c r="A30" s="41"/>
      <x:c r="B30" s="42"/>
      <x:c r="C30" s="42"/>
      <x:c r="D30" s="42"/>
      <x:c r="E30" s="42"/>
      <x:c r="F30" s="42"/>
      <x:c r="G30" s="42"/>
      <x:c r="H30" s="42"/>
      <x:c r="I30" s="45"/>
    </x:row>
    <x:row r="31">
      <x:c r="A31" s="41"/>
      <x:c r="B31" s="42"/>
      <x:c r="C31" s="42"/>
      <x:c r="D31" s="42"/>
      <x:c r="E31" s="42"/>
      <x:c r="F31" s="42"/>
      <x:c r="G31" s="42"/>
      <x:c r="H31" s="42"/>
      <x:c r="I31" s="45"/>
    </x:row>
    <x:row r="32">
      <x:c r="A32" s="41"/>
      <x:c r="B32" s="42"/>
      <x:c r="C32" s="42"/>
      <x:c r="D32" s="42"/>
      <x:c r="E32" s="42"/>
      <x:c r="F32" s="42"/>
      <x:c r="G32" s="42"/>
      <x:c r="H32" s="42"/>
      <x:c r="I32" s="45"/>
    </x:row>
    <x:row r="33">
      <x:c r="A33" s="41"/>
      <x:c r="B33" s="42"/>
      <x:c r="C33" s="42"/>
      <x:c r="D33" s="42"/>
      <x:c r="E33" s="42"/>
      <x:c r="F33" s="42"/>
      <x:c r="G33" s="42"/>
      <x:c r="H33" s="42"/>
      <x:c r="I33" s="45"/>
    </x:row>
    <x:row r="34">
      <x:c r="A34" s="41"/>
      <x:c r="B34" s="42"/>
      <x:c r="C34" s="42"/>
      <x:c r="D34" s="42"/>
      <x:c r="E34" s="42"/>
      <x:c r="F34" s="42"/>
      <x:c r="G34" s="42"/>
      <x:c r="H34" s="42"/>
      <x:c r="I34" s="45"/>
    </x:row>
    <x:row r="35">
      <x:c r="A35" s="41"/>
      <x:c r="B35" s="42"/>
      <x:c r="C35" s="42"/>
      <x:c r="D35" s="42"/>
      <x:c r="E35" s="42"/>
      <x:c r="F35" s="42"/>
      <x:c r="G35" s="42"/>
      <x:c r="H35" s="42"/>
      <x:c r="I35" s="45"/>
    </x:row>
    <x:row r="36">
      <x:c r="A36" s="41"/>
      <x:c r="B36" s="42"/>
      <x:c r="C36" s="42"/>
      <x:c r="D36" s="42"/>
      <x:c r="E36" s="42"/>
      <x:c r="F36" s="42"/>
      <x:c r="G36" s="42"/>
      <x:c r="H36" s="42"/>
      <x:c r="I36" s="45"/>
    </x:row>
    <x:row r="37">
      <x:c r="A37" s="41"/>
      <x:c r="B37" s="42"/>
      <x:c r="C37" s="42"/>
      <x:c r="D37" s="42"/>
      <x:c r="E37" s="42"/>
      <x:c r="F37" s="42"/>
      <x:c r="G37" s="42"/>
      <x:c r="H37" s="42"/>
      <x:c r="I37" s="45"/>
    </x:row>
    <x:row r="38">
      <x:c r="A38" s="41"/>
      <x:c r="B38" s="42"/>
      <x:c r="C38" s="42"/>
      <x:c r="D38" s="42"/>
      <x:c r="E38" s="42"/>
      <x:c r="F38" s="42"/>
      <x:c r="G38" s="42"/>
      <x:c r="H38" s="42"/>
      <x:c r="I38" s="45"/>
    </x:row>
    <x:row r="39">
      <x:c r="A39" s="41"/>
      <x:c r="B39" s="42"/>
      <x:c r="C39" s="42"/>
      <x:c r="D39" s="42"/>
      <x:c r="E39" s="42"/>
      <x:c r="F39" s="42"/>
      <x:c r="G39" s="42"/>
      <x:c r="H39" s="42"/>
      <x:c r="I39" s="45"/>
    </x:row>
    <x:row r="40">
      <x:c r="A40" s="41"/>
      <x:c r="B40" s="42"/>
      <x:c r="C40" s="42"/>
      <x:c r="D40" s="42"/>
      <x:c r="E40" s="42"/>
      <x:c r="F40" s="42"/>
      <x:c r="G40" s="42"/>
      <x:c r="H40" s="42"/>
      <x:c r="I40" s="45"/>
    </x:row>
    <x:row r="41">
      <x:c r="A41" s="41"/>
      <x:c r="B41" s="42"/>
      <x:c r="C41" s="42"/>
      <x:c r="D41" s="42"/>
      <x:c r="E41" s="42"/>
      <x:c r="F41" s="42"/>
      <x:c r="G41" s="42"/>
      <x:c r="H41" s="42"/>
      <x:c r="I41" s="45"/>
    </x:row>
    <x:row r="42">
      <x:c r="A42" s="41"/>
      <x:c r="B42" s="42"/>
      <x:c r="C42" s="42"/>
      <x:c r="D42" s="42"/>
      <x:c r="E42" s="42"/>
      <x:c r="F42" s="42"/>
      <x:c r="G42" s="42"/>
      <x:c r="H42" s="42"/>
      <x:c r="I42" s="45"/>
    </x:row>
    <x:row r="43">
      <x:c r="A43" s="41"/>
      <x:c r="B43" s="42"/>
      <x:c r="C43" s="42"/>
      <x:c r="D43" s="42"/>
      <x:c r="E43" s="42"/>
      <x:c r="F43" s="42"/>
      <x:c r="G43" s="42"/>
      <x:c r="H43" s="42"/>
      <x:c r="I43" s="45"/>
    </x:row>
    <x:row r="44">
      <x:c r="A44" s="41"/>
      <x:c r="B44" s="42"/>
      <x:c r="C44" s="42"/>
      <x:c r="D44" s="42"/>
      <x:c r="E44" s="42"/>
      <x:c r="F44" s="42"/>
      <x:c r="G44" s="42"/>
      <x:c r="H44" s="42"/>
      <x:c r="I44" s="45"/>
    </x:row>
    <x:row r="45">
      <x:c r="A45" s="41"/>
      <x:c r="B45" s="42"/>
      <x:c r="C45" s="42"/>
      <x:c r="D45" s="42"/>
      <x:c r="E45" s="42"/>
      <x:c r="F45" s="42"/>
      <x:c r="G45" s="42"/>
      <x:c r="H45" s="42"/>
      <x:c r="I45" s="45"/>
    </x:row>
    <x:row r="46">
      <x:c r="A46" s="41"/>
      <x:c r="B46" s="42"/>
      <x:c r="C46" s="42"/>
      <x:c r="D46" s="42"/>
      <x:c r="E46" s="42"/>
      <x:c r="F46" s="42"/>
      <x:c r="G46" s="42"/>
      <x:c r="H46" s="42"/>
      <x:c r="I46" s="45"/>
    </x:row>
    <x:row r="47">
      <x:c r="A47" s="41"/>
      <x:c r="B47" s="42"/>
      <x:c r="C47" s="42"/>
      <x:c r="D47" s="42"/>
      <x:c r="E47" s="42"/>
      <x:c r="F47" s="42"/>
      <x:c r="G47" s="42"/>
      <x:c r="H47" s="42"/>
      <x:c r="I47" s="45"/>
    </x:row>
    <x:row r="48">
      <x:c r="A48" s="41"/>
      <x:c r="B48" s="42"/>
      <x:c r="C48" s="42"/>
      <x:c r="D48" s="42"/>
      <x:c r="E48" s="42"/>
      <x:c r="F48" s="42"/>
      <x:c r="G48" s="42"/>
      <x:c r="H48" s="42"/>
      <x:c r="I48" s="45"/>
    </x:row>
    <x:row r="49">
      <x:c r="A49" s="41"/>
      <x:c r="B49" s="42"/>
      <x:c r="C49" s="42"/>
      <x:c r="D49" s="42"/>
      <x:c r="E49" s="42"/>
      <x:c r="F49" s="42"/>
      <x:c r="G49" s="42"/>
      <x:c r="H49" s="42"/>
      <x:c r="I49" s="45"/>
    </x:row>
    <x:row r="50">
      <x:c r="A50" s="41"/>
      <x:c r="B50" s="42"/>
      <x:c r="C50" s="42"/>
      <x:c r="D50" s="42"/>
      <x:c r="E50" s="42"/>
      <x:c r="F50" s="42"/>
      <x:c r="G50" s="42"/>
      <x:c r="H50" s="42"/>
      <x:c r="I50" s="45"/>
    </x:row>
    <x:row r="51">
      <x:c r="A51" s="41"/>
      <x:c r="B51" s="42"/>
      <x:c r="C51" s="42"/>
      <x:c r="D51" s="42"/>
      <x:c r="E51" s="42"/>
      <x:c r="F51" s="42"/>
      <x:c r="G51" s="42"/>
      <x:c r="H51" s="42"/>
      <x:c r="I51" s="45"/>
    </x:row>
    <x:row r="52">
      <x:c r="A52" s="41"/>
      <x:c r="B52" s="42"/>
      <x:c r="C52" s="42"/>
      <x:c r="D52" s="42"/>
      <x:c r="E52" s="42"/>
      <x:c r="F52" s="42"/>
      <x:c r="G52" s="42"/>
      <x:c r="H52" s="42"/>
      <x:c r="I52" s="45"/>
    </x:row>
    <x:row r="53">
      <x:c r="A53" s="41"/>
      <x:c r="B53" s="42"/>
      <x:c r="C53" s="42"/>
      <x:c r="D53" s="42"/>
      <x:c r="E53" s="42"/>
      <x:c r="F53" s="42"/>
      <x:c r="G53" s="42"/>
      <x:c r="H53" s="42"/>
      <x:c r="I53" s="45"/>
    </x:row>
    <x:row r="54">
      <x:c r="A54" s="41"/>
      <x:c r="B54" s="42"/>
      <x:c r="C54" s="42"/>
      <x:c r="D54" s="42"/>
      <x:c r="E54" s="42"/>
      <x:c r="F54" s="42"/>
      <x:c r="G54" s="42"/>
      <x:c r="H54" s="42"/>
      <x:c r="I54" s="45"/>
    </x:row>
    <x:row r="55">
      <x:c r="A55" s="41"/>
      <x:c r="B55" s="42"/>
      <x:c r="C55" s="42"/>
      <x:c r="D55" s="42"/>
      <x:c r="E55" s="42"/>
      <x:c r="F55" s="42"/>
      <x:c r="G55" s="42"/>
      <x:c r="H55" s="42"/>
      <x:c r="I55" s="45"/>
    </x:row>
    <x:row r="56">
      <x:c r="A56" s="41"/>
      <x:c r="B56" s="42"/>
      <x:c r="C56" s="42"/>
      <x:c r="D56" s="42"/>
      <x:c r="E56" s="42"/>
      <x:c r="F56" s="42"/>
      <x:c r="G56" s="42"/>
      <x:c r="H56" s="42"/>
      <x:c r="I56" s="45"/>
    </x:row>
    <x:row r="57">
      <x:c r="A57" s="41"/>
      <x:c r="B57" s="42"/>
      <x:c r="C57" s="42"/>
      <x:c r="D57" s="42"/>
      <x:c r="E57" s="42"/>
      <x:c r="F57" s="42"/>
      <x:c r="G57" s="42"/>
      <x:c r="H57" s="42"/>
      <x:c r="I57" s="45"/>
    </x:row>
    <x:row r="58">
      <x:c r="A58" s="41"/>
      <x:c r="B58" s="42"/>
      <x:c r="C58" s="42"/>
      <x:c r="D58" s="42"/>
      <x:c r="E58" s="42"/>
      <x:c r="F58" s="42"/>
      <x:c r="G58" s="42"/>
      <x:c r="H58" s="42"/>
      <x:c r="I58" s="45"/>
    </x:row>
    <x:row r="59">
      <x:c r="A59" s="41"/>
      <x:c r="B59" s="42"/>
      <x:c r="C59" s="42"/>
      <x:c r="D59" s="42"/>
      <x:c r="E59" s="42"/>
      <x:c r="F59" s="42"/>
      <x:c r="G59" s="42"/>
      <x:c r="H59" s="42"/>
      <x:c r="I59" s="45"/>
    </x:row>
    <x:row r="60">
      <x:c r="A60" s="41"/>
      <x:c r="B60" s="42"/>
      <x:c r="C60" s="42"/>
      <x:c r="D60" s="42"/>
      <x:c r="E60" s="42"/>
      <x:c r="F60" s="42"/>
      <x:c r="G60" s="42"/>
      <x:c r="H60" s="42"/>
      <x:c r="I60" s="45"/>
    </x:row>
    <x:row r="61">
      <x:c r="A61" s="41"/>
      <x:c r="B61" s="42"/>
      <x:c r="C61" s="42"/>
      <x:c r="D61" s="42"/>
      <x:c r="E61" s="42"/>
      <x:c r="F61" s="42"/>
      <x:c r="G61" s="42"/>
      <x:c r="H61" s="42"/>
      <x:c r="I61" s="45"/>
    </x:row>
    <x:row r="62">
      <x:c r="A62" s="41"/>
      <x:c r="B62" s="42"/>
      <x:c r="C62" s="42"/>
      <x:c r="D62" s="42"/>
      <x:c r="E62" s="42"/>
      <x:c r="F62" s="42"/>
      <x:c r="G62" s="42"/>
      <x:c r="H62" s="42"/>
      <x:c r="I62" s="45"/>
    </x:row>
    <x:row r="63">
      <x:c r="A63" s="41"/>
      <x:c r="B63" s="42"/>
      <x:c r="C63" s="42"/>
      <x:c r="D63" s="42"/>
      <x:c r="E63" s="42"/>
      <x:c r="F63" s="42"/>
      <x:c r="G63" s="42"/>
      <x:c r="H63" s="42"/>
      <x:c r="I63" s="45"/>
    </x:row>
    <x:row r="64">
      <x:c r="A64" s="41"/>
      <x:c r="B64" s="42"/>
      <x:c r="C64" s="42"/>
      <x:c r="D64" s="42"/>
      <x:c r="E64" s="42"/>
      <x:c r="F64" s="42"/>
      <x:c r="G64" s="42"/>
      <x:c r="H64" s="42"/>
      <x:c r="I64" s="45"/>
    </x:row>
    <x:row r="65">
      <x:c r="A65" s="41"/>
      <x:c r="B65" s="42"/>
      <x:c r="C65" s="42"/>
      <x:c r="D65" s="42"/>
      <x:c r="E65" s="42"/>
      <x:c r="F65" s="42"/>
      <x:c r="G65" s="42"/>
      <x:c r="H65" s="42"/>
      <x:c r="I65" s="45"/>
    </x:row>
    <x:row r="66">
      <x:c r="A66" s="41"/>
      <x:c r="B66" s="42"/>
      <x:c r="C66" s="42"/>
      <x:c r="D66" s="42"/>
      <x:c r="E66" s="42"/>
      <x:c r="F66" s="42"/>
      <x:c r="G66" s="42"/>
      <x:c r="H66" s="42"/>
      <x:c r="I66" s="45"/>
    </x:row>
    <x:row r="67">
      <x:c r="A67" s="41"/>
      <x:c r="B67" s="42"/>
      <x:c r="C67" s="42"/>
      <x:c r="D67" s="42"/>
      <x:c r="E67" s="42"/>
      <x:c r="F67" s="42"/>
      <x:c r="G67" s="42"/>
      <x:c r="H67" s="42"/>
      <x:c r="I67" s="45"/>
    </x:row>
    <x:row r="68">
      <x:c r="A68" s="41"/>
      <x:c r="B68" s="42"/>
      <x:c r="C68" s="42"/>
      <x:c r="D68" s="42"/>
      <x:c r="E68" s="42"/>
      <x:c r="F68" s="42"/>
      <x:c r="G68" s="42"/>
      <x:c r="H68" s="42"/>
      <x:c r="I68" s="45"/>
    </x:row>
    <x:row r="69">
      <x:c r="A69" s="41"/>
      <x:c r="B69" s="42"/>
      <x:c r="C69" s="42"/>
      <x:c r="D69" s="42"/>
      <x:c r="E69" s="42"/>
      <x:c r="F69" s="42"/>
      <x:c r="G69" s="42"/>
      <x:c r="H69" s="42"/>
      <x:c r="I69" s="45"/>
    </x:row>
    <x:row r="70">
      <x:c r="A70" s="41"/>
      <x:c r="B70" s="42"/>
      <x:c r="C70" s="42"/>
      <x:c r="D70" s="42"/>
      <x:c r="E70" s="42"/>
      <x:c r="F70" s="42"/>
      <x:c r="G70" s="42"/>
      <x:c r="H70" s="42"/>
      <x:c r="I70" s="45"/>
    </x:row>
    <x:row r="71">
      <x:c r="A71" s="41"/>
      <x:c r="B71" s="42"/>
      <x:c r="C71" s="42"/>
      <x:c r="D71" s="42"/>
      <x:c r="E71" s="42"/>
      <x:c r="F71" s="42"/>
      <x:c r="G71" s="42"/>
      <x:c r="H71" s="42"/>
      <x:c r="I71" s="45"/>
    </x:row>
    <x:row r="72">
      <x:c r="A72" s="41"/>
      <x:c r="B72" s="42"/>
      <x:c r="C72" s="42"/>
      <x:c r="D72" s="42"/>
      <x:c r="E72" s="42"/>
      <x:c r="F72" s="42"/>
      <x:c r="G72" s="42"/>
      <x:c r="H72" s="42"/>
      <x:c r="I72" s="45"/>
    </x:row>
    <x:row r="73">
      <x:c r="A73" s="41"/>
      <x:c r="B73" s="42"/>
      <x:c r="C73" s="42"/>
      <x:c r="D73" s="42"/>
      <x:c r="E73" s="42"/>
      <x:c r="F73" s="42"/>
      <x:c r="G73" s="42"/>
      <x:c r="H73" s="42"/>
      <x:c r="I73" s="45"/>
    </x:row>
    <x:row r="74">
      <x:c r="A74" s="41"/>
      <x:c r="B74" s="42"/>
      <x:c r="C74" s="42"/>
      <x:c r="D74" s="42"/>
      <x:c r="E74" s="42"/>
      <x:c r="F74" s="42"/>
      <x:c r="G74" s="42"/>
      <x:c r="H74" s="42"/>
      <x:c r="I74" s="45"/>
    </x:row>
    <x:row r="75">
      <x:c r="A75" s="41"/>
      <x:c r="B75" s="42"/>
      <x:c r="C75" s="42"/>
      <x:c r="D75" s="42"/>
      <x:c r="E75" s="42"/>
      <x:c r="F75" s="42"/>
      <x:c r="G75" s="42"/>
      <x:c r="H75" s="42"/>
      <x:c r="I75" s="45"/>
    </x:row>
    <x:row r="76">
      <x:c r="A76" s="41"/>
      <x:c r="B76" s="42"/>
      <x:c r="C76" s="42"/>
      <x:c r="D76" s="42"/>
      <x:c r="E76" s="42"/>
      <x:c r="F76" s="42"/>
      <x:c r="G76" s="42"/>
      <x:c r="H76" s="42"/>
      <x:c r="I76" s="45"/>
    </x:row>
    <x:row r="77">
      <x:c r="A77" s="41"/>
      <x:c r="B77" s="42"/>
      <x:c r="C77" s="42"/>
      <x:c r="D77" s="42"/>
      <x:c r="E77" s="42"/>
      <x:c r="F77" s="42"/>
      <x:c r="G77" s="42"/>
      <x:c r="H77" s="42"/>
      <x:c r="I77" s="45"/>
    </x:row>
    <x:row r="78">
      <x:c r="A78" s="41"/>
      <x:c r="B78" s="42"/>
      <x:c r="C78" s="42"/>
      <x:c r="D78" s="42"/>
      <x:c r="E78" s="42"/>
      <x:c r="F78" s="42"/>
      <x:c r="G78" s="42"/>
      <x:c r="H78" s="42"/>
      <x:c r="I78" s="45"/>
    </x:row>
    <x:row r="79">
      <x:c r="A79" s="41"/>
      <x:c r="B79" s="42"/>
      <x:c r="C79" s="42"/>
      <x:c r="D79" s="42"/>
      <x:c r="E79" s="42"/>
      <x:c r="F79" s="42"/>
      <x:c r="G79" s="42"/>
      <x:c r="H79" s="42"/>
      <x:c r="I79" s="45"/>
    </x:row>
    <x:row r="80">
      <x:c r="A80" s="41"/>
      <x:c r="B80" s="42"/>
      <x:c r="C80" s="42"/>
      <x:c r="D80" s="42"/>
      <x:c r="E80" s="42"/>
      <x:c r="F80" s="42"/>
      <x:c r="G80" s="42"/>
      <x:c r="H80" s="42"/>
      <x:c r="I80" s="45"/>
    </x:row>
    <x:row r="81">
      <x:c r="A81" s="41"/>
      <x:c r="B81" s="42"/>
      <x:c r="C81" s="42"/>
      <x:c r="D81" s="42"/>
      <x:c r="E81" s="42"/>
      <x:c r="F81" s="42"/>
      <x:c r="G81" s="42"/>
      <x:c r="H81" s="42"/>
      <x:c r="I81" s="45"/>
    </x:row>
    <x:row r="82">
      <x:c r="A82" s="41"/>
      <x:c r="B82" s="42"/>
      <x:c r="C82" s="42"/>
      <x:c r="D82" s="42"/>
      <x:c r="E82" s="42"/>
      <x:c r="F82" s="42"/>
      <x:c r="G82" s="42"/>
      <x:c r="H82" s="42"/>
      <x:c r="I82" s="45"/>
    </x:row>
    <x:row r="83">
      <x:c r="A83" s="41"/>
      <x:c r="B83" s="42"/>
      <x:c r="C83" s="42"/>
      <x:c r="D83" s="42"/>
      <x:c r="E83" s="42"/>
      <x:c r="F83" s="42"/>
      <x:c r="G83" s="42"/>
      <x:c r="H83" s="42"/>
      <x:c r="I83" s="45"/>
    </x:row>
    <x:row r="84">
      <x:c r="A84" s="41"/>
      <x:c r="B84" s="42"/>
      <x:c r="C84" s="42"/>
      <x:c r="D84" s="42"/>
      <x:c r="E84" s="42"/>
      <x:c r="F84" s="42"/>
      <x:c r="G84" s="42"/>
      <x:c r="H84" s="42"/>
      <x:c r="I84" s="45"/>
    </x:row>
    <x:row r="85">
      <x:c r="A85" s="41"/>
      <x:c r="B85" s="42"/>
      <x:c r="C85" s="42"/>
      <x:c r="D85" s="42"/>
      <x:c r="E85" s="42"/>
      <x:c r="F85" s="42"/>
      <x:c r="G85" s="42"/>
      <x:c r="H85" s="42"/>
      <x:c r="I85" s="45"/>
    </x:row>
    <x:row r="86">
      <x:c r="A86" s="41"/>
      <x:c r="B86" s="42"/>
      <x:c r="C86" s="42"/>
      <x:c r="D86" s="42"/>
      <x:c r="E86" s="42"/>
      <x:c r="F86" s="42"/>
      <x:c r="G86" s="42"/>
      <x:c r="H86" s="42"/>
      <x:c r="I86" s="45"/>
    </x:row>
    <x:row r="87">
      <x:c r="A87" s="41"/>
      <x:c r="B87" s="42"/>
      <x:c r="C87" s="42"/>
      <x:c r="D87" s="42"/>
      <x:c r="E87" s="42"/>
      <x:c r="F87" s="42"/>
      <x:c r="G87" s="42"/>
      <x:c r="H87" s="42"/>
      <x:c r="I87" s="45"/>
    </x:row>
    <x:row r="88">
      <x:c r="A88" s="41"/>
      <x:c r="B88" s="42"/>
      <x:c r="C88" s="42"/>
      <x:c r="D88" s="42"/>
      <x:c r="E88" s="42"/>
      <x:c r="F88" s="42"/>
      <x:c r="G88" s="42"/>
      <x:c r="H88" s="42"/>
      <x:c r="I88" s="45"/>
    </x:row>
    <x:row r="89">
      <x:c r="A89" s="41"/>
      <x:c r="B89" s="42"/>
      <x:c r="C89" s="42"/>
      <x:c r="D89" s="42"/>
      <x:c r="E89" s="42"/>
      <x:c r="F89" s="42"/>
      <x:c r="G89" s="42"/>
      <x:c r="H89" s="42"/>
      <x:c r="I89" s="45"/>
    </x:row>
    <x:row r="90">
      <x:c r="A90" s="41"/>
      <x:c r="B90" s="42"/>
      <x:c r="C90" s="42"/>
      <x:c r="D90" s="42"/>
      <x:c r="E90" s="42"/>
      <x:c r="F90" s="42"/>
      <x:c r="G90" s="42"/>
      <x:c r="H90" s="42"/>
      <x:c r="I90" s="45"/>
    </x:row>
    <x:row r="91">
      <x:c r="A91" s="41"/>
      <x:c r="B91" s="42"/>
      <x:c r="C91" s="42"/>
      <x:c r="D91" s="42"/>
      <x:c r="E91" s="42"/>
      <x:c r="F91" s="42"/>
      <x:c r="G91" s="42"/>
      <x:c r="H91" s="42"/>
      <x:c r="I91" s="45"/>
    </x:row>
    <x:row r="92">
      <x:c r="A92" s="41"/>
      <x:c r="B92" s="42"/>
      <x:c r="C92" s="42"/>
      <x:c r="D92" s="42"/>
      <x:c r="E92" s="42"/>
      <x:c r="F92" s="42"/>
      <x:c r="G92" s="42"/>
      <x:c r="H92" s="42"/>
      <x:c r="I92" s="45"/>
    </x:row>
    <x:row r="93">
      <x:c r="A93" s="41"/>
      <x:c r="B93" s="42"/>
      <x:c r="C93" s="42"/>
      <x:c r="D93" s="42"/>
      <x:c r="E93" s="42"/>
      <x:c r="F93" s="42"/>
      <x:c r="G93" s="42"/>
      <x:c r="H93" s="42"/>
      <x:c r="I93" s="45"/>
    </x:row>
    <x:row r="94">
      <x:c r="A94" s="41"/>
      <x:c r="B94" s="42"/>
      <x:c r="C94" s="42"/>
      <x:c r="D94" s="42"/>
      <x:c r="E94" s="42"/>
      <x:c r="F94" s="42"/>
      <x:c r="G94" s="42"/>
      <x:c r="H94" s="42"/>
      <x:c r="I94" s="45"/>
    </x:row>
    <x:row r="95">
      <x:c r="A95" s="41"/>
      <x:c r="B95" s="42"/>
      <x:c r="C95" s="42"/>
      <x:c r="D95" s="42"/>
      <x:c r="E95" s="42"/>
      <x:c r="F95" s="42"/>
      <x:c r="G95" s="42"/>
      <x:c r="H95" s="42"/>
      <x:c r="I95" s="45"/>
    </x:row>
    <x:row r="96">
      <x:c r="A96" s="41"/>
      <x:c r="B96" s="42"/>
      <x:c r="C96" s="42"/>
      <x:c r="D96" s="42"/>
      <x:c r="E96" s="42"/>
      <x:c r="F96" s="42"/>
      <x:c r="G96" s="42"/>
      <x:c r="H96" s="42"/>
      <x:c r="I96" s="45"/>
    </x:row>
    <x:row r="97">
      <x:c r="A97" s="41"/>
      <x:c r="B97" s="42"/>
      <x:c r="C97" s="42"/>
      <x:c r="D97" s="42"/>
      <x:c r="E97" s="42"/>
      <x:c r="F97" s="42"/>
      <x:c r="G97" s="42"/>
      <x:c r="H97" s="42"/>
      <x:c r="I97" s="45"/>
    </x:row>
    <x:row r="98">
      <x:c r="A98" s="41"/>
      <x:c r="B98" s="42"/>
      <x:c r="C98" s="42"/>
      <x:c r="D98" s="42"/>
      <x:c r="E98" s="42"/>
      <x:c r="F98" s="42"/>
      <x:c r="G98" s="42"/>
      <x:c r="H98" s="42"/>
      <x:c r="I98" s="45"/>
    </x:row>
    <x:row r="99">
      <x:c r="A99" s="41"/>
      <x:c r="B99" s="42"/>
      <x:c r="C99" s="42"/>
      <x:c r="D99" s="42"/>
      <x:c r="E99" s="42"/>
      <x:c r="F99" s="42"/>
      <x:c r="G99" s="42"/>
      <x:c r="H99" s="42"/>
      <x:c r="I99" s="45"/>
    </x:row>
    <x:row r="100">
      <x:c r="A100" s="48"/>
      <x:c r="B100" s="49"/>
      <x:c r="C100" s="49"/>
      <x:c r="D100" s="49"/>
      <x:c r="E100" s="49"/>
      <x:c r="F100" s="49"/>
      <x:c r="G100" s="49"/>
      <x:c r="H100" s="49"/>
      <x:c r="I100" s="50"/>
    </x:row>
  </x:sheetData>
  <x:mergeCells>
    <x:mergeCell ref="A1:I1"/>
  </x:mergeCells>
  <x:dataValidations count="1">
    <x:dataValidation type="list" sqref="A4:A7">
      <x:formula1>"Yes,No"</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6" hidden="0" customWidth="1"/>
    <x:col min="2" max="2" width="16" hidden="0" customWidth="1"/>
    <x:col min="3" max="3" width="34" hidden="0" customWidth="1"/>
    <x:col min="4" max="4" width="38" hidden="0" customWidth="1"/>
    <x:col min="5" max="5" width="22" hidden="0" customWidth="1"/>
    <x:col min="6" max="6" width="28" hidden="0" customWidth="1"/>
    <x:col min="7" max="7" width="16" hidden="0" customWidth="1"/>
    <x:col min="8" max="8" width="16" hidden="0" customWidth="1"/>
    <x:col min="9" max="9" width="16" hidden="0" customWidth="1"/>
  </x:cols>
  <x:sheetData>
    <x:row r="1">
      <x:c r="A1" s="36" t="str">
        <x:v>Tool Kits and Miscellaneous Equipment</x:v>
      </x:c>
      <x:c r="B1" s="13"/>
      <x:c r="C1" s="13"/>
      <x:c r="D1" s="13"/>
      <x:c r="E1" s="13"/>
      <x:c r="F1" s="13"/>
      <x:c r="G1" s="13"/>
      <x:c r="H1" s="13"/>
      <x:c r="I1" s="13"/>
    </x:row>
    <x:row r="3">
      <x:c r="A3" s="38" t="str">
        <x:v>Select</x:v>
      </x:c>
      <x:c r="B3" s="39" t="str">
        <x:v>Component ID</x:v>
      </x:c>
      <x:c r="C3" s="39" t="str">
        <x:v>Portal Sub Item</x:v>
      </x:c>
      <x:c r="D3" s="39" t="str">
        <x:v>Mission Component</x:v>
      </x:c>
      <x:c r="E3" s="39" t="str">
        <x:v>Unit</x:v>
      </x:c>
      <x:c r="F3" s="39" t="str">
        <x:v>Recommended Quantity Formula</x:v>
      </x:c>
      <x:c r="G3" s="39" t="str">
        <x:v>Quantity</x:v>
      </x:c>
      <x:c r="H3" s="39" t="str">
        <x:v>Planning Unit Cost (₹)</x:v>
      </x:c>
      <x:c r="I3" s="40" t="str">
        <x:v>Total Amount (₹)</x:v>
      </x:c>
    </x:row>
    <x:row r="4">
      <x:c r="A4" s="41" t="str">
        <x:v>No</x:v>
      </x:c>
      <x:c r="B4" s="42" t="str">
        <x:v>GFS-TK-001</x:v>
      </x:c>
      <x:c r="C4" s="42" t="str">
        <x:v>Gardening Equipment</x:v>
      </x:c>
      <x:c r="D4" s="42" t="str">
        <x:v>Gardening Kit</x:v>
      </x:c>
      <x:c r="E4" s="42" t="str">
        <x:v>In number</x:v>
      </x:c>
      <x:c r="F4" s="42" t="str">
        <x:v>1 set</x:v>
      </x:c>
      <x:c r="G4" s="43" t="n">
        <x:v>0</x:v>
      </x:c>
      <x:c r="H4" s="43" t="n">
        <x:v>20000</x:v>
      </x:c>
      <x:c r="I4" s="44" t="n">
        <x:f>IF(A4="Yes",G4*H4,0)</x:f>
        <x:v>0</x:v>
      </x:c>
    </x:row>
    <x:row r="5">
      <x:c r="A5" s="41" t="str">
        <x:v>No</x:v>
      </x:c>
      <x:c r="B5" s="42" t="str">
        <x:v>GFS-TK-002</x:v>
      </x:c>
      <x:c r="C5" s="42" t="str">
        <x:v>Carpentry Tools and Equipment</x:v>
      </x:c>
      <x:c r="D5" s="42" t="str">
        <x:v>Carpentry Kit</x:v>
      </x:c>
      <x:c r="E5" s="42" t="str">
        <x:v>In number</x:v>
      </x:c>
      <x:c r="F5" s="42" t="str">
        <x:v>Need based</x:v>
      </x:c>
      <x:c r="G5" s="43" t="n">
        <x:v>0</x:v>
      </x:c>
      <x:c r="H5" s="43" t="n">
        <x:v>30000</x:v>
      </x:c>
      <x:c r="I5" s="44" t="n">
        <x:f>IF(A5="Yes",G5*H5,0)</x:f>
        <x:v>0</x:v>
      </x:c>
    </x:row>
    <x:row r="6">
      <x:c r="A6" s="41" t="str">
        <x:v>No</x:v>
      </x:c>
      <x:c r="B6" s="42" t="str">
        <x:v>GFS-TK-003</x:v>
      </x:c>
      <x:c r="C6" s="42" t="str">
        <x:v>Painting Equipment</x:v>
      </x:c>
      <x:c r="D6" s="42" t="str">
        <x:v>Painting Kit</x:v>
      </x:c>
      <x:c r="E6" s="42" t="str">
        <x:v>In number</x:v>
      </x:c>
      <x:c r="F6" s="42" t="str">
        <x:v>1 set</x:v>
      </x:c>
      <x:c r="G6" s="43" t="n">
        <x:v>0</x:v>
      </x:c>
      <x:c r="H6" s="43" t="n">
        <x:v>15000</x:v>
      </x:c>
      <x:c r="I6" s="44" t="n">
        <x:f>IF(A6="Yes",G6*H6,0)</x:f>
        <x:v>0</x:v>
      </x:c>
    </x:row>
    <x:row r="7">
      <x:c r="A7" s="41" t="str">
        <x:v>No</x:v>
      </x:c>
      <x:c r="B7" s="42" t="str">
        <x:v>GFS-TK-004</x:v>
      </x:c>
      <x:c r="C7" s="42" t="str">
        <x:v>Tool Kits</x:v>
      </x:c>
      <x:c r="D7" s="42" t="str">
        <x:v>General Tool Kit</x:v>
      </x:c>
      <x:c r="E7" s="42" t="str">
        <x:v>In number</x:v>
      </x:c>
      <x:c r="F7" s="42" t="str">
        <x:v>1 set</x:v>
      </x:c>
      <x:c r="G7" s="43" t="n">
        <x:v>0</x:v>
      </x:c>
      <x:c r="H7" s="43" t="n">
        <x:v>40000</x:v>
      </x:c>
      <x:c r="I7" s="44" t="n">
        <x:f>IF(A7="Yes",G7*H7,0)</x:f>
        <x:v>0</x:v>
      </x:c>
    </x:row>
    <x:row r="8">
      <x:c r="A8" s="41" t="str">
        <x:v>No</x:v>
      </x:c>
      <x:c r="B8" s="42" t="str">
        <x:v>GFS-TK-005</x:v>
      </x:c>
      <x:c r="C8" s="42" t="str">
        <x:v>Art Related Equipment</x:v>
      </x:c>
      <x:c r="D8" s="42" t="str">
        <x:v>Art Kit</x:v>
      </x:c>
      <x:c r="E8" s="42" t="str">
        <x:v>In number</x:v>
      </x:c>
      <x:c r="F8" s="42" t="str">
        <x:v>1 set</x:v>
      </x:c>
      <x:c r="G8" s="43" t="n">
        <x:v>0</x:v>
      </x:c>
      <x:c r="H8" s="43" t="n">
        <x:v>20000</x:v>
      </x:c>
      <x:c r="I8" s="44" t="n">
        <x:f>IF(A8="Yes",G8*H8,0)</x:f>
        <x:v>0</x:v>
      </x:c>
    </x:row>
    <x:row r="9">
      <x:c r="A9" s="41" t="str">
        <x:v>No</x:v>
      </x:c>
      <x:c r="B9" s="42" t="str">
        <x:v>GFS-TK-006</x:v>
      </x:c>
      <x:c r="C9" s="42" t="str">
        <x:v>Skills Related Equipment</x:v>
      </x:c>
      <x:c r="D9" s="42" t="str">
        <x:v>Skills Kit</x:v>
      </x:c>
      <x:c r="E9" s="42" t="str">
        <x:v>In number</x:v>
      </x:c>
      <x:c r="F9" s="42" t="str">
        <x:v>Need based</x:v>
      </x:c>
      <x:c r="G9" s="43" t="n">
        <x:v>0</x:v>
      </x:c>
      <x:c r="H9" s="43" t="n">
        <x:v>50000</x:v>
      </x:c>
      <x:c r="I9" s="44" t="n">
        <x:f>IF(A9="Yes",G9*H9,0)</x:f>
        <x:v>0</x:v>
      </x:c>
    </x:row>
    <x:row r="10">
      <x:c r="A10" s="41" t="str">
        <x:v>No</x:v>
      </x:c>
      <x:c r="B10" s="42" t="str">
        <x:v>GFS-TK-007</x:v>
      </x:c>
      <x:c r="C10" s="42" t="str">
        <x:v>Lab equipment</x:v>
      </x:c>
      <x:c r="D10" s="42" t="str">
        <x:v>Lab Equipment</x:v>
      </x:c>
      <x:c r="E10" s="42" t="str">
        <x:v>In number</x:v>
      </x:c>
      <x:c r="F10" s="42" t="str">
        <x:v>Need based</x:v>
      </x:c>
      <x:c r="G10" s="43" t="n">
        <x:v>0</x:v>
      </x:c>
      <x:c r="H10" s="43" t="n">
        <x:v>75000</x:v>
      </x:c>
      <x:c r="I10" s="44" t="n">
        <x:f>IF(A10="Yes",G10*H10,0)</x:f>
        <x:v>0</x:v>
      </x:c>
    </x:row>
    <x:row r="11">
      <x:c r="A11" s="41"/>
      <x:c r="B11" s="42"/>
      <x:c r="C11" s="42"/>
      <x:c r="D11" s="42"/>
      <x:c r="E11" s="42"/>
      <x:c r="F11" s="42"/>
      <x:c r="G11" s="42"/>
      <x:c r="H11" s="42"/>
      <x:c r="I11" s="45"/>
    </x:row>
    <x:row r="12">
      <x:c r="A12" s="41"/>
      <x:c r="B12" s="42"/>
      <x:c r="C12" s="42"/>
      <x:c r="D12" s="42"/>
      <x:c r="E12" s="42"/>
      <x:c r="F12" s="42"/>
      <x:c r="G12" s="42"/>
      <x:c r="H12" s="46" t="str">
        <x:v>Work Area Total</x:v>
      </x:c>
      <x:c r="I12" s="47" t="n">
        <x:f>SUM(I4:I10)</x:f>
        <x:v>0</x:v>
      </x:c>
    </x:row>
    <x:row r="13">
      <x:c r="A13" s="41"/>
      <x:c r="B13" s="42"/>
      <x:c r="C13" s="42"/>
      <x:c r="D13" s="42"/>
      <x:c r="E13" s="42"/>
      <x:c r="F13" s="42"/>
      <x:c r="G13" s="42"/>
      <x:c r="H13" s="42"/>
      <x:c r="I13" s="45"/>
    </x:row>
    <x:row r="14">
      <x:c r="A14" s="41"/>
      <x:c r="B14" s="42"/>
      <x:c r="C14" s="42"/>
      <x:c r="D14" s="42"/>
      <x:c r="E14" s="42"/>
      <x:c r="F14" s="42"/>
      <x:c r="G14" s="42"/>
      <x:c r="H14" s="42"/>
      <x:c r="I14" s="45"/>
    </x:row>
    <x:row r="15">
      <x:c r="A15" s="41"/>
      <x:c r="B15" s="42"/>
      <x:c r="C15" s="42"/>
      <x:c r="D15" s="42"/>
      <x:c r="E15" s="42"/>
      <x:c r="F15" s="42"/>
      <x:c r="G15" s="42"/>
      <x:c r="H15" s="42"/>
      <x:c r="I15" s="45"/>
    </x:row>
    <x:row r="16">
      <x:c r="A16" s="41"/>
      <x:c r="B16" s="42"/>
      <x:c r="C16" s="42"/>
      <x:c r="D16" s="42"/>
      <x:c r="E16" s="42"/>
      <x:c r="F16" s="42"/>
      <x:c r="G16" s="42"/>
      <x:c r="H16" s="42"/>
      <x:c r="I16" s="45"/>
    </x:row>
    <x:row r="17">
      <x:c r="A17" s="41"/>
      <x:c r="B17" s="42"/>
      <x:c r="C17" s="42"/>
      <x:c r="D17" s="42"/>
      <x:c r="E17" s="42"/>
      <x:c r="F17" s="42"/>
      <x:c r="G17" s="42"/>
      <x:c r="H17" s="42"/>
      <x:c r="I17" s="45"/>
    </x:row>
    <x:row r="18">
      <x:c r="A18" s="41"/>
      <x:c r="B18" s="42"/>
      <x:c r="C18" s="42"/>
      <x:c r="D18" s="42"/>
      <x:c r="E18" s="42"/>
      <x:c r="F18" s="42"/>
      <x:c r="G18" s="42"/>
      <x:c r="H18" s="42"/>
      <x:c r="I18" s="45"/>
    </x:row>
    <x:row r="19">
      <x:c r="A19" s="41"/>
      <x:c r="B19" s="42"/>
      <x:c r="C19" s="42"/>
      <x:c r="D19" s="42"/>
      <x:c r="E19" s="42"/>
      <x:c r="F19" s="42"/>
      <x:c r="G19" s="42"/>
      <x:c r="H19" s="42"/>
      <x:c r="I19" s="45"/>
    </x:row>
    <x:row r="20">
      <x:c r="A20" s="41"/>
      <x:c r="B20" s="42"/>
      <x:c r="C20" s="42"/>
      <x:c r="D20" s="42"/>
      <x:c r="E20" s="42"/>
      <x:c r="F20" s="42"/>
      <x:c r="G20" s="42"/>
      <x:c r="H20" s="42"/>
      <x:c r="I20" s="45"/>
    </x:row>
    <x:row r="21">
      <x:c r="A21" s="41"/>
      <x:c r="B21" s="42"/>
      <x:c r="C21" s="42"/>
      <x:c r="D21" s="42"/>
      <x:c r="E21" s="42"/>
      <x:c r="F21" s="42"/>
      <x:c r="G21" s="42"/>
      <x:c r="H21" s="42"/>
      <x:c r="I21" s="45"/>
    </x:row>
    <x:row r="22">
      <x:c r="A22" s="41"/>
      <x:c r="B22" s="42"/>
      <x:c r="C22" s="42"/>
      <x:c r="D22" s="42"/>
      <x:c r="E22" s="42"/>
      <x:c r="F22" s="42"/>
      <x:c r="G22" s="42"/>
      <x:c r="H22" s="42"/>
      <x:c r="I22" s="45"/>
    </x:row>
    <x:row r="23">
      <x:c r="A23" s="41"/>
      <x:c r="B23" s="42"/>
      <x:c r="C23" s="42"/>
      <x:c r="D23" s="42"/>
      <x:c r="E23" s="42"/>
      <x:c r="F23" s="42"/>
      <x:c r="G23" s="42"/>
      <x:c r="H23" s="42"/>
      <x:c r="I23" s="45"/>
    </x:row>
    <x:row r="24">
      <x:c r="A24" s="41"/>
      <x:c r="B24" s="42"/>
      <x:c r="C24" s="42"/>
      <x:c r="D24" s="42"/>
      <x:c r="E24" s="42"/>
      <x:c r="F24" s="42"/>
      <x:c r="G24" s="42"/>
      <x:c r="H24" s="42"/>
      <x:c r="I24" s="45"/>
    </x:row>
    <x:row r="25">
      <x:c r="A25" s="41"/>
      <x:c r="B25" s="42"/>
      <x:c r="C25" s="42"/>
      <x:c r="D25" s="42"/>
      <x:c r="E25" s="42"/>
      <x:c r="F25" s="42"/>
      <x:c r="G25" s="42"/>
      <x:c r="H25" s="42"/>
      <x:c r="I25" s="45"/>
    </x:row>
    <x:row r="26">
      <x:c r="A26" s="41"/>
      <x:c r="B26" s="42"/>
      <x:c r="C26" s="42"/>
      <x:c r="D26" s="42"/>
      <x:c r="E26" s="42"/>
      <x:c r="F26" s="42"/>
      <x:c r="G26" s="42"/>
      <x:c r="H26" s="42"/>
      <x:c r="I26" s="45"/>
    </x:row>
    <x:row r="27">
      <x:c r="A27" s="41"/>
      <x:c r="B27" s="42"/>
      <x:c r="C27" s="42"/>
      <x:c r="D27" s="42"/>
      <x:c r="E27" s="42"/>
      <x:c r="F27" s="42"/>
      <x:c r="G27" s="42"/>
      <x:c r="H27" s="42"/>
      <x:c r="I27" s="45"/>
    </x:row>
    <x:row r="28">
      <x:c r="A28" s="41"/>
      <x:c r="B28" s="42"/>
      <x:c r="C28" s="42"/>
      <x:c r="D28" s="42"/>
      <x:c r="E28" s="42"/>
      <x:c r="F28" s="42"/>
      <x:c r="G28" s="42"/>
      <x:c r="H28" s="42"/>
      <x:c r="I28" s="45"/>
    </x:row>
    <x:row r="29">
      <x:c r="A29" s="41"/>
      <x:c r="B29" s="42"/>
      <x:c r="C29" s="42"/>
      <x:c r="D29" s="42"/>
      <x:c r="E29" s="42"/>
      <x:c r="F29" s="42"/>
      <x:c r="G29" s="42"/>
      <x:c r="H29" s="42"/>
      <x:c r="I29" s="45"/>
    </x:row>
    <x:row r="30">
      <x:c r="A30" s="41"/>
      <x:c r="B30" s="42"/>
      <x:c r="C30" s="42"/>
      <x:c r="D30" s="42"/>
      <x:c r="E30" s="42"/>
      <x:c r="F30" s="42"/>
      <x:c r="G30" s="42"/>
      <x:c r="H30" s="42"/>
      <x:c r="I30" s="45"/>
    </x:row>
    <x:row r="31">
      <x:c r="A31" s="41"/>
      <x:c r="B31" s="42"/>
      <x:c r="C31" s="42"/>
      <x:c r="D31" s="42"/>
      <x:c r="E31" s="42"/>
      <x:c r="F31" s="42"/>
      <x:c r="G31" s="42"/>
      <x:c r="H31" s="42"/>
      <x:c r="I31" s="45"/>
    </x:row>
    <x:row r="32">
      <x:c r="A32" s="41"/>
      <x:c r="B32" s="42"/>
      <x:c r="C32" s="42"/>
      <x:c r="D32" s="42"/>
      <x:c r="E32" s="42"/>
      <x:c r="F32" s="42"/>
      <x:c r="G32" s="42"/>
      <x:c r="H32" s="42"/>
      <x:c r="I32" s="45"/>
    </x:row>
    <x:row r="33">
      <x:c r="A33" s="41"/>
      <x:c r="B33" s="42"/>
      <x:c r="C33" s="42"/>
      <x:c r="D33" s="42"/>
      <x:c r="E33" s="42"/>
      <x:c r="F33" s="42"/>
      <x:c r="G33" s="42"/>
      <x:c r="H33" s="42"/>
      <x:c r="I33" s="45"/>
    </x:row>
    <x:row r="34">
      <x:c r="A34" s="41"/>
      <x:c r="B34" s="42"/>
      <x:c r="C34" s="42"/>
      <x:c r="D34" s="42"/>
      <x:c r="E34" s="42"/>
      <x:c r="F34" s="42"/>
      <x:c r="G34" s="42"/>
      <x:c r="H34" s="42"/>
      <x:c r="I34" s="45"/>
    </x:row>
    <x:row r="35">
      <x:c r="A35" s="41"/>
      <x:c r="B35" s="42"/>
      <x:c r="C35" s="42"/>
      <x:c r="D35" s="42"/>
      <x:c r="E35" s="42"/>
      <x:c r="F35" s="42"/>
      <x:c r="G35" s="42"/>
      <x:c r="H35" s="42"/>
      <x:c r="I35" s="45"/>
    </x:row>
    <x:row r="36">
      <x:c r="A36" s="41"/>
      <x:c r="B36" s="42"/>
      <x:c r="C36" s="42"/>
      <x:c r="D36" s="42"/>
      <x:c r="E36" s="42"/>
      <x:c r="F36" s="42"/>
      <x:c r="G36" s="42"/>
      <x:c r="H36" s="42"/>
      <x:c r="I36" s="45"/>
    </x:row>
    <x:row r="37">
      <x:c r="A37" s="41"/>
      <x:c r="B37" s="42"/>
      <x:c r="C37" s="42"/>
      <x:c r="D37" s="42"/>
      <x:c r="E37" s="42"/>
      <x:c r="F37" s="42"/>
      <x:c r="G37" s="42"/>
      <x:c r="H37" s="42"/>
      <x:c r="I37" s="45"/>
    </x:row>
    <x:row r="38">
      <x:c r="A38" s="41"/>
      <x:c r="B38" s="42"/>
      <x:c r="C38" s="42"/>
      <x:c r="D38" s="42"/>
      <x:c r="E38" s="42"/>
      <x:c r="F38" s="42"/>
      <x:c r="G38" s="42"/>
      <x:c r="H38" s="42"/>
      <x:c r="I38" s="45"/>
    </x:row>
    <x:row r="39">
      <x:c r="A39" s="41"/>
      <x:c r="B39" s="42"/>
      <x:c r="C39" s="42"/>
      <x:c r="D39" s="42"/>
      <x:c r="E39" s="42"/>
      <x:c r="F39" s="42"/>
      <x:c r="G39" s="42"/>
      <x:c r="H39" s="42"/>
      <x:c r="I39" s="45"/>
    </x:row>
    <x:row r="40">
      <x:c r="A40" s="41"/>
      <x:c r="B40" s="42"/>
      <x:c r="C40" s="42"/>
      <x:c r="D40" s="42"/>
      <x:c r="E40" s="42"/>
      <x:c r="F40" s="42"/>
      <x:c r="G40" s="42"/>
      <x:c r="H40" s="42"/>
      <x:c r="I40" s="45"/>
    </x:row>
    <x:row r="41">
      <x:c r="A41" s="41"/>
      <x:c r="B41" s="42"/>
      <x:c r="C41" s="42"/>
      <x:c r="D41" s="42"/>
      <x:c r="E41" s="42"/>
      <x:c r="F41" s="42"/>
      <x:c r="G41" s="42"/>
      <x:c r="H41" s="42"/>
      <x:c r="I41" s="45"/>
    </x:row>
    <x:row r="42">
      <x:c r="A42" s="41"/>
      <x:c r="B42" s="42"/>
      <x:c r="C42" s="42"/>
      <x:c r="D42" s="42"/>
      <x:c r="E42" s="42"/>
      <x:c r="F42" s="42"/>
      <x:c r="G42" s="42"/>
      <x:c r="H42" s="42"/>
      <x:c r="I42" s="45"/>
    </x:row>
    <x:row r="43">
      <x:c r="A43" s="41"/>
      <x:c r="B43" s="42"/>
      <x:c r="C43" s="42"/>
      <x:c r="D43" s="42"/>
      <x:c r="E43" s="42"/>
      <x:c r="F43" s="42"/>
      <x:c r="G43" s="42"/>
      <x:c r="H43" s="42"/>
      <x:c r="I43" s="45"/>
    </x:row>
    <x:row r="44">
      <x:c r="A44" s="41"/>
      <x:c r="B44" s="42"/>
      <x:c r="C44" s="42"/>
      <x:c r="D44" s="42"/>
      <x:c r="E44" s="42"/>
      <x:c r="F44" s="42"/>
      <x:c r="G44" s="42"/>
      <x:c r="H44" s="42"/>
      <x:c r="I44" s="45"/>
    </x:row>
    <x:row r="45">
      <x:c r="A45" s="41"/>
      <x:c r="B45" s="42"/>
      <x:c r="C45" s="42"/>
      <x:c r="D45" s="42"/>
      <x:c r="E45" s="42"/>
      <x:c r="F45" s="42"/>
      <x:c r="G45" s="42"/>
      <x:c r="H45" s="42"/>
      <x:c r="I45" s="45"/>
    </x:row>
    <x:row r="46">
      <x:c r="A46" s="41"/>
      <x:c r="B46" s="42"/>
      <x:c r="C46" s="42"/>
      <x:c r="D46" s="42"/>
      <x:c r="E46" s="42"/>
      <x:c r="F46" s="42"/>
      <x:c r="G46" s="42"/>
      <x:c r="H46" s="42"/>
      <x:c r="I46" s="45"/>
    </x:row>
    <x:row r="47">
      <x:c r="A47" s="41"/>
      <x:c r="B47" s="42"/>
      <x:c r="C47" s="42"/>
      <x:c r="D47" s="42"/>
      <x:c r="E47" s="42"/>
      <x:c r="F47" s="42"/>
      <x:c r="G47" s="42"/>
      <x:c r="H47" s="42"/>
      <x:c r="I47" s="45"/>
    </x:row>
    <x:row r="48">
      <x:c r="A48" s="41"/>
      <x:c r="B48" s="42"/>
      <x:c r="C48" s="42"/>
      <x:c r="D48" s="42"/>
      <x:c r="E48" s="42"/>
      <x:c r="F48" s="42"/>
      <x:c r="G48" s="42"/>
      <x:c r="H48" s="42"/>
      <x:c r="I48" s="45"/>
    </x:row>
    <x:row r="49">
      <x:c r="A49" s="41"/>
      <x:c r="B49" s="42"/>
      <x:c r="C49" s="42"/>
      <x:c r="D49" s="42"/>
      <x:c r="E49" s="42"/>
      <x:c r="F49" s="42"/>
      <x:c r="G49" s="42"/>
      <x:c r="H49" s="42"/>
      <x:c r="I49" s="45"/>
    </x:row>
    <x:row r="50">
      <x:c r="A50" s="41"/>
      <x:c r="B50" s="42"/>
      <x:c r="C50" s="42"/>
      <x:c r="D50" s="42"/>
      <x:c r="E50" s="42"/>
      <x:c r="F50" s="42"/>
      <x:c r="G50" s="42"/>
      <x:c r="H50" s="42"/>
      <x:c r="I50" s="45"/>
    </x:row>
    <x:row r="51">
      <x:c r="A51" s="41"/>
      <x:c r="B51" s="42"/>
      <x:c r="C51" s="42"/>
      <x:c r="D51" s="42"/>
      <x:c r="E51" s="42"/>
      <x:c r="F51" s="42"/>
      <x:c r="G51" s="42"/>
      <x:c r="H51" s="42"/>
      <x:c r="I51" s="45"/>
    </x:row>
    <x:row r="52">
      <x:c r="A52" s="41"/>
      <x:c r="B52" s="42"/>
      <x:c r="C52" s="42"/>
      <x:c r="D52" s="42"/>
      <x:c r="E52" s="42"/>
      <x:c r="F52" s="42"/>
      <x:c r="G52" s="42"/>
      <x:c r="H52" s="42"/>
      <x:c r="I52" s="45"/>
    </x:row>
    <x:row r="53">
      <x:c r="A53" s="41"/>
      <x:c r="B53" s="42"/>
      <x:c r="C53" s="42"/>
      <x:c r="D53" s="42"/>
      <x:c r="E53" s="42"/>
      <x:c r="F53" s="42"/>
      <x:c r="G53" s="42"/>
      <x:c r="H53" s="42"/>
      <x:c r="I53" s="45"/>
    </x:row>
    <x:row r="54">
      <x:c r="A54" s="41"/>
      <x:c r="B54" s="42"/>
      <x:c r="C54" s="42"/>
      <x:c r="D54" s="42"/>
      <x:c r="E54" s="42"/>
      <x:c r="F54" s="42"/>
      <x:c r="G54" s="42"/>
      <x:c r="H54" s="42"/>
      <x:c r="I54" s="45"/>
    </x:row>
    <x:row r="55">
      <x:c r="A55" s="41"/>
      <x:c r="B55" s="42"/>
      <x:c r="C55" s="42"/>
      <x:c r="D55" s="42"/>
      <x:c r="E55" s="42"/>
      <x:c r="F55" s="42"/>
      <x:c r="G55" s="42"/>
      <x:c r="H55" s="42"/>
      <x:c r="I55" s="45"/>
    </x:row>
    <x:row r="56">
      <x:c r="A56" s="41"/>
      <x:c r="B56" s="42"/>
      <x:c r="C56" s="42"/>
      <x:c r="D56" s="42"/>
      <x:c r="E56" s="42"/>
      <x:c r="F56" s="42"/>
      <x:c r="G56" s="42"/>
      <x:c r="H56" s="42"/>
      <x:c r="I56" s="45"/>
    </x:row>
    <x:row r="57">
      <x:c r="A57" s="41"/>
      <x:c r="B57" s="42"/>
      <x:c r="C57" s="42"/>
      <x:c r="D57" s="42"/>
      <x:c r="E57" s="42"/>
      <x:c r="F57" s="42"/>
      <x:c r="G57" s="42"/>
      <x:c r="H57" s="42"/>
      <x:c r="I57" s="45"/>
    </x:row>
    <x:row r="58">
      <x:c r="A58" s="41"/>
      <x:c r="B58" s="42"/>
      <x:c r="C58" s="42"/>
      <x:c r="D58" s="42"/>
      <x:c r="E58" s="42"/>
      <x:c r="F58" s="42"/>
      <x:c r="G58" s="42"/>
      <x:c r="H58" s="42"/>
      <x:c r="I58" s="45"/>
    </x:row>
    <x:row r="59">
      <x:c r="A59" s="41"/>
      <x:c r="B59" s="42"/>
      <x:c r="C59" s="42"/>
      <x:c r="D59" s="42"/>
      <x:c r="E59" s="42"/>
      <x:c r="F59" s="42"/>
      <x:c r="G59" s="42"/>
      <x:c r="H59" s="42"/>
      <x:c r="I59" s="45"/>
    </x:row>
    <x:row r="60">
      <x:c r="A60" s="41"/>
      <x:c r="B60" s="42"/>
      <x:c r="C60" s="42"/>
      <x:c r="D60" s="42"/>
      <x:c r="E60" s="42"/>
      <x:c r="F60" s="42"/>
      <x:c r="G60" s="42"/>
      <x:c r="H60" s="42"/>
      <x:c r="I60" s="45"/>
    </x:row>
    <x:row r="61">
      <x:c r="A61" s="41"/>
      <x:c r="B61" s="42"/>
      <x:c r="C61" s="42"/>
      <x:c r="D61" s="42"/>
      <x:c r="E61" s="42"/>
      <x:c r="F61" s="42"/>
      <x:c r="G61" s="42"/>
      <x:c r="H61" s="42"/>
      <x:c r="I61" s="45"/>
    </x:row>
    <x:row r="62">
      <x:c r="A62" s="41"/>
      <x:c r="B62" s="42"/>
      <x:c r="C62" s="42"/>
      <x:c r="D62" s="42"/>
      <x:c r="E62" s="42"/>
      <x:c r="F62" s="42"/>
      <x:c r="G62" s="42"/>
      <x:c r="H62" s="42"/>
      <x:c r="I62" s="45"/>
    </x:row>
    <x:row r="63">
      <x:c r="A63" s="41"/>
      <x:c r="B63" s="42"/>
      <x:c r="C63" s="42"/>
      <x:c r="D63" s="42"/>
      <x:c r="E63" s="42"/>
      <x:c r="F63" s="42"/>
      <x:c r="G63" s="42"/>
      <x:c r="H63" s="42"/>
      <x:c r="I63" s="45"/>
    </x:row>
    <x:row r="64">
      <x:c r="A64" s="41"/>
      <x:c r="B64" s="42"/>
      <x:c r="C64" s="42"/>
      <x:c r="D64" s="42"/>
      <x:c r="E64" s="42"/>
      <x:c r="F64" s="42"/>
      <x:c r="G64" s="42"/>
      <x:c r="H64" s="42"/>
      <x:c r="I64" s="45"/>
    </x:row>
    <x:row r="65">
      <x:c r="A65" s="41"/>
      <x:c r="B65" s="42"/>
      <x:c r="C65" s="42"/>
      <x:c r="D65" s="42"/>
      <x:c r="E65" s="42"/>
      <x:c r="F65" s="42"/>
      <x:c r="G65" s="42"/>
      <x:c r="H65" s="42"/>
      <x:c r="I65" s="45"/>
    </x:row>
    <x:row r="66">
      <x:c r="A66" s="41"/>
      <x:c r="B66" s="42"/>
      <x:c r="C66" s="42"/>
      <x:c r="D66" s="42"/>
      <x:c r="E66" s="42"/>
      <x:c r="F66" s="42"/>
      <x:c r="G66" s="42"/>
      <x:c r="H66" s="42"/>
      <x:c r="I66" s="45"/>
    </x:row>
    <x:row r="67">
      <x:c r="A67" s="41"/>
      <x:c r="B67" s="42"/>
      <x:c r="C67" s="42"/>
      <x:c r="D67" s="42"/>
      <x:c r="E67" s="42"/>
      <x:c r="F67" s="42"/>
      <x:c r="G67" s="42"/>
      <x:c r="H67" s="42"/>
      <x:c r="I67" s="45"/>
    </x:row>
    <x:row r="68">
      <x:c r="A68" s="41"/>
      <x:c r="B68" s="42"/>
      <x:c r="C68" s="42"/>
      <x:c r="D68" s="42"/>
      <x:c r="E68" s="42"/>
      <x:c r="F68" s="42"/>
      <x:c r="G68" s="42"/>
      <x:c r="H68" s="42"/>
      <x:c r="I68" s="45"/>
    </x:row>
    <x:row r="69">
      <x:c r="A69" s="41"/>
      <x:c r="B69" s="42"/>
      <x:c r="C69" s="42"/>
      <x:c r="D69" s="42"/>
      <x:c r="E69" s="42"/>
      <x:c r="F69" s="42"/>
      <x:c r="G69" s="42"/>
      <x:c r="H69" s="42"/>
      <x:c r="I69" s="45"/>
    </x:row>
    <x:row r="70">
      <x:c r="A70" s="41"/>
      <x:c r="B70" s="42"/>
      <x:c r="C70" s="42"/>
      <x:c r="D70" s="42"/>
      <x:c r="E70" s="42"/>
      <x:c r="F70" s="42"/>
      <x:c r="G70" s="42"/>
      <x:c r="H70" s="42"/>
      <x:c r="I70" s="45"/>
    </x:row>
    <x:row r="71">
      <x:c r="A71" s="41"/>
      <x:c r="B71" s="42"/>
      <x:c r="C71" s="42"/>
      <x:c r="D71" s="42"/>
      <x:c r="E71" s="42"/>
      <x:c r="F71" s="42"/>
      <x:c r="G71" s="42"/>
      <x:c r="H71" s="42"/>
      <x:c r="I71" s="45"/>
    </x:row>
    <x:row r="72">
      <x:c r="A72" s="41"/>
      <x:c r="B72" s="42"/>
      <x:c r="C72" s="42"/>
      <x:c r="D72" s="42"/>
      <x:c r="E72" s="42"/>
      <x:c r="F72" s="42"/>
      <x:c r="G72" s="42"/>
      <x:c r="H72" s="42"/>
      <x:c r="I72" s="45"/>
    </x:row>
    <x:row r="73">
      <x:c r="A73" s="41"/>
      <x:c r="B73" s="42"/>
      <x:c r="C73" s="42"/>
      <x:c r="D73" s="42"/>
      <x:c r="E73" s="42"/>
      <x:c r="F73" s="42"/>
      <x:c r="G73" s="42"/>
      <x:c r="H73" s="42"/>
      <x:c r="I73" s="45"/>
    </x:row>
    <x:row r="74">
      <x:c r="A74" s="41"/>
      <x:c r="B74" s="42"/>
      <x:c r="C74" s="42"/>
      <x:c r="D74" s="42"/>
      <x:c r="E74" s="42"/>
      <x:c r="F74" s="42"/>
      <x:c r="G74" s="42"/>
      <x:c r="H74" s="42"/>
      <x:c r="I74" s="45"/>
    </x:row>
    <x:row r="75">
      <x:c r="A75" s="41"/>
      <x:c r="B75" s="42"/>
      <x:c r="C75" s="42"/>
      <x:c r="D75" s="42"/>
      <x:c r="E75" s="42"/>
      <x:c r="F75" s="42"/>
      <x:c r="G75" s="42"/>
      <x:c r="H75" s="42"/>
      <x:c r="I75" s="45"/>
    </x:row>
    <x:row r="76">
      <x:c r="A76" s="41"/>
      <x:c r="B76" s="42"/>
      <x:c r="C76" s="42"/>
      <x:c r="D76" s="42"/>
      <x:c r="E76" s="42"/>
      <x:c r="F76" s="42"/>
      <x:c r="G76" s="42"/>
      <x:c r="H76" s="42"/>
      <x:c r="I76" s="45"/>
    </x:row>
    <x:row r="77">
      <x:c r="A77" s="41"/>
      <x:c r="B77" s="42"/>
      <x:c r="C77" s="42"/>
      <x:c r="D77" s="42"/>
      <x:c r="E77" s="42"/>
      <x:c r="F77" s="42"/>
      <x:c r="G77" s="42"/>
      <x:c r="H77" s="42"/>
      <x:c r="I77" s="45"/>
    </x:row>
    <x:row r="78">
      <x:c r="A78" s="41"/>
      <x:c r="B78" s="42"/>
      <x:c r="C78" s="42"/>
      <x:c r="D78" s="42"/>
      <x:c r="E78" s="42"/>
      <x:c r="F78" s="42"/>
      <x:c r="G78" s="42"/>
      <x:c r="H78" s="42"/>
      <x:c r="I78" s="45"/>
    </x:row>
    <x:row r="79">
      <x:c r="A79" s="41"/>
      <x:c r="B79" s="42"/>
      <x:c r="C79" s="42"/>
      <x:c r="D79" s="42"/>
      <x:c r="E79" s="42"/>
      <x:c r="F79" s="42"/>
      <x:c r="G79" s="42"/>
      <x:c r="H79" s="42"/>
      <x:c r="I79" s="45"/>
    </x:row>
    <x:row r="80">
      <x:c r="A80" s="41"/>
      <x:c r="B80" s="42"/>
      <x:c r="C80" s="42"/>
      <x:c r="D80" s="42"/>
      <x:c r="E80" s="42"/>
      <x:c r="F80" s="42"/>
      <x:c r="G80" s="42"/>
      <x:c r="H80" s="42"/>
      <x:c r="I80" s="45"/>
    </x:row>
    <x:row r="81">
      <x:c r="A81" s="41"/>
      <x:c r="B81" s="42"/>
      <x:c r="C81" s="42"/>
      <x:c r="D81" s="42"/>
      <x:c r="E81" s="42"/>
      <x:c r="F81" s="42"/>
      <x:c r="G81" s="42"/>
      <x:c r="H81" s="42"/>
      <x:c r="I81" s="45"/>
    </x:row>
    <x:row r="82">
      <x:c r="A82" s="41"/>
      <x:c r="B82" s="42"/>
      <x:c r="C82" s="42"/>
      <x:c r="D82" s="42"/>
      <x:c r="E82" s="42"/>
      <x:c r="F82" s="42"/>
      <x:c r="G82" s="42"/>
      <x:c r="H82" s="42"/>
      <x:c r="I82" s="45"/>
    </x:row>
    <x:row r="83">
      <x:c r="A83" s="41"/>
      <x:c r="B83" s="42"/>
      <x:c r="C83" s="42"/>
      <x:c r="D83" s="42"/>
      <x:c r="E83" s="42"/>
      <x:c r="F83" s="42"/>
      <x:c r="G83" s="42"/>
      <x:c r="H83" s="42"/>
      <x:c r="I83" s="45"/>
    </x:row>
    <x:row r="84">
      <x:c r="A84" s="41"/>
      <x:c r="B84" s="42"/>
      <x:c r="C84" s="42"/>
      <x:c r="D84" s="42"/>
      <x:c r="E84" s="42"/>
      <x:c r="F84" s="42"/>
      <x:c r="G84" s="42"/>
      <x:c r="H84" s="42"/>
      <x:c r="I84" s="45"/>
    </x:row>
    <x:row r="85">
      <x:c r="A85" s="41"/>
      <x:c r="B85" s="42"/>
      <x:c r="C85" s="42"/>
      <x:c r="D85" s="42"/>
      <x:c r="E85" s="42"/>
      <x:c r="F85" s="42"/>
      <x:c r="G85" s="42"/>
      <x:c r="H85" s="42"/>
      <x:c r="I85" s="45"/>
    </x:row>
    <x:row r="86">
      <x:c r="A86" s="41"/>
      <x:c r="B86" s="42"/>
      <x:c r="C86" s="42"/>
      <x:c r="D86" s="42"/>
      <x:c r="E86" s="42"/>
      <x:c r="F86" s="42"/>
      <x:c r="G86" s="42"/>
      <x:c r="H86" s="42"/>
      <x:c r="I86" s="45"/>
    </x:row>
    <x:row r="87">
      <x:c r="A87" s="41"/>
      <x:c r="B87" s="42"/>
      <x:c r="C87" s="42"/>
      <x:c r="D87" s="42"/>
      <x:c r="E87" s="42"/>
      <x:c r="F87" s="42"/>
      <x:c r="G87" s="42"/>
      <x:c r="H87" s="42"/>
      <x:c r="I87" s="45"/>
    </x:row>
    <x:row r="88">
      <x:c r="A88" s="41"/>
      <x:c r="B88" s="42"/>
      <x:c r="C88" s="42"/>
      <x:c r="D88" s="42"/>
      <x:c r="E88" s="42"/>
      <x:c r="F88" s="42"/>
      <x:c r="G88" s="42"/>
      <x:c r="H88" s="42"/>
      <x:c r="I88" s="45"/>
    </x:row>
    <x:row r="89">
      <x:c r="A89" s="41"/>
      <x:c r="B89" s="42"/>
      <x:c r="C89" s="42"/>
      <x:c r="D89" s="42"/>
      <x:c r="E89" s="42"/>
      <x:c r="F89" s="42"/>
      <x:c r="G89" s="42"/>
      <x:c r="H89" s="42"/>
      <x:c r="I89" s="45"/>
    </x:row>
    <x:row r="90">
      <x:c r="A90" s="41"/>
      <x:c r="B90" s="42"/>
      <x:c r="C90" s="42"/>
      <x:c r="D90" s="42"/>
      <x:c r="E90" s="42"/>
      <x:c r="F90" s="42"/>
      <x:c r="G90" s="42"/>
      <x:c r="H90" s="42"/>
      <x:c r="I90" s="45"/>
    </x:row>
    <x:row r="91">
      <x:c r="A91" s="41"/>
      <x:c r="B91" s="42"/>
      <x:c r="C91" s="42"/>
      <x:c r="D91" s="42"/>
      <x:c r="E91" s="42"/>
      <x:c r="F91" s="42"/>
      <x:c r="G91" s="42"/>
      <x:c r="H91" s="42"/>
      <x:c r="I91" s="45"/>
    </x:row>
    <x:row r="92">
      <x:c r="A92" s="41"/>
      <x:c r="B92" s="42"/>
      <x:c r="C92" s="42"/>
      <x:c r="D92" s="42"/>
      <x:c r="E92" s="42"/>
      <x:c r="F92" s="42"/>
      <x:c r="G92" s="42"/>
      <x:c r="H92" s="42"/>
      <x:c r="I92" s="45"/>
    </x:row>
    <x:row r="93">
      <x:c r="A93" s="41"/>
      <x:c r="B93" s="42"/>
      <x:c r="C93" s="42"/>
      <x:c r="D93" s="42"/>
      <x:c r="E93" s="42"/>
      <x:c r="F93" s="42"/>
      <x:c r="G93" s="42"/>
      <x:c r="H93" s="42"/>
      <x:c r="I93" s="45"/>
    </x:row>
    <x:row r="94">
      <x:c r="A94" s="41"/>
      <x:c r="B94" s="42"/>
      <x:c r="C94" s="42"/>
      <x:c r="D94" s="42"/>
      <x:c r="E94" s="42"/>
      <x:c r="F94" s="42"/>
      <x:c r="G94" s="42"/>
      <x:c r="H94" s="42"/>
      <x:c r="I94" s="45"/>
    </x:row>
    <x:row r="95">
      <x:c r="A95" s="41"/>
      <x:c r="B95" s="42"/>
      <x:c r="C95" s="42"/>
      <x:c r="D95" s="42"/>
      <x:c r="E95" s="42"/>
      <x:c r="F95" s="42"/>
      <x:c r="G95" s="42"/>
      <x:c r="H95" s="42"/>
      <x:c r="I95" s="45"/>
    </x:row>
    <x:row r="96">
      <x:c r="A96" s="41"/>
      <x:c r="B96" s="42"/>
      <x:c r="C96" s="42"/>
      <x:c r="D96" s="42"/>
      <x:c r="E96" s="42"/>
      <x:c r="F96" s="42"/>
      <x:c r="G96" s="42"/>
      <x:c r="H96" s="42"/>
      <x:c r="I96" s="45"/>
    </x:row>
    <x:row r="97">
      <x:c r="A97" s="41"/>
      <x:c r="B97" s="42"/>
      <x:c r="C97" s="42"/>
      <x:c r="D97" s="42"/>
      <x:c r="E97" s="42"/>
      <x:c r="F97" s="42"/>
      <x:c r="G97" s="42"/>
      <x:c r="H97" s="42"/>
      <x:c r="I97" s="45"/>
    </x:row>
    <x:row r="98">
      <x:c r="A98" s="41"/>
      <x:c r="B98" s="42"/>
      <x:c r="C98" s="42"/>
      <x:c r="D98" s="42"/>
      <x:c r="E98" s="42"/>
      <x:c r="F98" s="42"/>
      <x:c r="G98" s="42"/>
      <x:c r="H98" s="42"/>
      <x:c r="I98" s="45"/>
    </x:row>
    <x:row r="99">
      <x:c r="A99" s="41"/>
      <x:c r="B99" s="42"/>
      <x:c r="C99" s="42"/>
      <x:c r="D99" s="42"/>
      <x:c r="E99" s="42"/>
      <x:c r="F99" s="42"/>
      <x:c r="G99" s="42"/>
      <x:c r="H99" s="42"/>
      <x:c r="I99" s="45"/>
    </x:row>
    <x:row r="100">
      <x:c r="A100" s="48"/>
      <x:c r="B100" s="49"/>
      <x:c r="C100" s="49"/>
      <x:c r="D100" s="49"/>
      <x:c r="E100" s="49"/>
      <x:c r="F100" s="49"/>
      <x:c r="G100" s="49"/>
      <x:c r="H100" s="49"/>
      <x:c r="I100" s="50"/>
    </x:row>
  </x:sheetData>
  <x:mergeCells>
    <x:mergeCell ref="A1:I1"/>
  </x:mergeCells>
  <x:dataValidations count="1">
    <x:dataValidation type="list" sqref="A4:A10">
      <x:formula1>"Yes,No"</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6" hidden="0" customWidth="1"/>
    <x:col min="2" max="2" width="16" hidden="0" customWidth="1"/>
    <x:col min="3" max="3" width="34" hidden="0" customWidth="1"/>
    <x:col min="4" max="4" width="38" hidden="0" customWidth="1"/>
    <x:col min="5" max="5" width="22" hidden="0" customWidth="1"/>
    <x:col min="6" max="6" width="28" hidden="0" customWidth="1"/>
    <x:col min="7" max="7" width="16" hidden="0" customWidth="1"/>
    <x:col min="8" max="8" width="16" hidden="0" customWidth="1"/>
    <x:col min="9" max="9" width="16" hidden="0" customWidth="1"/>
  </x:cols>
  <x:sheetData>
    <x:row r="1">
      <x:c r="A1" s="36" t="str">
        <x:v>Item for Residential Schools</x:v>
      </x:c>
      <x:c r="B1" s="13"/>
      <x:c r="C1" s="13"/>
      <x:c r="D1" s="13"/>
      <x:c r="E1" s="13"/>
      <x:c r="F1" s="13"/>
      <x:c r="G1" s="13"/>
      <x:c r="H1" s="13"/>
      <x:c r="I1" s="13"/>
    </x:row>
    <x:row r="3">
      <x:c r="A3" s="38" t="str">
        <x:v>Select</x:v>
      </x:c>
      <x:c r="B3" s="39" t="str">
        <x:v>Component ID</x:v>
      </x:c>
      <x:c r="C3" s="39" t="str">
        <x:v>Portal Sub Item</x:v>
      </x:c>
      <x:c r="D3" s="39" t="str">
        <x:v>Mission Component</x:v>
      </x:c>
      <x:c r="E3" s="39" t="str">
        <x:v>Unit</x:v>
      </x:c>
      <x:c r="F3" s="39" t="str">
        <x:v>Recommended Quantity Formula</x:v>
      </x:c>
      <x:c r="G3" s="39" t="str">
        <x:v>Quantity</x:v>
      </x:c>
      <x:c r="H3" s="39" t="str">
        <x:v>Planning Unit Cost (₹)</x:v>
      </x:c>
      <x:c r="I3" s="40" t="str">
        <x:v>Total Amount (₹)</x:v>
      </x:c>
    </x:row>
    <x:row r="4">
      <x:c r="A4" s="41" t="str">
        <x:v>No</x:v>
      </x:c>
      <x:c r="B4" s="42" t="str">
        <x:v>GFS-RS-001</x:v>
      </x:c>
      <x:c r="C4" s="42" t="str">
        <x:v>Blankets</x:v>
      </x:c>
      <x:c r="D4" s="42" t="str">
        <x:v>Blankets</x:v>
      </x:c>
      <x:c r="E4" s="42" t="str">
        <x:v>In number</x:v>
      </x:c>
      <x:c r="F4" s="42" t="str">
        <x:v>Per student</x:v>
      </x:c>
      <x:c r="G4" s="43" t="n">
        <x:v>0</x:v>
      </x:c>
      <x:c r="H4" s="43" t="n">
        <x:v>1000</x:v>
      </x:c>
      <x:c r="I4" s="44" t="n">
        <x:f>IF(A4="Yes",G4*H4,0)</x:f>
        <x:v>0</x:v>
      </x:c>
    </x:row>
    <x:row r="5">
      <x:c r="A5" s="41" t="str">
        <x:v>No</x:v>
      </x:c>
      <x:c r="B5" s="42" t="str">
        <x:v>GFS-RS-002</x:v>
      </x:c>
      <x:c r="C5" s="42" t="str">
        <x:v>Shoes</x:v>
      </x:c>
      <x:c r="D5" s="42" t="str">
        <x:v>Shoes</x:v>
      </x:c>
      <x:c r="E5" s="42" t="str">
        <x:v>In number</x:v>
      </x:c>
      <x:c r="F5" s="42" t="str">
        <x:v>Per student</x:v>
      </x:c>
      <x:c r="G5" s="43" t="n">
        <x:v>0</x:v>
      </x:c>
      <x:c r="H5" s="43" t="n">
        <x:v>1200</x:v>
      </x:c>
      <x:c r="I5" s="44" t="n">
        <x:f>IF(A5="Yes",G5*H5,0)</x:f>
        <x:v>0</x:v>
      </x:c>
    </x:row>
    <x:row r="6">
      <x:c r="A6" s="41" t="str">
        <x:v>No</x:v>
      </x:c>
      <x:c r="B6" s="42" t="str">
        <x:v>GFS-RS-003</x:v>
      </x:c>
      <x:c r="C6" s="42" t="str">
        <x:v>Other Residential Items</x:v>
      </x:c>
      <x:c r="D6" s="42" t="str">
        <x:v>Other Residential Items</x:v>
      </x:c>
      <x:c r="E6" s="42" t="str">
        <x:v>In number</x:v>
      </x:c>
      <x:c r="F6" s="42" t="str">
        <x:v>Need based</x:v>
      </x:c>
      <x:c r="G6" s="43" t="n">
        <x:v>0</x:v>
      </x:c>
      <x:c r="H6" s="43" t="n">
        <x:v>50000</x:v>
      </x:c>
      <x:c r="I6" s="44" t="n">
        <x:f>IF(A6="Yes",G6*H6,0)</x:f>
        <x:v>0</x:v>
      </x:c>
    </x:row>
    <x:row r="7">
      <x:c r="A7" s="41"/>
      <x:c r="B7" s="42"/>
      <x:c r="C7" s="42"/>
      <x:c r="D7" s="42"/>
      <x:c r="E7" s="42"/>
      <x:c r="F7" s="42"/>
      <x:c r="G7" s="42"/>
      <x:c r="H7" s="42"/>
      <x:c r="I7" s="45"/>
    </x:row>
    <x:row r="8">
      <x:c r="A8" s="41"/>
      <x:c r="B8" s="42"/>
      <x:c r="C8" s="42"/>
      <x:c r="D8" s="42"/>
      <x:c r="E8" s="42"/>
      <x:c r="F8" s="42"/>
      <x:c r="G8" s="42"/>
      <x:c r="H8" s="46" t="str">
        <x:v>Work Area Total</x:v>
      </x:c>
      <x:c r="I8" s="47" t="n">
        <x:f>SUM(I4:I6)</x:f>
        <x:v>0</x:v>
      </x:c>
    </x:row>
    <x:row r="9">
      <x:c r="A9" s="41"/>
      <x:c r="B9" s="42"/>
      <x:c r="C9" s="42"/>
      <x:c r="D9" s="42"/>
      <x:c r="E9" s="42"/>
      <x:c r="F9" s="42"/>
      <x:c r="G9" s="42"/>
      <x:c r="H9" s="42"/>
      <x:c r="I9" s="45"/>
    </x:row>
    <x:row r="10">
      <x:c r="A10" s="41"/>
      <x:c r="B10" s="42"/>
      <x:c r="C10" s="42"/>
      <x:c r="D10" s="42"/>
      <x:c r="E10" s="42"/>
      <x:c r="F10" s="42"/>
      <x:c r="G10" s="42"/>
      <x:c r="H10" s="42"/>
      <x:c r="I10" s="45"/>
    </x:row>
    <x:row r="11">
      <x:c r="A11" s="41"/>
      <x:c r="B11" s="42"/>
      <x:c r="C11" s="42"/>
      <x:c r="D11" s="42"/>
      <x:c r="E11" s="42"/>
      <x:c r="F11" s="42"/>
      <x:c r="G11" s="42"/>
      <x:c r="H11" s="42"/>
      <x:c r="I11" s="45"/>
    </x:row>
    <x:row r="12">
      <x:c r="A12" s="41"/>
      <x:c r="B12" s="42"/>
      <x:c r="C12" s="42"/>
      <x:c r="D12" s="42"/>
      <x:c r="E12" s="42"/>
      <x:c r="F12" s="42"/>
      <x:c r="G12" s="42"/>
      <x:c r="H12" s="42"/>
      <x:c r="I12" s="45"/>
    </x:row>
    <x:row r="13">
      <x:c r="A13" s="41"/>
      <x:c r="B13" s="42"/>
      <x:c r="C13" s="42"/>
      <x:c r="D13" s="42"/>
      <x:c r="E13" s="42"/>
      <x:c r="F13" s="42"/>
      <x:c r="G13" s="42"/>
      <x:c r="H13" s="42"/>
      <x:c r="I13" s="45"/>
    </x:row>
    <x:row r="14">
      <x:c r="A14" s="41"/>
      <x:c r="B14" s="42"/>
      <x:c r="C14" s="42"/>
      <x:c r="D14" s="42"/>
      <x:c r="E14" s="42"/>
      <x:c r="F14" s="42"/>
      <x:c r="G14" s="42"/>
      <x:c r="H14" s="42"/>
      <x:c r="I14" s="45"/>
    </x:row>
    <x:row r="15">
      <x:c r="A15" s="41"/>
      <x:c r="B15" s="42"/>
      <x:c r="C15" s="42"/>
      <x:c r="D15" s="42"/>
      <x:c r="E15" s="42"/>
      <x:c r="F15" s="42"/>
      <x:c r="G15" s="42"/>
      <x:c r="H15" s="42"/>
      <x:c r="I15" s="45"/>
    </x:row>
    <x:row r="16">
      <x:c r="A16" s="41"/>
      <x:c r="B16" s="42"/>
      <x:c r="C16" s="42"/>
      <x:c r="D16" s="42"/>
      <x:c r="E16" s="42"/>
      <x:c r="F16" s="42"/>
      <x:c r="G16" s="42"/>
      <x:c r="H16" s="42"/>
      <x:c r="I16" s="45"/>
    </x:row>
    <x:row r="17">
      <x:c r="A17" s="41"/>
      <x:c r="B17" s="42"/>
      <x:c r="C17" s="42"/>
      <x:c r="D17" s="42"/>
      <x:c r="E17" s="42"/>
      <x:c r="F17" s="42"/>
      <x:c r="G17" s="42"/>
      <x:c r="H17" s="42"/>
      <x:c r="I17" s="45"/>
    </x:row>
    <x:row r="18">
      <x:c r="A18" s="41"/>
      <x:c r="B18" s="42"/>
      <x:c r="C18" s="42"/>
      <x:c r="D18" s="42"/>
      <x:c r="E18" s="42"/>
      <x:c r="F18" s="42"/>
      <x:c r="G18" s="42"/>
      <x:c r="H18" s="42"/>
      <x:c r="I18" s="45"/>
    </x:row>
    <x:row r="19">
      <x:c r="A19" s="41"/>
      <x:c r="B19" s="42"/>
      <x:c r="C19" s="42"/>
      <x:c r="D19" s="42"/>
      <x:c r="E19" s="42"/>
      <x:c r="F19" s="42"/>
      <x:c r="G19" s="42"/>
      <x:c r="H19" s="42"/>
      <x:c r="I19" s="45"/>
    </x:row>
    <x:row r="20">
      <x:c r="A20" s="41"/>
      <x:c r="B20" s="42"/>
      <x:c r="C20" s="42"/>
      <x:c r="D20" s="42"/>
      <x:c r="E20" s="42"/>
      <x:c r="F20" s="42"/>
      <x:c r="G20" s="42"/>
      <x:c r="H20" s="42"/>
      <x:c r="I20" s="45"/>
    </x:row>
    <x:row r="21">
      <x:c r="A21" s="41"/>
      <x:c r="B21" s="42"/>
      <x:c r="C21" s="42"/>
      <x:c r="D21" s="42"/>
      <x:c r="E21" s="42"/>
      <x:c r="F21" s="42"/>
      <x:c r="G21" s="42"/>
      <x:c r="H21" s="42"/>
      <x:c r="I21" s="45"/>
    </x:row>
    <x:row r="22">
      <x:c r="A22" s="41"/>
      <x:c r="B22" s="42"/>
      <x:c r="C22" s="42"/>
      <x:c r="D22" s="42"/>
      <x:c r="E22" s="42"/>
      <x:c r="F22" s="42"/>
      <x:c r="G22" s="42"/>
      <x:c r="H22" s="42"/>
      <x:c r="I22" s="45"/>
    </x:row>
    <x:row r="23">
      <x:c r="A23" s="41"/>
      <x:c r="B23" s="42"/>
      <x:c r="C23" s="42"/>
      <x:c r="D23" s="42"/>
      <x:c r="E23" s="42"/>
      <x:c r="F23" s="42"/>
      <x:c r="G23" s="42"/>
      <x:c r="H23" s="42"/>
      <x:c r="I23" s="45"/>
    </x:row>
    <x:row r="24">
      <x:c r="A24" s="41"/>
      <x:c r="B24" s="42"/>
      <x:c r="C24" s="42"/>
      <x:c r="D24" s="42"/>
      <x:c r="E24" s="42"/>
      <x:c r="F24" s="42"/>
      <x:c r="G24" s="42"/>
      <x:c r="H24" s="42"/>
      <x:c r="I24" s="45"/>
    </x:row>
    <x:row r="25">
      <x:c r="A25" s="41"/>
      <x:c r="B25" s="42"/>
      <x:c r="C25" s="42"/>
      <x:c r="D25" s="42"/>
      <x:c r="E25" s="42"/>
      <x:c r="F25" s="42"/>
      <x:c r="G25" s="42"/>
      <x:c r="H25" s="42"/>
      <x:c r="I25" s="45"/>
    </x:row>
    <x:row r="26">
      <x:c r="A26" s="41"/>
      <x:c r="B26" s="42"/>
      <x:c r="C26" s="42"/>
      <x:c r="D26" s="42"/>
      <x:c r="E26" s="42"/>
      <x:c r="F26" s="42"/>
      <x:c r="G26" s="42"/>
      <x:c r="H26" s="42"/>
      <x:c r="I26" s="45"/>
    </x:row>
    <x:row r="27">
      <x:c r="A27" s="41"/>
      <x:c r="B27" s="42"/>
      <x:c r="C27" s="42"/>
      <x:c r="D27" s="42"/>
      <x:c r="E27" s="42"/>
      <x:c r="F27" s="42"/>
      <x:c r="G27" s="42"/>
      <x:c r="H27" s="42"/>
      <x:c r="I27" s="45"/>
    </x:row>
    <x:row r="28">
      <x:c r="A28" s="41"/>
      <x:c r="B28" s="42"/>
      <x:c r="C28" s="42"/>
      <x:c r="D28" s="42"/>
      <x:c r="E28" s="42"/>
      <x:c r="F28" s="42"/>
      <x:c r="G28" s="42"/>
      <x:c r="H28" s="42"/>
      <x:c r="I28" s="45"/>
    </x:row>
    <x:row r="29">
      <x:c r="A29" s="41"/>
      <x:c r="B29" s="42"/>
      <x:c r="C29" s="42"/>
      <x:c r="D29" s="42"/>
      <x:c r="E29" s="42"/>
      <x:c r="F29" s="42"/>
      <x:c r="G29" s="42"/>
      <x:c r="H29" s="42"/>
      <x:c r="I29" s="45"/>
    </x:row>
    <x:row r="30">
      <x:c r="A30" s="41"/>
      <x:c r="B30" s="42"/>
      <x:c r="C30" s="42"/>
      <x:c r="D30" s="42"/>
      <x:c r="E30" s="42"/>
      <x:c r="F30" s="42"/>
      <x:c r="G30" s="42"/>
      <x:c r="H30" s="42"/>
      <x:c r="I30" s="45"/>
    </x:row>
    <x:row r="31">
      <x:c r="A31" s="41"/>
      <x:c r="B31" s="42"/>
      <x:c r="C31" s="42"/>
      <x:c r="D31" s="42"/>
      <x:c r="E31" s="42"/>
      <x:c r="F31" s="42"/>
      <x:c r="G31" s="42"/>
      <x:c r="H31" s="42"/>
      <x:c r="I31" s="45"/>
    </x:row>
    <x:row r="32">
      <x:c r="A32" s="41"/>
      <x:c r="B32" s="42"/>
      <x:c r="C32" s="42"/>
      <x:c r="D32" s="42"/>
      <x:c r="E32" s="42"/>
      <x:c r="F32" s="42"/>
      <x:c r="G32" s="42"/>
      <x:c r="H32" s="42"/>
      <x:c r="I32" s="45"/>
    </x:row>
    <x:row r="33">
      <x:c r="A33" s="41"/>
      <x:c r="B33" s="42"/>
      <x:c r="C33" s="42"/>
      <x:c r="D33" s="42"/>
      <x:c r="E33" s="42"/>
      <x:c r="F33" s="42"/>
      <x:c r="G33" s="42"/>
      <x:c r="H33" s="42"/>
      <x:c r="I33" s="45"/>
    </x:row>
    <x:row r="34">
      <x:c r="A34" s="41"/>
      <x:c r="B34" s="42"/>
      <x:c r="C34" s="42"/>
      <x:c r="D34" s="42"/>
      <x:c r="E34" s="42"/>
      <x:c r="F34" s="42"/>
      <x:c r="G34" s="42"/>
      <x:c r="H34" s="42"/>
      <x:c r="I34" s="45"/>
    </x:row>
    <x:row r="35">
      <x:c r="A35" s="41"/>
      <x:c r="B35" s="42"/>
      <x:c r="C35" s="42"/>
      <x:c r="D35" s="42"/>
      <x:c r="E35" s="42"/>
      <x:c r="F35" s="42"/>
      <x:c r="G35" s="42"/>
      <x:c r="H35" s="42"/>
      <x:c r="I35" s="45"/>
    </x:row>
    <x:row r="36">
      <x:c r="A36" s="41"/>
      <x:c r="B36" s="42"/>
      <x:c r="C36" s="42"/>
      <x:c r="D36" s="42"/>
      <x:c r="E36" s="42"/>
      <x:c r="F36" s="42"/>
      <x:c r="G36" s="42"/>
      <x:c r="H36" s="42"/>
      <x:c r="I36" s="45"/>
    </x:row>
    <x:row r="37">
      <x:c r="A37" s="41"/>
      <x:c r="B37" s="42"/>
      <x:c r="C37" s="42"/>
      <x:c r="D37" s="42"/>
      <x:c r="E37" s="42"/>
      <x:c r="F37" s="42"/>
      <x:c r="G37" s="42"/>
      <x:c r="H37" s="42"/>
      <x:c r="I37" s="45"/>
    </x:row>
    <x:row r="38">
      <x:c r="A38" s="41"/>
      <x:c r="B38" s="42"/>
      <x:c r="C38" s="42"/>
      <x:c r="D38" s="42"/>
      <x:c r="E38" s="42"/>
      <x:c r="F38" s="42"/>
      <x:c r="G38" s="42"/>
      <x:c r="H38" s="42"/>
      <x:c r="I38" s="45"/>
    </x:row>
    <x:row r="39">
      <x:c r="A39" s="41"/>
      <x:c r="B39" s="42"/>
      <x:c r="C39" s="42"/>
      <x:c r="D39" s="42"/>
      <x:c r="E39" s="42"/>
      <x:c r="F39" s="42"/>
      <x:c r="G39" s="42"/>
      <x:c r="H39" s="42"/>
      <x:c r="I39" s="45"/>
    </x:row>
    <x:row r="40">
      <x:c r="A40" s="41"/>
      <x:c r="B40" s="42"/>
      <x:c r="C40" s="42"/>
      <x:c r="D40" s="42"/>
      <x:c r="E40" s="42"/>
      <x:c r="F40" s="42"/>
      <x:c r="G40" s="42"/>
      <x:c r="H40" s="42"/>
      <x:c r="I40" s="45"/>
    </x:row>
    <x:row r="41">
      <x:c r="A41" s="41"/>
      <x:c r="B41" s="42"/>
      <x:c r="C41" s="42"/>
      <x:c r="D41" s="42"/>
      <x:c r="E41" s="42"/>
      <x:c r="F41" s="42"/>
      <x:c r="G41" s="42"/>
      <x:c r="H41" s="42"/>
      <x:c r="I41" s="45"/>
    </x:row>
    <x:row r="42">
      <x:c r="A42" s="41"/>
      <x:c r="B42" s="42"/>
      <x:c r="C42" s="42"/>
      <x:c r="D42" s="42"/>
      <x:c r="E42" s="42"/>
      <x:c r="F42" s="42"/>
      <x:c r="G42" s="42"/>
      <x:c r="H42" s="42"/>
      <x:c r="I42" s="45"/>
    </x:row>
    <x:row r="43">
      <x:c r="A43" s="41"/>
      <x:c r="B43" s="42"/>
      <x:c r="C43" s="42"/>
      <x:c r="D43" s="42"/>
      <x:c r="E43" s="42"/>
      <x:c r="F43" s="42"/>
      <x:c r="G43" s="42"/>
      <x:c r="H43" s="42"/>
      <x:c r="I43" s="45"/>
    </x:row>
    <x:row r="44">
      <x:c r="A44" s="41"/>
      <x:c r="B44" s="42"/>
      <x:c r="C44" s="42"/>
      <x:c r="D44" s="42"/>
      <x:c r="E44" s="42"/>
      <x:c r="F44" s="42"/>
      <x:c r="G44" s="42"/>
      <x:c r="H44" s="42"/>
      <x:c r="I44" s="45"/>
    </x:row>
    <x:row r="45">
      <x:c r="A45" s="41"/>
      <x:c r="B45" s="42"/>
      <x:c r="C45" s="42"/>
      <x:c r="D45" s="42"/>
      <x:c r="E45" s="42"/>
      <x:c r="F45" s="42"/>
      <x:c r="G45" s="42"/>
      <x:c r="H45" s="42"/>
      <x:c r="I45" s="45"/>
    </x:row>
    <x:row r="46">
      <x:c r="A46" s="41"/>
      <x:c r="B46" s="42"/>
      <x:c r="C46" s="42"/>
      <x:c r="D46" s="42"/>
      <x:c r="E46" s="42"/>
      <x:c r="F46" s="42"/>
      <x:c r="G46" s="42"/>
      <x:c r="H46" s="42"/>
      <x:c r="I46" s="45"/>
    </x:row>
    <x:row r="47">
      <x:c r="A47" s="41"/>
      <x:c r="B47" s="42"/>
      <x:c r="C47" s="42"/>
      <x:c r="D47" s="42"/>
      <x:c r="E47" s="42"/>
      <x:c r="F47" s="42"/>
      <x:c r="G47" s="42"/>
      <x:c r="H47" s="42"/>
      <x:c r="I47" s="45"/>
    </x:row>
    <x:row r="48">
      <x:c r="A48" s="41"/>
      <x:c r="B48" s="42"/>
      <x:c r="C48" s="42"/>
      <x:c r="D48" s="42"/>
      <x:c r="E48" s="42"/>
      <x:c r="F48" s="42"/>
      <x:c r="G48" s="42"/>
      <x:c r="H48" s="42"/>
      <x:c r="I48" s="45"/>
    </x:row>
    <x:row r="49">
      <x:c r="A49" s="41"/>
      <x:c r="B49" s="42"/>
      <x:c r="C49" s="42"/>
      <x:c r="D49" s="42"/>
      <x:c r="E49" s="42"/>
      <x:c r="F49" s="42"/>
      <x:c r="G49" s="42"/>
      <x:c r="H49" s="42"/>
      <x:c r="I49" s="45"/>
    </x:row>
    <x:row r="50">
      <x:c r="A50" s="41"/>
      <x:c r="B50" s="42"/>
      <x:c r="C50" s="42"/>
      <x:c r="D50" s="42"/>
      <x:c r="E50" s="42"/>
      <x:c r="F50" s="42"/>
      <x:c r="G50" s="42"/>
      <x:c r="H50" s="42"/>
      <x:c r="I50" s="45"/>
    </x:row>
    <x:row r="51">
      <x:c r="A51" s="41"/>
      <x:c r="B51" s="42"/>
      <x:c r="C51" s="42"/>
      <x:c r="D51" s="42"/>
      <x:c r="E51" s="42"/>
      <x:c r="F51" s="42"/>
      <x:c r="G51" s="42"/>
      <x:c r="H51" s="42"/>
      <x:c r="I51" s="45"/>
    </x:row>
    <x:row r="52">
      <x:c r="A52" s="41"/>
      <x:c r="B52" s="42"/>
      <x:c r="C52" s="42"/>
      <x:c r="D52" s="42"/>
      <x:c r="E52" s="42"/>
      <x:c r="F52" s="42"/>
      <x:c r="G52" s="42"/>
      <x:c r="H52" s="42"/>
      <x:c r="I52" s="45"/>
    </x:row>
    <x:row r="53">
      <x:c r="A53" s="41"/>
      <x:c r="B53" s="42"/>
      <x:c r="C53" s="42"/>
      <x:c r="D53" s="42"/>
      <x:c r="E53" s="42"/>
      <x:c r="F53" s="42"/>
      <x:c r="G53" s="42"/>
      <x:c r="H53" s="42"/>
      <x:c r="I53" s="45"/>
    </x:row>
    <x:row r="54">
      <x:c r="A54" s="41"/>
      <x:c r="B54" s="42"/>
      <x:c r="C54" s="42"/>
      <x:c r="D54" s="42"/>
      <x:c r="E54" s="42"/>
      <x:c r="F54" s="42"/>
      <x:c r="G54" s="42"/>
      <x:c r="H54" s="42"/>
      <x:c r="I54" s="45"/>
    </x:row>
    <x:row r="55">
      <x:c r="A55" s="41"/>
      <x:c r="B55" s="42"/>
      <x:c r="C55" s="42"/>
      <x:c r="D55" s="42"/>
      <x:c r="E55" s="42"/>
      <x:c r="F55" s="42"/>
      <x:c r="G55" s="42"/>
      <x:c r="H55" s="42"/>
      <x:c r="I55" s="45"/>
    </x:row>
    <x:row r="56">
      <x:c r="A56" s="41"/>
      <x:c r="B56" s="42"/>
      <x:c r="C56" s="42"/>
      <x:c r="D56" s="42"/>
      <x:c r="E56" s="42"/>
      <x:c r="F56" s="42"/>
      <x:c r="G56" s="42"/>
      <x:c r="H56" s="42"/>
      <x:c r="I56" s="45"/>
    </x:row>
    <x:row r="57">
      <x:c r="A57" s="41"/>
      <x:c r="B57" s="42"/>
      <x:c r="C57" s="42"/>
      <x:c r="D57" s="42"/>
      <x:c r="E57" s="42"/>
      <x:c r="F57" s="42"/>
      <x:c r="G57" s="42"/>
      <x:c r="H57" s="42"/>
      <x:c r="I57" s="45"/>
    </x:row>
    <x:row r="58">
      <x:c r="A58" s="41"/>
      <x:c r="B58" s="42"/>
      <x:c r="C58" s="42"/>
      <x:c r="D58" s="42"/>
      <x:c r="E58" s="42"/>
      <x:c r="F58" s="42"/>
      <x:c r="G58" s="42"/>
      <x:c r="H58" s="42"/>
      <x:c r="I58" s="45"/>
    </x:row>
    <x:row r="59">
      <x:c r="A59" s="41"/>
      <x:c r="B59" s="42"/>
      <x:c r="C59" s="42"/>
      <x:c r="D59" s="42"/>
      <x:c r="E59" s="42"/>
      <x:c r="F59" s="42"/>
      <x:c r="G59" s="42"/>
      <x:c r="H59" s="42"/>
      <x:c r="I59" s="45"/>
    </x:row>
    <x:row r="60">
      <x:c r="A60" s="41"/>
      <x:c r="B60" s="42"/>
      <x:c r="C60" s="42"/>
      <x:c r="D60" s="42"/>
      <x:c r="E60" s="42"/>
      <x:c r="F60" s="42"/>
      <x:c r="G60" s="42"/>
      <x:c r="H60" s="42"/>
      <x:c r="I60" s="45"/>
    </x:row>
    <x:row r="61">
      <x:c r="A61" s="41"/>
      <x:c r="B61" s="42"/>
      <x:c r="C61" s="42"/>
      <x:c r="D61" s="42"/>
      <x:c r="E61" s="42"/>
      <x:c r="F61" s="42"/>
      <x:c r="G61" s="42"/>
      <x:c r="H61" s="42"/>
      <x:c r="I61" s="45"/>
    </x:row>
    <x:row r="62">
      <x:c r="A62" s="41"/>
      <x:c r="B62" s="42"/>
      <x:c r="C62" s="42"/>
      <x:c r="D62" s="42"/>
      <x:c r="E62" s="42"/>
      <x:c r="F62" s="42"/>
      <x:c r="G62" s="42"/>
      <x:c r="H62" s="42"/>
      <x:c r="I62" s="45"/>
    </x:row>
    <x:row r="63">
      <x:c r="A63" s="41"/>
      <x:c r="B63" s="42"/>
      <x:c r="C63" s="42"/>
      <x:c r="D63" s="42"/>
      <x:c r="E63" s="42"/>
      <x:c r="F63" s="42"/>
      <x:c r="G63" s="42"/>
      <x:c r="H63" s="42"/>
      <x:c r="I63" s="45"/>
    </x:row>
    <x:row r="64">
      <x:c r="A64" s="41"/>
      <x:c r="B64" s="42"/>
      <x:c r="C64" s="42"/>
      <x:c r="D64" s="42"/>
      <x:c r="E64" s="42"/>
      <x:c r="F64" s="42"/>
      <x:c r="G64" s="42"/>
      <x:c r="H64" s="42"/>
      <x:c r="I64" s="45"/>
    </x:row>
    <x:row r="65">
      <x:c r="A65" s="41"/>
      <x:c r="B65" s="42"/>
      <x:c r="C65" s="42"/>
      <x:c r="D65" s="42"/>
      <x:c r="E65" s="42"/>
      <x:c r="F65" s="42"/>
      <x:c r="G65" s="42"/>
      <x:c r="H65" s="42"/>
      <x:c r="I65" s="45"/>
    </x:row>
    <x:row r="66">
      <x:c r="A66" s="41"/>
      <x:c r="B66" s="42"/>
      <x:c r="C66" s="42"/>
      <x:c r="D66" s="42"/>
      <x:c r="E66" s="42"/>
      <x:c r="F66" s="42"/>
      <x:c r="G66" s="42"/>
      <x:c r="H66" s="42"/>
      <x:c r="I66" s="45"/>
    </x:row>
    <x:row r="67">
      <x:c r="A67" s="41"/>
      <x:c r="B67" s="42"/>
      <x:c r="C67" s="42"/>
      <x:c r="D67" s="42"/>
      <x:c r="E67" s="42"/>
      <x:c r="F67" s="42"/>
      <x:c r="G67" s="42"/>
      <x:c r="H67" s="42"/>
      <x:c r="I67" s="45"/>
    </x:row>
    <x:row r="68">
      <x:c r="A68" s="41"/>
      <x:c r="B68" s="42"/>
      <x:c r="C68" s="42"/>
      <x:c r="D68" s="42"/>
      <x:c r="E68" s="42"/>
      <x:c r="F68" s="42"/>
      <x:c r="G68" s="42"/>
      <x:c r="H68" s="42"/>
      <x:c r="I68" s="45"/>
    </x:row>
    <x:row r="69">
      <x:c r="A69" s="41"/>
      <x:c r="B69" s="42"/>
      <x:c r="C69" s="42"/>
      <x:c r="D69" s="42"/>
      <x:c r="E69" s="42"/>
      <x:c r="F69" s="42"/>
      <x:c r="G69" s="42"/>
      <x:c r="H69" s="42"/>
      <x:c r="I69" s="45"/>
    </x:row>
    <x:row r="70">
      <x:c r="A70" s="41"/>
      <x:c r="B70" s="42"/>
      <x:c r="C70" s="42"/>
      <x:c r="D70" s="42"/>
      <x:c r="E70" s="42"/>
      <x:c r="F70" s="42"/>
      <x:c r="G70" s="42"/>
      <x:c r="H70" s="42"/>
      <x:c r="I70" s="45"/>
    </x:row>
    <x:row r="71">
      <x:c r="A71" s="41"/>
      <x:c r="B71" s="42"/>
      <x:c r="C71" s="42"/>
      <x:c r="D71" s="42"/>
      <x:c r="E71" s="42"/>
      <x:c r="F71" s="42"/>
      <x:c r="G71" s="42"/>
      <x:c r="H71" s="42"/>
      <x:c r="I71" s="45"/>
    </x:row>
    <x:row r="72">
      <x:c r="A72" s="41"/>
      <x:c r="B72" s="42"/>
      <x:c r="C72" s="42"/>
      <x:c r="D72" s="42"/>
      <x:c r="E72" s="42"/>
      <x:c r="F72" s="42"/>
      <x:c r="G72" s="42"/>
      <x:c r="H72" s="42"/>
      <x:c r="I72" s="45"/>
    </x:row>
    <x:row r="73">
      <x:c r="A73" s="41"/>
      <x:c r="B73" s="42"/>
      <x:c r="C73" s="42"/>
      <x:c r="D73" s="42"/>
      <x:c r="E73" s="42"/>
      <x:c r="F73" s="42"/>
      <x:c r="G73" s="42"/>
      <x:c r="H73" s="42"/>
      <x:c r="I73" s="45"/>
    </x:row>
    <x:row r="74">
      <x:c r="A74" s="41"/>
      <x:c r="B74" s="42"/>
      <x:c r="C74" s="42"/>
      <x:c r="D74" s="42"/>
      <x:c r="E74" s="42"/>
      <x:c r="F74" s="42"/>
      <x:c r="G74" s="42"/>
      <x:c r="H74" s="42"/>
      <x:c r="I74" s="45"/>
    </x:row>
    <x:row r="75">
      <x:c r="A75" s="41"/>
      <x:c r="B75" s="42"/>
      <x:c r="C75" s="42"/>
      <x:c r="D75" s="42"/>
      <x:c r="E75" s="42"/>
      <x:c r="F75" s="42"/>
      <x:c r="G75" s="42"/>
      <x:c r="H75" s="42"/>
      <x:c r="I75" s="45"/>
    </x:row>
    <x:row r="76">
      <x:c r="A76" s="41"/>
      <x:c r="B76" s="42"/>
      <x:c r="C76" s="42"/>
      <x:c r="D76" s="42"/>
      <x:c r="E76" s="42"/>
      <x:c r="F76" s="42"/>
      <x:c r="G76" s="42"/>
      <x:c r="H76" s="42"/>
      <x:c r="I76" s="45"/>
    </x:row>
    <x:row r="77">
      <x:c r="A77" s="41"/>
      <x:c r="B77" s="42"/>
      <x:c r="C77" s="42"/>
      <x:c r="D77" s="42"/>
      <x:c r="E77" s="42"/>
      <x:c r="F77" s="42"/>
      <x:c r="G77" s="42"/>
      <x:c r="H77" s="42"/>
      <x:c r="I77" s="45"/>
    </x:row>
    <x:row r="78">
      <x:c r="A78" s="41"/>
      <x:c r="B78" s="42"/>
      <x:c r="C78" s="42"/>
      <x:c r="D78" s="42"/>
      <x:c r="E78" s="42"/>
      <x:c r="F78" s="42"/>
      <x:c r="G78" s="42"/>
      <x:c r="H78" s="42"/>
      <x:c r="I78" s="45"/>
    </x:row>
    <x:row r="79">
      <x:c r="A79" s="41"/>
      <x:c r="B79" s="42"/>
      <x:c r="C79" s="42"/>
      <x:c r="D79" s="42"/>
      <x:c r="E79" s="42"/>
      <x:c r="F79" s="42"/>
      <x:c r="G79" s="42"/>
      <x:c r="H79" s="42"/>
      <x:c r="I79" s="45"/>
    </x:row>
    <x:row r="80">
      <x:c r="A80" s="41"/>
      <x:c r="B80" s="42"/>
      <x:c r="C80" s="42"/>
      <x:c r="D80" s="42"/>
      <x:c r="E80" s="42"/>
      <x:c r="F80" s="42"/>
      <x:c r="G80" s="42"/>
      <x:c r="H80" s="42"/>
      <x:c r="I80" s="45"/>
    </x:row>
    <x:row r="81">
      <x:c r="A81" s="41"/>
      <x:c r="B81" s="42"/>
      <x:c r="C81" s="42"/>
      <x:c r="D81" s="42"/>
      <x:c r="E81" s="42"/>
      <x:c r="F81" s="42"/>
      <x:c r="G81" s="42"/>
      <x:c r="H81" s="42"/>
      <x:c r="I81" s="45"/>
    </x:row>
    <x:row r="82">
      <x:c r="A82" s="41"/>
      <x:c r="B82" s="42"/>
      <x:c r="C82" s="42"/>
      <x:c r="D82" s="42"/>
      <x:c r="E82" s="42"/>
      <x:c r="F82" s="42"/>
      <x:c r="G82" s="42"/>
      <x:c r="H82" s="42"/>
      <x:c r="I82" s="45"/>
    </x:row>
    <x:row r="83">
      <x:c r="A83" s="41"/>
      <x:c r="B83" s="42"/>
      <x:c r="C83" s="42"/>
      <x:c r="D83" s="42"/>
      <x:c r="E83" s="42"/>
      <x:c r="F83" s="42"/>
      <x:c r="G83" s="42"/>
      <x:c r="H83" s="42"/>
      <x:c r="I83" s="45"/>
    </x:row>
    <x:row r="84">
      <x:c r="A84" s="41"/>
      <x:c r="B84" s="42"/>
      <x:c r="C84" s="42"/>
      <x:c r="D84" s="42"/>
      <x:c r="E84" s="42"/>
      <x:c r="F84" s="42"/>
      <x:c r="G84" s="42"/>
      <x:c r="H84" s="42"/>
      <x:c r="I84" s="45"/>
    </x:row>
    <x:row r="85">
      <x:c r="A85" s="41"/>
      <x:c r="B85" s="42"/>
      <x:c r="C85" s="42"/>
      <x:c r="D85" s="42"/>
      <x:c r="E85" s="42"/>
      <x:c r="F85" s="42"/>
      <x:c r="G85" s="42"/>
      <x:c r="H85" s="42"/>
      <x:c r="I85" s="45"/>
    </x:row>
    <x:row r="86">
      <x:c r="A86" s="41"/>
      <x:c r="B86" s="42"/>
      <x:c r="C86" s="42"/>
      <x:c r="D86" s="42"/>
      <x:c r="E86" s="42"/>
      <x:c r="F86" s="42"/>
      <x:c r="G86" s="42"/>
      <x:c r="H86" s="42"/>
      <x:c r="I86" s="45"/>
    </x:row>
    <x:row r="87">
      <x:c r="A87" s="41"/>
      <x:c r="B87" s="42"/>
      <x:c r="C87" s="42"/>
      <x:c r="D87" s="42"/>
      <x:c r="E87" s="42"/>
      <x:c r="F87" s="42"/>
      <x:c r="G87" s="42"/>
      <x:c r="H87" s="42"/>
      <x:c r="I87" s="45"/>
    </x:row>
    <x:row r="88">
      <x:c r="A88" s="41"/>
      <x:c r="B88" s="42"/>
      <x:c r="C88" s="42"/>
      <x:c r="D88" s="42"/>
      <x:c r="E88" s="42"/>
      <x:c r="F88" s="42"/>
      <x:c r="G88" s="42"/>
      <x:c r="H88" s="42"/>
      <x:c r="I88" s="45"/>
    </x:row>
    <x:row r="89">
      <x:c r="A89" s="41"/>
      <x:c r="B89" s="42"/>
      <x:c r="C89" s="42"/>
      <x:c r="D89" s="42"/>
      <x:c r="E89" s="42"/>
      <x:c r="F89" s="42"/>
      <x:c r="G89" s="42"/>
      <x:c r="H89" s="42"/>
      <x:c r="I89" s="45"/>
    </x:row>
    <x:row r="90">
      <x:c r="A90" s="41"/>
      <x:c r="B90" s="42"/>
      <x:c r="C90" s="42"/>
      <x:c r="D90" s="42"/>
      <x:c r="E90" s="42"/>
      <x:c r="F90" s="42"/>
      <x:c r="G90" s="42"/>
      <x:c r="H90" s="42"/>
      <x:c r="I90" s="45"/>
    </x:row>
    <x:row r="91">
      <x:c r="A91" s="41"/>
      <x:c r="B91" s="42"/>
      <x:c r="C91" s="42"/>
      <x:c r="D91" s="42"/>
      <x:c r="E91" s="42"/>
      <x:c r="F91" s="42"/>
      <x:c r="G91" s="42"/>
      <x:c r="H91" s="42"/>
      <x:c r="I91" s="45"/>
    </x:row>
    <x:row r="92">
      <x:c r="A92" s="41"/>
      <x:c r="B92" s="42"/>
      <x:c r="C92" s="42"/>
      <x:c r="D92" s="42"/>
      <x:c r="E92" s="42"/>
      <x:c r="F92" s="42"/>
      <x:c r="G92" s="42"/>
      <x:c r="H92" s="42"/>
      <x:c r="I92" s="45"/>
    </x:row>
    <x:row r="93">
      <x:c r="A93" s="41"/>
      <x:c r="B93" s="42"/>
      <x:c r="C93" s="42"/>
      <x:c r="D93" s="42"/>
      <x:c r="E93" s="42"/>
      <x:c r="F93" s="42"/>
      <x:c r="G93" s="42"/>
      <x:c r="H93" s="42"/>
      <x:c r="I93" s="45"/>
    </x:row>
    <x:row r="94">
      <x:c r="A94" s="41"/>
      <x:c r="B94" s="42"/>
      <x:c r="C94" s="42"/>
      <x:c r="D94" s="42"/>
      <x:c r="E94" s="42"/>
      <x:c r="F94" s="42"/>
      <x:c r="G94" s="42"/>
      <x:c r="H94" s="42"/>
      <x:c r="I94" s="45"/>
    </x:row>
    <x:row r="95">
      <x:c r="A95" s="41"/>
      <x:c r="B95" s="42"/>
      <x:c r="C95" s="42"/>
      <x:c r="D95" s="42"/>
      <x:c r="E95" s="42"/>
      <x:c r="F95" s="42"/>
      <x:c r="G95" s="42"/>
      <x:c r="H95" s="42"/>
      <x:c r="I95" s="45"/>
    </x:row>
    <x:row r="96">
      <x:c r="A96" s="41"/>
      <x:c r="B96" s="42"/>
      <x:c r="C96" s="42"/>
      <x:c r="D96" s="42"/>
      <x:c r="E96" s="42"/>
      <x:c r="F96" s="42"/>
      <x:c r="G96" s="42"/>
      <x:c r="H96" s="42"/>
      <x:c r="I96" s="45"/>
    </x:row>
    <x:row r="97">
      <x:c r="A97" s="41"/>
      <x:c r="B97" s="42"/>
      <x:c r="C97" s="42"/>
      <x:c r="D97" s="42"/>
      <x:c r="E97" s="42"/>
      <x:c r="F97" s="42"/>
      <x:c r="G97" s="42"/>
      <x:c r="H97" s="42"/>
      <x:c r="I97" s="45"/>
    </x:row>
    <x:row r="98">
      <x:c r="A98" s="41"/>
      <x:c r="B98" s="42"/>
      <x:c r="C98" s="42"/>
      <x:c r="D98" s="42"/>
      <x:c r="E98" s="42"/>
      <x:c r="F98" s="42"/>
      <x:c r="G98" s="42"/>
      <x:c r="H98" s="42"/>
      <x:c r="I98" s="45"/>
    </x:row>
    <x:row r="99">
      <x:c r="A99" s="41"/>
      <x:c r="B99" s="42"/>
      <x:c r="C99" s="42"/>
      <x:c r="D99" s="42"/>
      <x:c r="E99" s="42"/>
      <x:c r="F99" s="42"/>
      <x:c r="G99" s="42"/>
      <x:c r="H99" s="42"/>
      <x:c r="I99" s="45"/>
    </x:row>
    <x:row r="100">
      <x:c r="A100" s="48"/>
      <x:c r="B100" s="49"/>
      <x:c r="C100" s="49"/>
      <x:c r="D100" s="49"/>
      <x:c r="E100" s="49"/>
      <x:c r="F100" s="49"/>
      <x:c r="G100" s="49"/>
      <x:c r="H100" s="49"/>
      <x:c r="I100" s="50"/>
    </x:row>
  </x:sheetData>
  <x:mergeCells>
    <x:mergeCell ref="A1:I1"/>
  </x:mergeCells>
  <x:dataValidations count="1">
    <x:dataValidation type="list" sqref="A4:A6">
      <x:formula1>"Yes,No"</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16" hidden="0" customWidth="1"/>
    <x:col min="3" max="3" width="34" hidden="0" customWidth="1"/>
    <x:col min="4" max="4" width="38" hidden="0" customWidth="1"/>
    <x:col min="5" max="5" width="22" hidden="0" customWidth="1"/>
    <x:col min="6" max="6" width="28" hidden="0" customWidth="1"/>
    <x:col min="7" max="7" width="16" hidden="0" customWidth="1"/>
    <x:col min="8" max="8" width="16" hidden="0" customWidth="1"/>
    <x:col min="9" max="9" width="16" hidden="0" customWidth="1"/>
  </x:cols>
  <x:sheetData>
    <x:row r="1">
      <x:c r="A1" s="36" t="str">
        <x:v>Maintenance &amp; Repairs</x:v>
      </x:c>
      <x:c r="B1" s="13"/>
      <x:c r="C1" s="13"/>
      <x:c r="D1" s="13"/>
      <x:c r="E1" s="13"/>
      <x:c r="F1" s="13"/>
      <x:c r="G1" s="13"/>
      <x:c r="H1" s="13"/>
      <x:c r="I1" s="13"/>
    </x:row>
    <x:row r="3">
      <x:c r="A3" s="38" t="str">
        <x:v>Select</x:v>
      </x:c>
      <x:c r="B3" s="39" t="str">
        <x:v>Component ID</x:v>
      </x:c>
      <x:c r="C3" s="39" t="str">
        <x:v>Portal Sub Item</x:v>
      </x:c>
      <x:c r="D3" s="39" t="str">
        <x:v>Mission Component</x:v>
      </x:c>
      <x:c r="E3" s="39" t="str">
        <x:v>Unit</x:v>
      </x:c>
      <x:c r="F3" s="39" t="str">
        <x:v>Recommended Quantity Formula</x:v>
      </x:c>
      <x:c r="G3" s="39" t="str">
        <x:v>Quantity</x:v>
      </x:c>
      <x:c r="H3" s="39" t="str">
        <x:v>Planning Unit Cost (₹)</x:v>
      </x:c>
      <x:c r="I3" s="40" t="str">
        <x:v>Total Amount (₹)</x:v>
      </x:c>
    </x:row>
    <x:row r="4">
      <x:c r="A4" s="41" t="str">
        <x:v>No</x:v>
      </x:c>
      <x:c r="B4" s="42" t="str">
        <x:v>GFS-MR-001</x:v>
      </x:c>
      <x:c r="C4" s="42" t="str">
        <x:v>Boundary Wall Painting</x:v>
      </x:c>
      <x:c r="D4" s="42" t="str">
        <x:v>Boundary Wall Painting</x:v>
      </x:c>
      <x:c r="E4" s="42" t="str">
        <x:v>Sq feet</x:v>
      </x:c>
      <x:c r="F4" s="42" t="str">
        <x:v>As measured</x:v>
      </x:c>
      <x:c r="G4" s="43" t="n">
        <x:v>0</x:v>
      </x:c>
      <x:c r="H4" s="43" t="n">
        <x:v>30</x:v>
      </x:c>
      <x:c r="I4" s="44" t="n">
        <x:f>IF(A4="Yes",G4*H4,0)</x:f>
        <x:v>0</x:v>
      </x:c>
    </x:row>
    <x:row r="5">
      <x:c r="A5" s="41" t="str">
        <x:v>No</x:v>
      </x:c>
      <x:c r="B5" s="42" t="str">
        <x:v>GFS-MR-002</x:v>
      </x:c>
      <x:c r="C5" s="42" t="str">
        <x:v>Electrical Fixture Change</x:v>
      </x:c>
      <x:c r="D5" s="42" t="str">
        <x:v>Electrical Fixture Replacement</x:v>
      </x:c>
      <x:c r="E5" s="42" t="str">
        <x:v>In number</x:v>
      </x:c>
      <x:c r="F5" s="42" t="str">
        <x:v>Need based</x:v>
      </x:c>
      <x:c r="G5" s="43" t="n">
        <x:v>0</x:v>
      </x:c>
      <x:c r="H5" s="43" t="n">
        <x:v>1500</x:v>
      </x:c>
      <x:c r="I5" s="44" t="n">
        <x:f>IF(A5="Yes",G5*H5,0)</x:f>
        <x:v>0</x:v>
      </x:c>
    </x:row>
    <x:row r="6">
      <x:c r="A6" s="41" t="str">
        <x:v>No</x:v>
      </x:c>
      <x:c r="B6" s="42" t="str">
        <x:v>GFS-MR-003</x:v>
      </x:c>
      <x:c r="C6" s="42" t="str">
        <x:v>Fans Regulators Change</x:v>
      </x:c>
      <x:c r="D6" s="42" t="str">
        <x:v>Fan Regulator Replacement</x:v>
      </x:c>
      <x:c r="E6" s="42" t="str">
        <x:v>In number</x:v>
      </x:c>
      <x:c r="F6" s="42" t="str">
        <x:v>Need based</x:v>
      </x:c>
      <x:c r="G6" s="43" t="n">
        <x:v>0</x:v>
      </x:c>
      <x:c r="H6" s="43" t="n">
        <x:v>500</x:v>
      </x:c>
      <x:c r="I6" s="44" t="n">
        <x:f>IF(A6="Yes",G6*H6,0)</x:f>
        <x:v>0</x:v>
      </x:c>
    </x:row>
    <x:row r="7">
      <x:c r="A7" s="41" t="str">
        <x:v>No</x:v>
      </x:c>
      <x:c r="B7" s="42" t="str">
        <x:v>GFS-MR-004</x:v>
      </x:c>
      <x:c r="C7" s="42" t="str">
        <x:v>Generator Repair / Maintenance</x:v>
      </x:c>
      <x:c r="D7" s="42" t="str">
        <x:v>Generator Maintenance</x:v>
      </x:c>
      <x:c r="E7" s="42" t="str">
        <x:v>In number</x:v>
      </x:c>
      <x:c r="F7" s="42" t="str">
        <x:v>Need based</x:v>
      </x:c>
      <x:c r="G7" s="43" t="n">
        <x:v>0</x:v>
      </x:c>
      <x:c r="H7" s="43" t="n">
        <x:v>10000</x:v>
      </x:c>
      <x:c r="I7" s="44" t="n">
        <x:f>IF(A7="Yes",G7*H7,0)</x:f>
        <x:v>0</x:v>
      </x:c>
    </x:row>
    <x:row r="8">
      <x:c r="A8" s="41" t="str">
        <x:v>No</x:v>
      </x:c>
      <x:c r="B8" s="42" t="str">
        <x:v>GFS-MR-005</x:v>
      </x:c>
      <x:c r="C8" s="42" t="str">
        <x:v>Painting (per sq. ft.)</x:v>
      </x:c>
      <x:c r="D8" s="42" t="str">
        <x:v>Wall Painting</x:v>
      </x:c>
      <x:c r="E8" s="42" t="str">
        <x:v>Sq feet</x:v>
      </x:c>
      <x:c r="F8" s="42" t="str">
        <x:v>As measured</x:v>
      </x:c>
      <x:c r="G8" s="43" t="n">
        <x:v>0</x:v>
      </x:c>
      <x:c r="H8" s="43" t="n">
        <x:v>35</x:v>
      </x:c>
      <x:c r="I8" s="44" t="n">
        <x:f>IF(A8="Yes",G8*H8,0)</x:f>
        <x:v>0</x:v>
      </x:c>
    </x:row>
    <x:row r="9">
      <x:c r="A9" s="41" t="str">
        <x:v>No</x:v>
      </x:c>
      <x:c r="B9" s="42" t="str">
        <x:v>GFS-MR-006</x:v>
      </x:c>
      <x:c r="C9" s="42" t="str">
        <x:v>Pumps / Motors Repair</x:v>
      </x:c>
      <x:c r="D9" s="42" t="str">
        <x:v>Pump/Motor Repair</x:v>
      </x:c>
      <x:c r="E9" s="42" t="str">
        <x:v>In number</x:v>
      </x:c>
      <x:c r="F9" s="42" t="str">
        <x:v>Need based</x:v>
      </x:c>
      <x:c r="G9" s="43" t="n">
        <x:v>0</x:v>
      </x:c>
      <x:c r="H9" s="43" t="n">
        <x:v>15000</x:v>
      </x:c>
      <x:c r="I9" s="44" t="n">
        <x:f>IF(A9="Yes",G9*H9,0)</x:f>
        <x:v>0</x:v>
      </x:c>
    </x:row>
    <x:row r="10">
      <x:c r="A10" s="41" t="str">
        <x:v>No</x:v>
      </x:c>
      <x:c r="B10" s="42" t="str">
        <x:v>GFS-MR-007</x:v>
      </x:c>
      <x:c r="C10" s="42" t="str">
        <x:v>ICT Equipment maintenance and repair</x:v>
      </x:c>
      <x:c r="D10" s="42" t="str">
        <x:v>ICT Maintenance</x:v>
      </x:c>
      <x:c r="E10" s="42" t="str">
        <x:v>In number</x:v>
      </x:c>
      <x:c r="F10" s="42" t="str">
        <x:v>Need based</x:v>
      </x:c>
      <x:c r="G10" s="43" t="n">
        <x:v>0</x:v>
      </x:c>
      <x:c r="H10" s="43" t="n">
        <x:v>10000</x:v>
      </x:c>
      <x:c r="I10" s="44" t="n">
        <x:f>IF(A10="Yes",G10*H10,0)</x:f>
        <x:v>0</x:v>
      </x:c>
    </x:row>
    <x:row r="11">
      <x:c r="A11" s="41" t="str">
        <x:v>No</x:v>
      </x:c>
      <x:c r="B11" s="42" t="str">
        <x:v>GFS-MR-008</x:v>
      </x:c>
      <x:c r="C11" s="42" t="str">
        <x:v>UPS Battery replacement</x:v>
      </x:c>
      <x:c r="D11" s="42" t="str">
        <x:v>UPS Battery Replacement</x:v>
      </x:c>
      <x:c r="E11" s="42" t="str">
        <x:v>In number</x:v>
      </x:c>
      <x:c r="F11" s="42" t="str">
        <x:v>Need based</x:v>
      </x:c>
      <x:c r="G11" s="43" t="n">
        <x:v>0</x:v>
      </x:c>
      <x:c r="H11" s="43" t="n">
        <x:v>6000</x:v>
      </x:c>
      <x:c r="I11" s="44" t="n">
        <x:f>IF(A11="Yes",G11*H11,0)</x:f>
        <x:v>0</x:v>
      </x:c>
    </x:row>
    <x:row r="12">
      <x:c r="A12" s="41"/>
      <x:c r="B12" s="42"/>
      <x:c r="C12" s="42"/>
      <x:c r="D12" s="42"/>
      <x:c r="E12" s="42"/>
      <x:c r="F12" s="42"/>
      <x:c r="G12" s="42"/>
      <x:c r="H12" s="42"/>
      <x:c r="I12" s="45"/>
    </x:row>
    <x:row r="13">
      <x:c r="A13" s="41"/>
      <x:c r="B13" s="42"/>
      <x:c r="C13" s="42"/>
      <x:c r="D13" s="42"/>
      <x:c r="E13" s="42"/>
      <x:c r="F13" s="42"/>
      <x:c r="G13" s="42"/>
      <x:c r="H13" s="46" t="str">
        <x:v>Work Area Total</x:v>
      </x:c>
      <x:c r="I13" s="47" t="n">
        <x:f>SUM(I4:I11)</x:f>
        <x:v>0</x:v>
      </x:c>
    </x:row>
    <x:row r="14">
      <x:c r="A14" s="41"/>
      <x:c r="B14" s="42"/>
      <x:c r="C14" s="42"/>
      <x:c r="D14" s="42"/>
      <x:c r="E14" s="42"/>
      <x:c r="F14" s="42"/>
      <x:c r="G14" s="42"/>
      <x:c r="H14" s="42"/>
      <x:c r="I14" s="45"/>
    </x:row>
    <x:row r="15">
      <x:c r="A15" s="41"/>
      <x:c r="B15" s="42"/>
      <x:c r="C15" s="42"/>
      <x:c r="D15" s="42"/>
      <x:c r="E15" s="42"/>
      <x:c r="F15" s="42"/>
      <x:c r="G15" s="42"/>
      <x:c r="H15" s="42"/>
      <x:c r="I15" s="45"/>
    </x:row>
    <x:row r="16">
      <x:c r="A16" s="41"/>
      <x:c r="B16" s="42"/>
      <x:c r="C16" s="42"/>
      <x:c r="D16" s="42"/>
      <x:c r="E16" s="42"/>
      <x:c r="F16" s="42"/>
      <x:c r="G16" s="42"/>
      <x:c r="H16" s="42"/>
      <x:c r="I16" s="45"/>
    </x:row>
    <x:row r="17">
      <x:c r="A17" s="41"/>
      <x:c r="B17" s="42"/>
      <x:c r="C17" s="42"/>
      <x:c r="D17" s="42"/>
      <x:c r="E17" s="42"/>
      <x:c r="F17" s="42"/>
      <x:c r="G17" s="42"/>
      <x:c r="H17" s="42"/>
      <x:c r="I17" s="45"/>
    </x:row>
    <x:row r="18">
      <x:c r="A18" s="41"/>
      <x:c r="B18" s="42"/>
      <x:c r="C18" s="42"/>
      <x:c r="D18" s="42"/>
      <x:c r="E18" s="42"/>
      <x:c r="F18" s="42"/>
      <x:c r="G18" s="42"/>
      <x:c r="H18" s="42"/>
      <x:c r="I18" s="45"/>
    </x:row>
    <x:row r="19">
      <x:c r="A19" s="41"/>
      <x:c r="B19" s="42"/>
      <x:c r="C19" s="42"/>
      <x:c r="D19" s="42"/>
      <x:c r="E19" s="42"/>
      <x:c r="F19" s="42"/>
      <x:c r="G19" s="42"/>
      <x:c r="H19" s="42"/>
      <x:c r="I19" s="45"/>
    </x:row>
    <x:row r="20">
      <x:c r="A20" s="41"/>
      <x:c r="B20" s="42"/>
      <x:c r="C20" s="42"/>
      <x:c r="D20" s="42"/>
      <x:c r="E20" s="42"/>
      <x:c r="F20" s="42"/>
      <x:c r="G20" s="42"/>
      <x:c r="H20" s="42"/>
      <x:c r="I20" s="45"/>
    </x:row>
    <x:row r="21">
      <x:c r="A21" s="41"/>
      <x:c r="B21" s="42"/>
      <x:c r="C21" s="42"/>
      <x:c r="D21" s="42"/>
      <x:c r="E21" s="42"/>
      <x:c r="F21" s="42"/>
      <x:c r="G21" s="42"/>
      <x:c r="H21" s="42"/>
      <x:c r="I21" s="45"/>
    </x:row>
    <x:row r="22">
      <x:c r="A22" s="41"/>
      <x:c r="B22" s="42"/>
      <x:c r="C22" s="42"/>
      <x:c r="D22" s="42"/>
      <x:c r="E22" s="42"/>
      <x:c r="F22" s="42"/>
      <x:c r="G22" s="42"/>
      <x:c r="H22" s="42"/>
      <x:c r="I22" s="45"/>
    </x:row>
    <x:row r="23">
      <x:c r="A23" s="41"/>
      <x:c r="B23" s="42"/>
      <x:c r="C23" s="42"/>
      <x:c r="D23" s="42"/>
      <x:c r="E23" s="42"/>
      <x:c r="F23" s="42"/>
      <x:c r="G23" s="42"/>
      <x:c r="H23" s="42"/>
      <x:c r="I23" s="45"/>
    </x:row>
    <x:row r="24">
      <x:c r="A24" s="41"/>
      <x:c r="B24" s="42"/>
      <x:c r="C24" s="42"/>
      <x:c r="D24" s="42"/>
      <x:c r="E24" s="42"/>
      <x:c r="F24" s="42"/>
      <x:c r="G24" s="42"/>
      <x:c r="H24" s="42"/>
      <x:c r="I24" s="45"/>
    </x:row>
    <x:row r="25">
      <x:c r="A25" s="41"/>
      <x:c r="B25" s="42"/>
      <x:c r="C25" s="42"/>
      <x:c r="D25" s="42"/>
      <x:c r="E25" s="42"/>
      <x:c r="F25" s="42"/>
      <x:c r="G25" s="42"/>
      <x:c r="H25" s="42"/>
      <x:c r="I25" s="45"/>
    </x:row>
    <x:row r="26">
      <x:c r="A26" s="41"/>
      <x:c r="B26" s="42"/>
      <x:c r="C26" s="42"/>
      <x:c r="D26" s="42"/>
      <x:c r="E26" s="42"/>
      <x:c r="F26" s="42"/>
      <x:c r="G26" s="42"/>
      <x:c r="H26" s="42"/>
      <x:c r="I26" s="45"/>
    </x:row>
    <x:row r="27">
      <x:c r="A27" s="41"/>
      <x:c r="B27" s="42"/>
      <x:c r="C27" s="42"/>
      <x:c r="D27" s="42"/>
      <x:c r="E27" s="42"/>
      <x:c r="F27" s="42"/>
      <x:c r="G27" s="42"/>
      <x:c r="H27" s="42"/>
      <x:c r="I27" s="45"/>
    </x:row>
    <x:row r="28">
      <x:c r="A28" s="41"/>
      <x:c r="B28" s="42"/>
      <x:c r="C28" s="42"/>
      <x:c r="D28" s="42"/>
      <x:c r="E28" s="42"/>
      <x:c r="F28" s="42"/>
      <x:c r="G28" s="42"/>
      <x:c r="H28" s="42"/>
      <x:c r="I28" s="45"/>
    </x:row>
    <x:row r="29">
      <x:c r="A29" s="41"/>
      <x:c r="B29" s="42"/>
      <x:c r="C29" s="42"/>
      <x:c r="D29" s="42"/>
      <x:c r="E29" s="42"/>
      <x:c r="F29" s="42"/>
      <x:c r="G29" s="42"/>
      <x:c r="H29" s="42"/>
      <x:c r="I29" s="45"/>
    </x:row>
    <x:row r="30">
      <x:c r="A30" s="41"/>
      <x:c r="B30" s="42"/>
      <x:c r="C30" s="42"/>
      <x:c r="D30" s="42"/>
      <x:c r="E30" s="42"/>
      <x:c r="F30" s="42"/>
      <x:c r="G30" s="42"/>
      <x:c r="H30" s="42"/>
      <x:c r="I30" s="45"/>
    </x:row>
    <x:row r="31">
      <x:c r="A31" s="41"/>
      <x:c r="B31" s="42"/>
      <x:c r="C31" s="42"/>
      <x:c r="D31" s="42"/>
      <x:c r="E31" s="42"/>
      <x:c r="F31" s="42"/>
      <x:c r="G31" s="42"/>
      <x:c r="H31" s="42"/>
      <x:c r="I31" s="45"/>
    </x:row>
    <x:row r="32">
      <x:c r="A32" s="41"/>
      <x:c r="B32" s="42"/>
      <x:c r="C32" s="42"/>
      <x:c r="D32" s="42"/>
      <x:c r="E32" s="42"/>
      <x:c r="F32" s="42"/>
      <x:c r="G32" s="42"/>
      <x:c r="H32" s="42"/>
      <x:c r="I32" s="45"/>
    </x:row>
    <x:row r="33">
      <x:c r="A33" s="41"/>
      <x:c r="B33" s="42"/>
      <x:c r="C33" s="42"/>
      <x:c r="D33" s="42"/>
      <x:c r="E33" s="42"/>
      <x:c r="F33" s="42"/>
      <x:c r="G33" s="42"/>
      <x:c r="H33" s="42"/>
      <x:c r="I33" s="45"/>
    </x:row>
    <x:row r="34">
      <x:c r="A34" s="41"/>
      <x:c r="B34" s="42"/>
      <x:c r="C34" s="42"/>
      <x:c r="D34" s="42"/>
      <x:c r="E34" s="42"/>
      <x:c r="F34" s="42"/>
      <x:c r="G34" s="42"/>
      <x:c r="H34" s="42"/>
      <x:c r="I34" s="45"/>
    </x:row>
    <x:row r="35">
      <x:c r="A35" s="41"/>
      <x:c r="B35" s="42"/>
      <x:c r="C35" s="42"/>
      <x:c r="D35" s="42"/>
      <x:c r="E35" s="42"/>
      <x:c r="F35" s="42"/>
      <x:c r="G35" s="42"/>
      <x:c r="H35" s="42"/>
      <x:c r="I35" s="45"/>
    </x:row>
    <x:row r="36">
      <x:c r="A36" s="41"/>
      <x:c r="B36" s="42"/>
      <x:c r="C36" s="42"/>
      <x:c r="D36" s="42"/>
      <x:c r="E36" s="42"/>
      <x:c r="F36" s="42"/>
      <x:c r="G36" s="42"/>
      <x:c r="H36" s="42"/>
      <x:c r="I36" s="45"/>
    </x:row>
    <x:row r="37">
      <x:c r="A37" s="41"/>
      <x:c r="B37" s="42"/>
      <x:c r="C37" s="42"/>
      <x:c r="D37" s="42"/>
      <x:c r="E37" s="42"/>
      <x:c r="F37" s="42"/>
      <x:c r="G37" s="42"/>
      <x:c r="H37" s="42"/>
      <x:c r="I37" s="45"/>
    </x:row>
    <x:row r="38">
      <x:c r="A38" s="41"/>
      <x:c r="B38" s="42"/>
      <x:c r="C38" s="42"/>
      <x:c r="D38" s="42"/>
      <x:c r="E38" s="42"/>
      <x:c r="F38" s="42"/>
      <x:c r="G38" s="42"/>
      <x:c r="H38" s="42"/>
      <x:c r="I38" s="45"/>
    </x:row>
    <x:row r="39">
      <x:c r="A39" s="41"/>
      <x:c r="B39" s="42"/>
      <x:c r="C39" s="42"/>
      <x:c r="D39" s="42"/>
      <x:c r="E39" s="42"/>
      <x:c r="F39" s="42"/>
      <x:c r="G39" s="42"/>
      <x:c r="H39" s="42"/>
      <x:c r="I39" s="45"/>
    </x:row>
    <x:row r="40">
      <x:c r="A40" s="41"/>
      <x:c r="B40" s="42"/>
      <x:c r="C40" s="42"/>
      <x:c r="D40" s="42"/>
      <x:c r="E40" s="42"/>
      <x:c r="F40" s="42"/>
      <x:c r="G40" s="42"/>
      <x:c r="H40" s="42"/>
      <x:c r="I40" s="45"/>
    </x:row>
    <x:row r="41">
      <x:c r="A41" s="41"/>
      <x:c r="B41" s="42"/>
      <x:c r="C41" s="42"/>
      <x:c r="D41" s="42"/>
      <x:c r="E41" s="42"/>
      <x:c r="F41" s="42"/>
      <x:c r="G41" s="42"/>
      <x:c r="H41" s="42"/>
      <x:c r="I41" s="45"/>
    </x:row>
    <x:row r="42">
      <x:c r="A42" s="41"/>
      <x:c r="B42" s="42"/>
      <x:c r="C42" s="42"/>
      <x:c r="D42" s="42"/>
      <x:c r="E42" s="42"/>
      <x:c r="F42" s="42"/>
      <x:c r="G42" s="42"/>
      <x:c r="H42" s="42"/>
      <x:c r="I42" s="45"/>
    </x:row>
    <x:row r="43">
      <x:c r="A43" s="41"/>
      <x:c r="B43" s="42"/>
      <x:c r="C43" s="42"/>
      <x:c r="D43" s="42"/>
      <x:c r="E43" s="42"/>
      <x:c r="F43" s="42"/>
      <x:c r="G43" s="42"/>
      <x:c r="H43" s="42"/>
      <x:c r="I43" s="45"/>
    </x:row>
    <x:row r="44">
      <x:c r="A44" s="41"/>
      <x:c r="B44" s="42"/>
      <x:c r="C44" s="42"/>
      <x:c r="D44" s="42"/>
      <x:c r="E44" s="42"/>
      <x:c r="F44" s="42"/>
      <x:c r="G44" s="42"/>
      <x:c r="H44" s="42"/>
      <x:c r="I44" s="45"/>
    </x:row>
    <x:row r="45">
      <x:c r="A45" s="41"/>
      <x:c r="B45" s="42"/>
      <x:c r="C45" s="42"/>
      <x:c r="D45" s="42"/>
      <x:c r="E45" s="42"/>
      <x:c r="F45" s="42"/>
      <x:c r="G45" s="42"/>
      <x:c r="H45" s="42"/>
      <x:c r="I45" s="45"/>
    </x:row>
    <x:row r="46">
      <x:c r="A46" s="41"/>
      <x:c r="B46" s="42"/>
      <x:c r="C46" s="42"/>
      <x:c r="D46" s="42"/>
      <x:c r="E46" s="42"/>
      <x:c r="F46" s="42"/>
      <x:c r="G46" s="42"/>
      <x:c r="H46" s="42"/>
      <x:c r="I46" s="45"/>
    </x:row>
    <x:row r="47">
      <x:c r="A47" s="41"/>
      <x:c r="B47" s="42"/>
      <x:c r="C47" s="42"/>
      <x:c r="D47" s="42"/>
      <x:c r="E47" s="42"/>
      <x:c r="F47" s="42"/>
      <x:c r="G47" s="42"/>
      <x:c r="H47" s="42"/>
      <x:c r="I47" s="45"/>
    </x:row>
    <x:row r="48">
      <x:c r="A48" s="41"/>
      <x:c r="B48" s="42"/>
      <x:c r="C48" s="42"/>
      <x:c r="D48" s="42"/>
      <x:c r="E48" s="42"/>
      <x:c r="F48" s="42"/>
      <x:c r="G48" s="42"/>
      <x:c r="H48" s="42"/>
      <x:c r="I48" s="45"/>
    </x:row>
    <x:row r="49">
      <x:c r="A49" s="41"/>
      <x:c r="B49" s="42"/>
      <x:c r="C49" s="42"/>
      <x:c r="D49" s="42"/>
      <x:c r="E49" s="42"/>
      <x:c r="F49" s="42"/>
      <x:c r="G49" s="42"/>
      <x:c r="H49" s="42"/>
      <x:c r="I49" s="45"/>
    </x:row>
    <x:row r="50">
      <x:c r="A50" s="41"/>
      <x:c r="B50" s="42"/>
      <x:c r="C50" s="42"/>
      <x:c r="D50" s="42"/>
      <x:c r="E50" s="42"/>
      <x:c r="F50" s="42"/>
      <x:c r="G50" s="42"/>
      <x:c r="H50" s="42"/>
      <x:c r="I50" s="45"/>
    </x:row>
    <x:row r="51">
      <x:c r="A51" s="41"/>
      <x:c r="B51" s="42"/>
      <x:c r="C51" s="42"/>
      <x:c r="D51" s="42"/>
      <x:c r="E51" s="42"/>
      <x:c r="F51" s="42"/>
      <x:c r="G51" s="42"/>
      <x:c r="H51" s="42"/>
      <x:c r="I51" s="45"/>
    </x:row>
    <x:row r="52">
      <x:c r="A52" s="41"/>
      <x:c r="B52" s="42"/>
      <x:c r="C52" s="42"/>
      <x:c r="D52" s="42"/>
      <x:c r="E52" s="42"/>
      <x:c r="F52" s="42"/>
      <x:c r="G52" s="42"/>
      <x:c r="H52" s="42"/>
      <x:c r="I52" s="45"/>
    </x:row>
    <x:row r="53">
      <x:c r="A53" s="41"/>
      <x:c r="B53" s="42"/>
      <x:c r="C53" s="42"/>
      <x:c r="D53" s="42"/>
      <x:c r="E53" s="42"/>
      <x:c r="F53" s="42"/>
      <x:c r="G53" s="42"/>
      <x:c r="H53" s="42"/>
      <x:c r="I53" s="45"/>
    </x:row>
    <x:row r="54">
      <x:c r="A54" s="41"/>
      <x:c r="B54" s="42"/>
      <x:c r="C54" s="42"/>
      <x:c r="D54" s="42"/>
      <x:c r="E54" s="42"/>
      <x:c r="F54" s="42"/>
      <x:c r="G54" s="42"/>
      <x:c r="H54" s="42"/>
      <x:c r="I54" s="45"/>
    </x:row>
    <x:row r="55">
      <x:c r="A55" s="41"/>
      <x:c r="B55" s="42"/>
      <x:c r="C55" s="42"/>
      <x:c r="D55" s="42"/>
      <x:c r="E55" s="42"/>
      <x:c r="F55" s="42"/>
      <x:c r="G55" s="42"/>
      <x:c r="H55" s="42"/>
      <x:c r="I55" s="45"/>
    </x:row>
    <x:row r="56">
      <x:c r="A56" s="41"/>
      <x:c r="B56" s="42"/>
      <x:c r="C56" s="42"/>
      <x:c r="D56" s="42"/>
      <x:c r="E56" s="42"/>
      <x:c r="F56" s="42"/>
      <x:c r="G56" s="42"/>
      <x:c r="H56" s="42"/>
      <x:c r="I56" s="45"/>
    </x:row>
    <x:row r="57">
      <x:c r="A57" s="41"/>
      <x:c r="B57" s="42"/>
      <x:c r="C57" s="42"/>
      <x:c r="D57" s="42"/>
      <x:c r="E57" s="42"/>
      <x:c r="F57" s="42"/>
      <x:c r="G57" s="42"/>
      <x:c r="H57" s="42"/>
      <x:c r="I57" s="45"/>
    </x:row>
    <x:row r="58">
      <x:c r="A58" s="41"/>
      <x:c r="B58" s="42"/>
      <x:c r="C58" s="42"/>
      <x:c r="D58" s="42"/>
      <x:c r="E58" s="42"/>
      <x:c r="F58" s="42"/>
      <x:c r="G58" s="42"/>
      <x:c r="H58" s="42"/>
      <x:c r="I58" s="45"/>
    </x:row>
    <x:row r="59">
      <x:c r="A59" s="41"/>
      <x:c r="B59" s="42"/>
      <x:c r="C59" s="42"/>
      <x:c r="D59" s="42"/>
      <x:c r="E59" s="42"/>
      <x:c r="F59" s="42"/>
      <x:c r="G59" s="42"/>
      <x:c r="H59" s="42"/>
      <x:c r="I59" s="45"/>
    </x:row>
    <x:row r="60">
      <x:c r="A60" s="41"/>
      <x:c r="B60" s="42"/>
      <x:c r="C60" s="42"/>
      <x:c r="D60" s="42"/>
      <x:c r="E60" s="42"/>
      <x:c r="F60" s="42"/>
      <x:c r="G60" s="42"/>
      <x:c r="H60" s="42"/>
      <x:c r="I60" s="45"/>
    </x:row>
    <x:row r="61">
      <x:c r="A61" s="41"/>
      <x:c r="B61" s="42"/>
      <x:c r="C61" s="42"/>
      <x:c r="D61" s="42"/>
      <x:c r="E61" s="42"/>
      <x:c r="F61" s="42"/>
      <x:c r="G61" s="42"/>
      <x:c r="H61" s="42"/>
      <x:c r="I61" s="45"/>
    </x:row>
    <x:row r="62">
      <x:c r="A62" s="41"/>
      <x:c r="B62" s="42"/>
      <x:c r="C62" s="42"/>
      <x:c r="D62" s="42"/>
      <x:c r="E62" s="42"/>
      <x:c r="F62" s="42"/>
      <x:c r="G62" s="42"/>
      <x:c r="H62" s="42"/>
      <x:c r="I62" s="45"/>
    </x:row>
    <x:row r="63">
      <x:c r="A63" s="41"/>
      <x:c r="B63" s="42"/>
      <x:c r="C63" s="42"/>
      <x:c r="D63" s="42"/>
      <x:c r="E63" s="42"/>
      <x:c r="F63" s="42"/>
      <x:c r="G63" s="42"/>
      <x:c r="H63" s="42"/>
      <x:c r="I63" s="45"/>
    </x:row>
    <x:row r="64">
      <x:c r="A64" s="41"/>
      <x:c r="B64" s="42"/>
      <x:c r="C64" s="42"/>
      <x:c r="D64" s="42"/>
      <x:c r="E64" s="42"/>
      <x:c r="F64" s="42"/>
      <x:c r="G64" s="42"/>
      <x:c r="H64" s="42"/>
      <x:c r="I64" s="45"/>
    </x:row>
    <x:row r="65">
      <x:c r="A65" s="41"/>
      <x:c r="B65" s="42"/>
      <x:c r="C65" s="42"/>
      <x:c r="D65" s="42"/>
      <x:c r="E65" s="42"/>
      <x:c r="F65" s="42"/>
      <x:c r="G65" s="42"/>
      <x:c r="H65" s="42"/>
      <x:c r="I65" s="45"/>
    </x:row>
    <x:row r="66">
      <x:c r="A66" s="41"/>
      <x:c r="B66" s="42"/>
      <x:c r="C66" s="42"/>
      <x:c r="D66" s="42"/>
      <x:c r="E66" s="42"/>
      <x:c r="F66" s="42"/>
      <x:c r="G66" s="42"/>
      <x:c r="H66" s="42"/>
      <x:c r="I66" s="45"/>
    </x:row>
    <x:row r="67">
      <x:c r="A67" s="41"/>
      <x:c r="B67" s="42"/>
      <x:c r="C67" s="42"/>
      <x:c r="D67" s="42"/>
      <x:c r="E67" s="42"/>
      <x:c r="F67" s="42"/>
      <x:c r="G67" s="42"/>
      <x:c r="H67" s="42"/>
      <x:c r="I67" s="45"/>
    </x:row>
    <x:row r="68">
      <x:c r="A68" s="41"/>
      <x:c r="B68" s="42"/>
      <x:c r="C68" s="42"/>
      <x:c r="D68" s="42"/>
      <x:c r="E68" s="42"/>
      <x:c r="F68" s="42"/>
      <x:c r="G68" s="42"/>
      <x:c r="H68" s="42"/>
      <x:c r="I68" s="45"/>
    </x:row>
    <x:row r="69">
      <x:c r="A69" s="41"/>
      <x:c r="B69" s="42"/>
      <x:c r="C69" s="42"/>
      <x:c r="D69" s="42"/>
      <x:c r="E69" s="42"/>
      <x:c r="F69" s="42"/>
      <x:c r="G69" s="42"/>
      <x:c r="H69" s="42"/>
      <x:c r="I69" s="45"/>
    </x:row>
    <x:row r="70">
      <x:c r="A70" s="41"/>
      <x:c r="B70" s="42"/>
      <x:c r="C70" s="42"/>
      <x:c r="D70" s="42"/>
      <x:c r="E70" s="42"/>
      <x:c r="F70" s="42"/>
      <x:c r="G70" s="42"/>
      <x:c r="H70" s="42"/>
      <x:c r="I70" s="45"/>
    </x:row>
    <x:row r="71">
      <x:c r="A71" s="41"/>
      <x:c r="B71" s="42"/>
      <x:c r="C71" s="42"/>
      <x:c r="D71" s="42"/>
      <x:c r="E71" s="42"/>
      <x:c r="F71" s="42"/>
      <x:c r="G71" s="42"/>
      <x:c r="H71" s="42"/>
      <x:c r="I71" s="45"/>
    </x:row>
    <x:row r="72">
      <x:c r="A72" s="41"/>
      <x:c r="B72" s="42"/>
      <x:c r="C72" s="42"/>
      <x:c r="D72" s="42"/>
      <x:c r="E72" s="42"/>
      <x:c r="F72" s="42"/>
      <x:c r="G72" s="42"/>
      <x:c r="H72" s="42"/>
      <x:c r="I72" s="45"/>
    </x:row>
    <x:row r="73">
      <x:c r="A73" s="41"/>
      <x:c r="B73" s="42"/>
      <x:c r="C73" s="42"/>
      <x:c r="D73" s="42"/>
      <x:c r="E73" s="42"/>
      <x:c r="F73" s="42"/>
      <x:c r="G73" s="42"/>
      <x:c r="H73" s="42"/>
      <x:c r="I73" s="45"/>
    </x:row>
    <x:row r="74">
      <x:c r="A74" s="41"/>
      <x:c r="B74" s="42"/>
      <x:c r="C74" s="42"/>
      <x:c r="D74" s="42"/>
      <x:c r="E74" s="42"/>
      <x:c r="F74" s="42"/>
      <x:c r="G74" s="42"/>
      <x:c r="H74" s="42"/>
      <x:c r="I74" s="45"/>
    </x:row>
    <x:row r="75">
      <x:c r="A75" s="41"/>
      <x:c r="B75" s="42"/>
      <x:c r="C75" s="42"/>
      <x:c r="D75" s="42"/>
      <x:c r="E75" s="42"/>
      <x:c r="F75" s="42"/>
      <x:c r="G75" s="42"/>
      <x:c r="H75" s="42"/>
      <x:c r="I75" s="45"/>
    </x:row>
    <x:row r="76">
      <x:c r="A76" s="41"/>
      <x:c r="B76" s="42"/>
      <x:c r="C76" s="42"/>
      <x:c r="D76" s="42"/>
      <x:c r="E76" s="42"/>
      <x:c r="F76" s="42"/>
      <x:c r="G76" s="42"/>
      <x:c r="H76" s="42"/>
      <x:c r="I76" s="45"/>
    </x:row>
    <x:row r="77">
      <x:c r="A77" s="41"/>
      <x:c r="B77" s="42"/>
      <x:c r="C77" s="42"/>
      <x:c r="D77" s="42"/>
      <x:c r="E77" s="42"/>
      <x:c r="F77" s="42"/>
      <x:c r="G77" s="42"/>
      <x:c r="H77" s="42"/>
      <x:c r="I77" s="45"/>
    </x:row>
    <x:row r="78">
      <x:c r="A78" s="41"/>
      <x:c r="B78" s="42"/>
      <x:c r="C78" s="42"/>
      <x:c r="D78" s="42"/>
      <x:c r="E78" s="42"/>
      <x:c r="F78" s="42"/>
      <x:c r="G78" s="42"/>
      <x:c r="H78" s="42"/>
      <x:c r="I78" s="45"/>
    </x:row>
    <x:row r="79">
      <x:c r="A79" s="41"/>
      <x:c r="B79" s="42"/>
      <x:c r="C79" s="42"/>
      <x:c r="D79" s="42"/>
      <x:c r="E79" s="42"/>
      <x:c r="F79" s="42"/>
      <x:c r="G79" s="42"/>
      <x:c r="H79" s="42"/>
      <x:c r="I79" s="45"/>
    </x:row>
    <x:row r="80">
      <x:c r="A80" s="41"/>
      <x:c r="B80" s="42"/>
      <x:c r="C80" s="42"/>
      <x:c r="D80" s="42"/>
      <x:c r="E80" s="42"/>
      <x:c r="F80" s="42"/>
      <x:c r="G80" s="42"/>
      <x:c r="H80" s="42"/>
      <x:c r="I80" s="45"/>
    </x:row>
    <x:row r="81">
      <x:c r="A81" s="41"/>
      <x:c r="B81" s="42"/>
      <x:c r="C81" s="42"/>
      <x:c r="D81" s="42"/>
      <x:c r="E81" s="42"/>
      <x:c r="F81" s="42"/>
      <x:c r="G81" s="42"/>
      <x:c r="H81" s="42"/>
      <x:c r="I81" s="45"/>
    </x:row>
    <x:row r="82">
      <x:c r="A82" s="41"/>
      <x:c r="B82" s="42"/>
      <x:c r="C82" s="42"/>
      <x:c r="D82" s="42"/>
      <x:c r="E82" s="42"/>
      <x:c r="F82" s="42"/>
      <x:c r="G82" s="42"/>
      <x:c r="H82" s="42"/>
      <x:c r="I82" s="45"/>
    </x:row>
    <x:row r="83">
      <x:c r="A83" s="41"/>
      <x:c r="B83" s="42"/>
      <x:c r="C83" s="42"/>
      <x:c r="D83" s="42"/>
      <x:c r="E83" s="42"/>
      <x:c r="F83" s="42"/>
      <x:c r="G83" s="42"/>
      <x:c r="H83" s="42"/>
      <x:c r="I83" s="45"/>
    </x:row>
    <x:row r="84">
      <x:c r="A84" s="41"/>
      <x:c r="B84" s="42"/>
      <x:c r="C84" s="42"/>
      <x:c r="D84" s="42"/>
      <x:c r="E84" s="42"/>
      <x:c r="F84" s="42"/>
      <x:c r="G84" s="42"/>
      <x:c r="H84" s="42"/>
      <x:c r="I84" s="45"/>
    </x:row>
    <x:row r="85">
      <x:c r="A85" s="41"/>
      <x:c r="B85" s="42"/>
      <x:c r="C85" s="42"/>
      <x:c r="D85" s="42"/>
      <x:c r="E85" s="42"/>
      <x:c r="F85" s="42"/>
      <x:c r="G85" s="42"/>
      <x:c r="H85" s="42"/>
      <x:c r="I85" s="45"/>
    </x:row>
    <x:row r="86">
      <x:c r="A86" s="41"/>
      <x:c r="B86" s="42"/>
      <x:c r="C86" s="42"/>
      <x:c r="D86" s="42"/>
      <x:c r="E86" s="42"/>
      <x:c r="F86" s="42"/>
      <x:c r="G86" s="42"/>
      <x:c r="H86" s="42"/>
      <x:c r="I86" s="45"/>
    </x:row>
    <x:row r="87">
      <x:c r="A87" s="41"/>
      <x:c r="B87" s="42"/>
      <x:c r="C87" s="42"/>
      <x:c r="D87" s="42"/>
      <x:c r="E87" s="42"/>
      <x:c r="F87" s="42"/>
      <x:c r="G87" s="42"/>
      <x:c r="H87" s="42"/>
      <x:c r="I87" s="45"/>
    </x:row>
    <x:row r="88">
      <x:c r="A88" s="41"/>
      <x:c r="B88" s="42"/>
      <x:c r="C88" s="42"/>
      <x:c r="D88" s="42"/>
      <x:c r="E88" s="42"/>
      <x:c r="F88" s="42"/>
      <x:c r="G88" s="42"/>
      <x:c r="H88" s="42"/>
      <x:c r="I88" s="45"/>
    </x:row>
    <x:row r="89">
      <x:c r="A89" s="41"/>
      <x:c r="B89" s="42"/>
      <x:c r="C89" s="42"/>
      <x:c r="D89" s="42"/>
      <x:c r="E89" s="42"/>
      <x:c r="F89" s="42"/>
      <x:c r="G89" s="42"/>
      <x:c r="H89" s="42"/>
      <x:c r="I89" s="45"/>
    </x:row>
    <x:row r="90">
      <x:c r="A90" s="41"/>
      <x:c r="B90" s="42"/>
      <x:c r="C90" s="42"/>
      <x:c r="D90" s="42"/>
      <x:c r="E90" s="42"/>
      <x:c r="F90" s="42"/>
      <x:c r="G90" s="42"/>
      <x:c r="H90" s="42"/>
      <x:c r="I90" s="45"/>
    </x:row>
    <x:row r="91">
      <x:c r="A91" s="41"/>
      <x:c r="B91" s="42"/>
      <x:c r="C91" s="42"/>
      <x:c r="D91" s="42"/>
      <x:c r="E91" s="42"/>
      <x:c r="F91" s="42"/>
      <x:c r="G91" s="42"/>
      <x:c r="H91" s="42"/>
      <x:c r="I91" s="45"/>
    </x:row>
    <x:row r="92">
      <x:c r="A92" s="41"/>
      <x:c r="B92" s="42"/>
      <x:c r="C92" s="42"/>
      <x:c r="D92" s="42"/>
      <x:c r="E92" s="42"/>
      <x:c r="F92" s="42"/>
      <x:c r="G92" s="42"/>
      <x:c r="H92" s="42"/>
      <x:c r="I92" s="45"/>
    </x:row>
    <x:row r="93">
      <x:c r="A93" s="41"/>
      <x:c r="B93" s="42"/>
      <x:c r="C93" s="42"/>
      <x:c r="D93" s="42"/>
      <x:c r="E93" s="42"/>
      <x:c r="F93" s="42"/>
      <x:c r="G93" s="42"/>
      <x:c r="H93" s="42"/>
      <x:c r="I93" s="45"/>
    </x:row>
    <x:row r="94">
      <x:c r="A94" s="41"/>
      <x:c r="B94" s="42"/>
      <x:c r="C94" s="42"/>
      <x:c r="D94" s="42"/>
      <x:c r="E94" s="42"/>
      <x:c r="F94" s="42"/>
      <x:c r="G94" s="42"/>
      <x:c r="H94" s="42"/>
      <x:c r="I94" s="45"/>
    </x:row>
    <x:row r="95">
      <x:c r="A95" s="41"/>
      <x:c r="B95" s="42"/>
      <x:c r="C95" s="42"/>
      <x:c r="D95" s="42"/>
      <x:c r="E95" s="42"/>
      <x:c r="F95" s="42"/>
      <x:c r="G95" s="42"/>
      <x:c r="H95" s="42"/>
      <x:c r="I95" s="45"/>
    </x:row>
    <x:row r="96">
      <x:c r="A96" s="41"/>
      <x:c r="B96" s="42"/>
      <x:c r="C96" s="42"/>
      <x:c r="D96" s="42"/>
      <x:c r="E96" s="42"/>
      <x:c r="F96" s="42"/>
      <x:c r="G96" s="42"/>
      <x:c r="H96" s="42"/>
      <x:c r="I96" s="45"/>
    </x:row>
    <x:row r="97">
      <x:c r="A97" s="41"/>
      <x:c r="B97" s="42"/>
      <x:c r="C97" s="42"/>
      <x:c r="D97" s="42"/>
      <x:c r="E97" s="42"/>
      <x:c r="F97" s="42"/>
      <x:c r="G97" s="42"/>
      <x:c r="H97" s="42"/>
      <x:c r="I97" s="45"/>
    </x:row>
    <x:row r="98">
      <x:c r="A98" s="41"/>
      <x:c r="B98" s="42"/>
      <x:c r="C98" s="42"/>
      <x:c r="D98" s="42"/>
      <x:c r="E98" s="42"/>
      <x:c r="F98" s="42"/>
      <x:c r="G98" s="42"/>
      <x:c r="H98" s="42"/>
      <x:c r="I98" s="45"/>
    </x:row>
    <x:row r="99">
      <x:c r="A99" s="41"/>
      <x:c r="B99" s="42"/>
      <x:c r="C99" s="42"/>
      <x:c r="D99" s="42"/>
      <x:c r="E99" s="42"/>
      <x:c r="F99" s="42"/>
      <x:c r="G99" s="42"/>
      <x:c r="H99" s="42"/>
      <x:c r="I99" s="45"/>
    </x:row>
    <x:row r="100">
      <x:c r="A100" s="48"/>
      <x:c r="B100" s="49"/>
      <x:c r="C100" s="49"/>
      <x:c r="D100" s="49"/>
      <x:c r="E100" s="49"/>
      <x:c r="F100" s="49"/>
      <x:c r="G100" s="49"/>
      <x:c r="H100" s="49"/>
      <x:c r="I100" s="50"/>
    </x:row>
  </x:sheetData>
  <x:mergeCells>
    <x:mergeCell ref="A1:I1"/>
  </x:mergeCells>
  <x:dataValidations count="1">
    <x:dataValidation type="list" sqref="A4:A11">
      <x:formula1>"Yes,No"</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6" hidden="0" customWidth="1"/>
    <x:col min="3" max="3" width="34" hidden="0" customWidth="1"/>
    <x:col min="4" max="4" width="38" hidden="0" customWidth="1"/>
    <x:col min="5" max="5" width="22" hidden="0" customWidth="1"/>
    <x:col min="6" max="6" width="28" hidden="0" customWidth="1"/>
    <x:col min="7" max="7" width="16" hidden="0" customWidth="1"/>
    <x:col min="8" max="8" width="16" hidden="0" customWidth="1"/>
    <x:col min="9" max="9" width="16" hidden="0" customWidth="1"/>
  </x:cols>
  <x:sheetData>
    <x:row r="1">
      <x:c r="A1" s="36" t="str">
        <x:v>Office Needs</x:v>
      </x:c>
      <x:c r="B1" s="13"/>
      <x:c r="C1" s="13"/>
      <x:c r="D1" s="13"/>
      <x:c r="E1" s="13"/>
      <x:c r="F1" s="13"/>
      <x:c r="G1" s="13"/>
      <x:c r="H1" s="13"/>
      <x:c r="I1" s="13"/>
    </x:row>
    <x:row r="3">
      <x:c r="A3" s="38" t="str">
        <x:v>Select</x:v>
      </x:c>
      <x:c r="B3" s="39" t="str">
        <x:v>Component ID</x:v>
      </x:c>
      <x:c r="C3" s="39" t="str">
        <x:v>Portal Sub Item</x:v>
      </x:c>
      <x:c r="D3" s="39" t="str">
        <x:v>Mission Component</x:v>
      </x:c>
      <x:c r="E3" s="39" t="str">
        <x:v>Unit</x:v>
      </x:c>
      <x:c r="F3" s="39" t="str">
        <x:v>Recommended Quantity Formula</x:v>
      </x:c>
      <x:c r="G3" s="39" t="str">
        <x:v>Quantity</x:v>
      </x:c>
      <x:c r="H3" s="39" t="str">
        <x:v>Planning Unit Cost (₹)</x:v>
      </x:c>
      <x:c r="I3" s="40" t="str">
        <x:v>Total Amount (₹)</x:v>
      </x:c>
    </x:row>
    <x:row r="4">
      <x:c r="A4" s="41" t="str">
        <x:v>No</x:v>
      </x:c>
      <x:c r="B4" s="42" t="str">
        <x:v>GFS-OFF-001</x:v>
      </x:c>
      <x:c r="C4" s="42" t="str">
        <x:v>Notice Boards</x:v>
      </x:c>
      <x:c r="D4" s="42" t="str">
        <x:v>Notice Board</x:v>
      </x:c>
      <x:c r="E4" s="42" t="str">
        <x:v>In number</x:v>
      </x:c>
      <x:c r="F4" s="42" t="str">
        <x:v>1 per school</x:v>
      </x:c>
      <x:c r="G4" s="43" t="n">
        <x:v>0</x:v>
      </x:c>
      <x:c r="H4" s="43" t="n">
        <x:v>8000</x:v>
      </x:c>
      <x:c r="I4" s="44" t="n">
        <x:f>IF(A4="Yes",G4*H4,0)</x:f>
        <x:v>0</x:v>
      </x:c>
    </x:row>
    <x:row r="5">
      <x:c r="A5" s="41" t="str">
        <x:v>No</x:v>
      </x:c>
      <x:c r="B5" s="42" t="str">
        <x:v>GFS-OFF-002</x:v>
      </x:c>
      <x:c r="C5" s="42" t="str">
        <x:v>Computer/Laptop/Tablet</x:v>
      </x:c>
      <x:c r="D5" s="42" t="str">
        <x:v>Computer/Laptop/Tablet</x:v>
      </x:c>
      <x:c r="E5" s="42" t="str">
        <x:v>In number</x:v>
      </x:c>
      <x:c r="F5" s="42" t="str">
        <x:v>Need based</x:v>
      </x:c>
      <x:c r="G5" s="43" t="n">
        <x:v>0</x:v>
      </x:c>
      <x:c r="H5" s="43" t="n">
        <x:v>45000</x:v>
      </x:c>
      <x:c r="I5" s="44" t="n">
        <x:f>IF(A5="Yes",G5*H5,0)</x:f>
        <x:v>0</x:v>
      </x:c>
    </x:row>
    <x:row r="6">
      <x:c r="A6" s="41" t="str">
        <x:v>No</x:v>
      </x:c>
      <x:c r="B6" s="42" t="str">
        <x:v>GFS-OFF-003</x:v>
      </x:c>
      <x:c r="C6" s="42" t="str">
        <x:v>Printer</x:v>
      </x:c>
      <x:c r="D6" s="42" t="str">
        <x:v>Printer</x:v>
      </x:c>
      <x:c r="E6" s="42" t="str">
        <x:v>In number</x:v>
      </x:c>
      <x:c r="F6" s="42" t="str">
        <x:v>1 per school if required</x:v>
      </x:c>
      <x:c r="G6" s="43" t="n">
        <x:v>0</x:v>
      </x:c>
      <x:c r="H6" s="43" t="n">
        <x:v>18000</x:v>
      </x:c>
      <x:c r="I6" s="44" t="n">
        <x:f>IF(A6="Yes",G6*H6,0)</x:f>
        <x:v>0</x:v>
      </x:c>
    </x:row>
    <x:row r="7">
      <x:c r="A7" s="41" t="str">
        <x:v>No</x:v>
      </x:c>
      <x:c r="B7" s="42" t="str">
        <x:v>GFS-OFF-004</x:v>
      </x:c>
      <x:c r="C7" s="42" t="str">
        <x:v>Scanner</x:v>
      </x:c>
      <x:c r="D7" s="42" t="str">
        <x:v>Scanner</x:v>
      </x:c>
      <x:c r="E7" s="42" t="str">
        <x:v>In number</x:v>
      </x:c>
      <x:c r="F7" s="42" t="str">
        <x:v>1 per school if required</x:v>
      </x:c>
      <x:c r="G7" s="43" t="n">
        <x:v>0</x:v>
      </x:c>
      <x:c r="H7" s="43" t="n">
        <x:v>15000</x:v>
      </x:c>
      <x:c r="I7" s="44" t="n">
        <x:f>IF(A7="Yes",G7*H7,0)</x:f>
        <x:v>0</x:v>
      </x:c>
    </x:row>
    <x:row r="8">
      <x:c r="A8" s="41" t="str">
        <x:v>No</x:v>
      </x:c>
      <x:c r="B8" s="42" t="str">
        <x:v>GFS-OFF-005</x:v>
      </x:c>
      <x:c r="C8" s="42" t="str">
        <x:v>Photocopier</x:v>
      </x:c>
      <x:c r="D8" s="42" t="str">
        <x:v>Photocopier</x:v>
      </x:c>
      <x:c r="E8" s="42" t="str">
        <x:v>In number</x:v>
      </x:c>
      <x:c r="F8" s="42" t="str">
        <x:v>Need based</x:v>
      </x:c>
      <x:c r="G8" s="43" t="n">
        <x:v>0</x:v>
      </x:c>
      <x:c r="H8" s="43" t="n">
        <x:v>75000</x:v>
      </x:c>
      <x:c r="I8" s="44" t="n">
        <x:f>IF(A8="Yes",G8*H8,0)</x:f>
        <x:v>0</x:v>
      </x:c>
    </x:row>
    <x:row r="9">
      <x:c r="A9" s="41" t="str">
        <x:v>No</x:v>
      </x:c>
      <x:c r="B9" s="42" t="str">
        <x:v>GFS-OFF-006</x:v>
      </x:c>
      <x:c r="C9" s="42" t="str">
        <x:v>Cupboards</x:v>
      </x:c>
      <x:c r="D9" s="42" t="str">
        <x:v>Office Cupboard</x:v>
      </x:c>
      <x:c r="E9" s="42" t="str">
        <x:v>In number</x:v>
      </x:c>
      <x:c r="F9" s="42" t="str">
        <x:v>1 per school</x:v>
      </x:c>
      <x:c r="G9" s="43" t="n">
        <x:v>0</x:v>
      </x:c>
      <x:c r="H9" s="43" t="n">
        <x:v>18000</x:v>
      </x:c>
      <x:c r="I9" s="44" t="n">
        <x:f>IF(A9="Yes",G9*H9,0)</x:f>
        <x:v>0</x:v>
      </x:c>
    </x:row>
    <x:row r="10">
      <x:c r="A10" s="41" t="str">
        <x:v>No</x:v>
      </x:c>
      <x:c r="B10" s="42" t="str">
        <x:v>GFS-OFF-007</x:v>
      </x:c>
      <x:c r="C10" s="42" t="str">
        <x:v>Stationery</x:v>
      </x:c>
      <x:c r="D10" s="42" t="str">
        <x:v>Office Stationery</x:v>
      </x:c>
      <x:c r="E10" s="42" t="str">
        <x:v>In number</x:v>
      </x:c>
      <x:c r="F10" s="42" t="str">
        <x:v>Annual pack</x:v>
      </x:c>
      <x:c r="G10" s="43" t="n">
        <x:v>0</x:v>
      </x:c>
      <x:c r="H10" s="43" t="n">
        <x:v>10000</x:v>
      </x:c>
      <x:c r="I10" s="44" t="n">
        <x:f>IF(A10="Yes",G10*H10,0)</x:f>
        <x:v>0</x:v>
      </x:c>
    </x:row>
    <x:row r="11">
      <x:c r="A11" s="41" t="str">
        <x:v>No</x:v>
      </x:c>
      <x:c r="B11" s="42" t="str">
        <x:v>GFS-OFF-008</x:v>
      </x:c>
      <x:c r="C11" s="42" t="str">
        <x:v>Interactive Voice Response Systems (IVRS)</x:v>
      </x:c>
      <x:c r="D11" s="42" t="str">
        <x:v>IVRS</x:v>
      </x:c>
      <x:c r="E11" s="42" t="str">
        <x:v>In number</x:v>
      </x:c>
      <x:c r="F11" s="42" t="str">
        <x:v>Need based</x:v>
      </x:c>
      <x:c r="G11" s="43" t="n">
        <x:v>0</x:v>
      </x:c>
      <x:c r="H11" s="43" t="n">
        <x:v>50000</x:v>
      </x:c>
      <x:c r="I11" s="44" t="n">
        <x:f>IF(A11="Yes",G11*H11,0)</x:f>
        <x:v>0</x:v>
      </x:c>
    </x:row>
    <x:row r="12">
      <x:c r="A12" s="41" t="str">
        <x:v>No</x:v>
      </x:c>
      <x:c r="B12" s="42" t="str">
        <x:v>GFS-OFF-009</x:v>
      </x:c>
      <x:c r="C12" s="42" t="str">
        <x:v>Public Address System</x:v>
      </x:c>
      <x:c r="D12" s="42" t="str">
        <x:v>PA System</x:v>
      </x:c>
      <x:c r="E12" s="42" t="str">
        <x:v>In number</x:v>
      </x:c>
      <x:c r="F12" s="42" t="str">
        <x:v>1 per school if required</x:v>
      </x:c>
      <x:c r="G12" s="43" t="n">
        <x:v>0</x:v>
      </x:c>
      <x:c r="H12" s="43" t="n">
        <x:v>45000</x:v>
      </x:c>
      <x:c r="I12" s="44" t="n">
        <x:f>IF(A12="Yes",G12*H12,0)</x:f>
        <x:v>0</x:v>
      </x:c>
    </x:row>
    <x:row r="13">
      <x:c r="A13" s="41"/>
      <x:c r="B13" s="42"/>
      <x:c r="C13" s="42"/>
      <x:c r="D13" s="42"/>
      <x:c r="E13" s="42"/>
      <x:c r="F13" s="42"/>
      <x:c r="G13" s="42"/>
      <x:c r="H13" s="42"/>
      <x:c r="I13" s="45"/>
    </x:row>
    <x:row r="14">
      <x:c r="A14" s="41"/>
      <x:c r="B14" s="42"/>
      <x:c r="C14" s="42"/>
      <x:c r="D14" s="42"/>
      <x:c r="E14" s="42"/>
      <x:c r="F14" s="42"/>
      <x:c r="G14" s="42"/>
      <x:c r="H14" s="46" t="str">
        <x:v>Work Area Total</x:v>
      </x:c>
      <x:c r="I14" s="47" t="n">
        <x:f>SUM(I4:I12)</x:f>
        <x:v>0</x:v>
      </x:c>
    </x:row>
    <x:row r="15">
      <x:c r="A15" s="41"/>
      <x:c r="B15" s="42"/>
      <x:c r="C15" s="42"/>
      <x:c r="D15" s="42"/>
      <x:c r="E15" s="42"/>
      <x:c r="F15" s="42"/>
      <x:c r="G15" s="42"/>
      <x:c r="H15" s="42"/>
      <x:c r="I15" s="45"/>
    </x:row>
    <x:row r="16">
      <x:c r="A16" s="41"/>
      <x:c r="B16" s="42"/>
      <x:c r="C16" s="42"/>
      <x:c r="D16" s="42"/>
      <x:c r="E16" s="42"/>
      <x:c r="F16" s="42"/>
      <x:c r="G16" s="42"/>
      <x:c r="H16" s="42"/>
      <x:c r="I16" s="45"/>
    </x:row>
    <x:row r="17">
      <x:c r="A17" s="41"/>
      <x:c r="B17" s="42"/>
      <x:c r="C17" s="42"/>
      <x:c r="D17" s="42"/>
      <x:c r="E17" s="42"/>
      <x:c r="F17" s="42"/>
      <x:c r="G17" s="42"/>
      <x:c r="H17" s="42"/>
      <x:c r="I17" s="45"/>
    </x:row>
    <x:row r="18">
      <x:c r="A18" s="41"/>
      <x:c r="B18" s="42"/>
      <x:c r="C18" s="42"/>
      <x:c r="D18" s="42"/>
      <x:c r="E18" s="42"/>
      <x:c r="F18" s="42"/>
      <x:c r="G18" s="42"/>
      <x:c r="H18" s="42"/>
      <x:c r="I18" s="45"/>
    </x:row>
    <x:row r="19">
      <x:c r="A19" s="41"/>
      <x:c r="B19" s="42"/>
      <x:c r="C19" s="42"/>
      <x:c r="D19" s="42"/>
      <x:c r="E19" s="42"/>
      <x:c r="F19" s="42"/>
      <x:c r="G19" s="42"/>
      <x:c r="H19" s="42"/>
      <x:c r="I19" s="45"/>
    </x:row>
    <x:row r="20">
      <x:c r="A20" s="41"/>
      <x:c r="B20" s="42"/>
      <x:c r="C20" s="42"/>
      <x:c r="D20" s="42"/>
      <x:c r="E20" s="42"/>
      <x:c r="F20" s="42"/>
      <x:c r="G20" s="42"/>
      <x:c r="H20" s="42"/>
      <x:c r="I20" s="45"/>
    </x:row>
    <x:row r="21">
      <x:c r="A21" s="41"/>
      <x:c r="B21" s="42"/>
      <x:c r="C21" s="42"/>
      <x:c r="D21" s="42"/>
      <x:c r="E21" s="42"/>
      <x:c r="F21" s="42"/>
      <x:c r="G21" s="42"/>
      <x:c r="H21" s="42"/>
      <x:c r="I21" s="45"/>
    </x:row>
    <x:row r="22">
      <x:c r="A22" s="41"/>
      <x:c r="B22" s="42"/>
      <x:c r="C22" s="42"/>
      <x:c r="D22" s="42"/>
      <x:c r="E22" s="42"/>
      <x:c r="F22" s="42"/>
      <x:c r="G22" s="42"/>
      <x:c r="H22" s="42"/>
      <x:c r="I22" s="45"/>
    </x:row>
    <x:row r="23">
      <x:c r="A23" s="41"/>
      <x:c r="B23" s="42"/>
      <x:c r="C23" s="42"/>
      <x:c r="D23" s="42"/>
      <x:c r="E23" s="42"/>
      <x:c r="F23" s="42"/>
      <x:c r="G23" s="42"/>
      <x:c r="H23" s="42"/>
      <x:c r="I23" s="45"/>
    </x:row>
    <x:row r="24">
      <x:c r="A24" s="41"/>
      <x:c r="B24" s="42"/>
      <x:c r="C24" s="42"/>
      <x:c r="D24" s="42"/>
      <x:c r="E24" s="42"/>
      <x:c r="F24" s="42"/>
      <x:c r="G24" s="42"/>
      <x:c r="H24" s="42"/>
      <x:c r="I24" s="45"/>
    </x:row>
    <x:row r="25">
      <x:c r="A25" s="41"/>
      <x:c r="B25" s="42"/>
      <x:c r="C25" s="42"/>
      <x:c r="D25" s="42"/>
      <x:c r="E25" s="42"/>
      <x:c r="F25" s="42"/>
      <x:c r="G25" s="42"/>
      <x:c r="H25" s="42"/>
      <x:c r="I25" s="45"/>
    </x:row>
    <x:row r="26">
      <x:c r="A26" s="41"/>
      <x:c r="B26" s="42"/>
      <x:c r="C26" s="42"/>
      <x:c r="D26" s="42"/>
      <x:c r="E26" s="42"/>
      <x:c r="F26" s="42"/>
      <x:c r="G26" s="42"/>
      <x:c r="H26" s="42"/>
      <x:c r="I26" s="45"/>
    </x:row>
    <x:row r="27">
      <x:c r="A27" s="41"/>
      <x:c r="B27" s="42"/>
      <x:c r="C27" s="42"/>
      <x:c r="D27" s="42"/>
      <x:c r="E27" s="42"/>
      <x:c r="F27" s="42"/>
      <x:c r="G27" s="42"/>
      <x:c r="H27" s="42"/>
      <x:c r="I27" s="45"/>
    </x:row>
    <x:row r="28">
      <x:c r="A28" s="41"/>
      <x:c r="B28" s="42"/>
      <x:c r="C28" s="42"/>
      <x:c r="D28" s="42"/>
      <x:c r="E28" s="42"/>
      <x:c r="F28" s="42"/>
      <x:c r="G28" s="42"/>
      <x:c r="H28" s="42"/>
      <x:c r="I28" s="45"/>
    </x:row>
    <x:row r="29">
      <x:c r="A29" s="41"/>
      <x:c r="B29" s="42"/>
      <x:c r="C29" s="42"/>
      <x:c r="D29" s="42"/>
      <x:c r="E29" s="42"/>
      <x:c r="F29" s="42"/>
      <x:c r="G29" s="42"/>
      <x:c r="H29" s="42"/>
      <x:c r="I29" s="45"/>
    </x:row>
    <x:row r="30">
      <x:c r="A30" s="41"/>
      <x:c r="B30" s="42"/>
      <x:c r="C30" s="42"/>
      <x:c r="D30" s="42"/>
      <x:c r="E30" s="42"/>
      <x:c r="F30" s="42"/>
      <x:c r="G30" s="42"/>
      <x:c r="H30" s="42"/>
      <x:c r="I30" s="45"/>
    </x:row>
    <x:row r="31">
      <x:c r="A31" s="41"/>
      <x:c r="B31" s="42"/>
      <x:c r="C31" s="42"/>
      <x:c r="D31" s="42"/>
      <x:c r="E31" s="42"/>
      <x:c r="F31" s="42"/>
      <x:c r="G31" s="42"/>
      <x:c r="H31" s="42"/>
      <x:c r="I31" s="45"/>
    </x:row>
    <x:row r="32">
      <x:c r="A32" s="41"/>
      <x:c r="B32" s="42"/>
      <x:c r="C32" s="42"/>
      <x:c r="D32" s="42"/>
      <x:c r="E32" s="42"/>
      <x:c r="F32" s="42"/>
      <x:c r="G32" s="42"/>
      <x:c r="H32" s="42"/>
      <x:c r="I32" s="45"/>
    </x:row>
    <x:row r="33">
      <x:c r="A33" s="41"/>
      <x:c r="B33" s="42"/>
      <x:c r="C33" s="42"/>
      <x:c r="D33" s="42"/>
      <x:c r="E33" s="42"/>
      <x:c r="F33" s="42"/>
      <x:c r="G33" s="42"/>
      <x:c r="H33" s="42"/>
      <x:c r="I33" s="45"/>
    </x:row>
    <x:row r="34">
      <x:c r="A34" s="41"/>
      <x:c r="B34" s="42"/>
      <x:c r="C34" s="42"/>
      <x:c r="D34" s="42"/>
      <x:c r="E34" s="42"/>
      <x:c r="F34" s="42"/>
      <x:c r="G34" s="42"/>
      <x:c r="H34" s="42"/>
      <x:c r="I34" s="45"/>
    </x:row>
    <x:row r="35">
      <x:c r="A35" s="41"/>
      <x:c r="B35" s="42"/>
      <x:c r="C35" s="42"/>
      <x:c r="D35" s="42"/>
      <x:c r="E35" s="42"/>
      <x:c r="F35" s="42"/>
      <x:c r="G35" s="42"/>
      <x:c r="H35" s="42"/>
      <x:c r="I35" s="45"/>
    </x:row>
    <x:row r="36">
      <x:c r="A36" s="41"/>
      <x:c r="B36" s="42"/>
      <x:c r="C36" s="42"/>
      <x:c r="D36" s="42"/>
      <x:c r="E36" s="42"/>
      <x:c r="F36" s="42"/>
      <x:c r="G36" s="42"/>
      <x:c r="H36" s="42"/>
      <x:c r="I36" s="45"/>
    </x:row>
    <x:row r="37">
      <x:c r="A37" s="41"/>
      <x:c r="B37" s="42"/>
      <x:c r="C37" s="42"/>
      <x:c r="D37" s="42"/>
      <x:c r="E37" s="42"/>
      <x:c r="F37" s="42"/>
      <x:c r="G37" s="42"/>
      <x:c r="H37" s="42"/>
      <x:c r="I37" s="45"/>
    </x:row>
    <x:row r="38">
      <x:c r="A38" s="41"/>
      <x:c r="B38" s="42"/>
      <x:c r="C38" s="42"/>
      <x:c r="D38" s="42"/>
      <x:c r="E38" s="42"/>
      <x:c r="F38" s="42"/>
      <x:c r="G38" s="42"/>
      <x:c r="H38" s="42"/>
      <x:c r="I38" s="45"/>
    </x:row>
    <x:row r="39">
      <x:c r="A39" s="41"/>
      <x:c r="B39" s="42"/>
      <x:c r="C39" s="42"/>
      <x:c r="D39" s="42"/>
      <x:c r="E39" s="42"/>
      <x:c r="F39" s="42"/>
      <x:c r="G39" s="42"/>
      <x:c r="H39" s="42"/>
      <x:c r="I39" s="45"/>
    </x:row>
    <x:row r="40">
      <x:c r="A40" s="41"/>
      <x:c r="B40" s="42"/>
      <x:c r="C40" s="42"/>
      <x:c r="D40" s="42"/>
      <x:c r="E40" s="42"/>
      <x:c r="F40" s="42"/>
      <x:c r="G40" s="42"/>
      <x:c r="H40" s="42"/>
      <x:c r="I40" s="45"/>
    </x:row>
    <x:row r="41">
      <x:c r="A41" s="41"/>
      <x:c r="B41" s="42"/>
      <x:c r="C41" s="42"/>
      <x:c r="D41" s="42"/>
      <x:c r="E41" s="42"/>
      <x:c r="F41" s="42"/>
      <x:c r="G41" s="42"/>
      <x:c r="H41" s="42"/>
      <x:c r="I41" s="45"/>
    </x:row>
    <x:row r="42">
      <x:c r="A42" s="41"/>
      <x:c r="B42" s="42"/>
      <x:c r="C42" s="42"/>
      <x:c r="D42" s="42"/>
      <x:c r="E42" s="42"/>
      <x:c r="F42" s="42"/>
      <x:c r="G42" s="42"/>
      <x:c r="H42" s="42"/>
      <x:c r="I42" s="45"/>
    </x:row>
    <x:row r="43">
      <x:c r="A43" s="41"/>
      <x:c r="B43" s="42"/>
      <x:c r="C43" s="42"/>
      <x:c r="D43" s="42"/>
      <x:c r="E43" s="42"/>
      <x:c r="F43" s="42"/>
      <x:c r="G43" s="42"/>
      <x:c r="H43" s="42"/>
      <x:c r="I43" s="45"/>
    </x:row>
    <x:row r="44">
      <x:c r="A44" s="41"/>
      <x:c r="B44" s="42"/>
      <x:c r="C44" s="42"/>
      <x:c r="D44" s="42"/>
      <x:c r="E44" s="42"/>
      <x:c r="F44" s="42"/>
      <x:c r="G44" s="42"/>
      <x:c r="H44" s="42"/>
      <x:c r="I44" s="45"/>
    </x:row>
    <x:row r="45">
      <x:c r="A45" s="41"/>
      <x:c r="B45" s="42"/>
      <x:c r="C45" s="42"/>
      <x:c r="D45" s="42"/>
      <x:c r="E45" s="42"/>
      <x:c r="F45" s="42"/>
      <x:c r="G45" s="42"/>
      <x:c r="H45" s="42"/>
      <x:c r="I45" s="45"/>
    </x:row>
    <x:row r="46">
      <x:c r="A46" s="41"/>
      <x:c r="B46" s="42"/>
      <x:c r="C46" s="42"/>
      <x:c r="D46" s="42"/>
      <x:c r="E46" s="42"/>
      <x:c r="F46" s="42"/>
      <x:c r="G46" s="42"/>
      <x:c r="H46" s="42"/>
      <x:c r="I46" s="45"/>
    </x:row>
    <x:row r="47">
      <x:c r="A47" s="41"/>
      <x:c r="B47" s="42"/>
      <x:c r="C47" s="42"/>
      <x:c r="D47" s="42"/>
      <x:c r="E47" s="42"/>
      <x:c r="F47" s="42"/>
      <x:c r="G47" s="42"/>
      <x:c r="H47" s="42"/>
      <x:c r="I47" s="45"/>
    </x:row>
    <x:row r="48">
      <x:c r="A48" s="41"/>
      <x:c r="B48" s="42"/>
      <x:c r="C48" s="42"/>
      <x:c r="D48" s="42"/>
      <x:c r="E48" s="42"/>
      <x:c r="F48" s="42"/>
      <x:c r="G48" s="42"/>
      <x:c r="H48" s="42"/>
      <x:c r="I48" s="45"/>
    </x:row>
    <x:row r="49">
      <x:c r="A49" s="41"/>
      <x:c r="B49" s="42"/>
      <x:c r="C49" s="42"/>
      <x:c r="D49" s="42"/>
      <x:c r="E49" s="42"/>
      <x:c r="F49" s="42"/>
      <x:c r="G49" s="42"/>
      <x:c r="H49" s="42"/>
      <x:c r="I49" s="45"/>
    </x:row>
    <x:row r="50">
      <x:c r="A50" s="41"/>
      <x:c r="B50" s="42"/>
      <x:c r="C50" s="42"/>
      <x:c r="D50" s="42"/>
      <x:c r="E50" s="42"/>
      <x:c r="F50" s="42"/>
      <x:c r="G50" s="42"/>
      <x:c r="H50" s="42"/>
      <x:c r="I50" s="45"/>
    </x:row>
    <x:row r="51">
      <x:c r="A51" s="41"/>
      <x:c r="B51" s="42"/>
      <x:c r="C51" s="42"/>
      <x:c r="D51" s="42"/>
      <x:c r="E51" s="42"/>
      <x:c r="F51" s="42"/>
      <x:c r="G51" s="42"/>
      <x:c r="H51" s="42"/>
      <x:c r="I51" s="45"/>
    </x:row>
    <x:row r="52">
      <x:c r="A52" s="41"/>
      <x:c r="B52" s="42"/>
      <x:c r="C52" s="42"/>
      <x:c r="D52" s="42"/>
      <x:c r="E52" s="42"/>
      <x:c r="F52" s="42"/>
      <x:c r="G52" s="42"/>
      <x:c r="H52" s="42"/>
      <x:c r="I52" s="45"/>
    </x:row>
    <x:row r="53">
      <x:c r="A53" s="41"/>
      <x:c r="B53" s="42"/>
      <x:c r="C53" s="42"/>
      <x:c r="D53" s="42"/>
      <x:c r="E53" s="42"/>
      <x:c r="F53" s="42"/>
      <x:c r="G53" s="42"/>
      <x:c r="H53" s="42"/>
      <x:c r="I53" s="45"/>
    </x:row>
    <x:row r="54">
      <x:c r="A54" s="41"/>
      <x:c r="B54" s="42"/>
      <x:c r="C54" s="42"/>
      <x:c r="D54" s="42"/>
      <x:c r="E54" s="42"/>
      <x:c r="F54" s="42"/>
      <x:c r="G54" s="42"/>
      <x:c r="H54" s="42"/>
      <x:c r="I54" s="45"/>
    </x:row>
    <x:row r="55">
      <x:c r="A55" s="41"/>
      <x:c r="B55" s="42"/>
      <x:c r="C55" s="42"/>
      <x:c r="D55" s="42"/>
      <x:c r="E55" s="42"/>
      <x:c r="F55" s="42"/>
      <x:c r="G55" s="42"/>
      <x:c r="H55" s="42"/>
      <x:c r="I55" s="45"/>
    </x:row>
    <x:row r="56">
      <x:c r="A56" s="41"/>
      <x:c r="B56" s="42"/>
      <x:c r="C56" s="42"/>
      <x:c r="D56" s="42"/>
      <x:c r="E56" s="42"/>
      <x:c r="F56" s="42"/>
      <x:c r="G56" s="42"/>
      <x:c r="H56" s="42"/>
      <x:c r="I56" s="45"/>
    </x:row>
    <x:row r="57">
      <x:c r="A57" s="41"/>
      <x:c r="B57" s="42"/>
      <x:c r="C57" s="42"/>
      <x:c r="D57" s="42"/>
      <x:c r="E57" s="42"/>
      <x:c r="F57" s="42"/>
      <x:c r="G57" s="42"/>
      <x:c r="H57" s="42"/>
      <x:c r="I57" s="45"/>
    </x:row>
    <x:row r="58">
      <x:c r="A58" s="41"/>
      <x:c r="B58" s="42"/>
      <x:c r="C58" s="42"/>
      <x:c r="D58" s="42"/>
      <x:c r="E58" s="42"/>
      <x:c r="F58" s="42"/>
      <x:c r="G58" s="42"/>
      <x:c r="H58" s="42"/>
      <x:c r="I58" s="45"/>
    </x:row>
    <x:row r="59">
      <x:c r="A59" s="41"/>
      <x:c r="B59" s="42"/>
      <x:c r="C59" s="42"/>
      <x:c r="D59" s="42"/>
      <x:c r="E59" s="42"/>
      <x:c r="F59" s="42"/>
      <x:c r="G59" s="42"/>
      <x:c r="H59" s="42"/>
      <x:c r="I59" s="45"/>
    </x:row>
    <x:row r="60">
      <x:c r="A60" s="41"/>
      <x:c r="B60" s="42"/>
      <x:c r="C60" s="42"/>
      <x:c r="D60" s="42"/>
      <x:c r="E60" s="42"/>
      <x:c r="F60" s="42"/>
      <x:c r="G60" s="42"/>
      <x:c r="H60" s="42"/>
      <x:c r="I60" s="45"/>
    </x:row>
    <x:row r="61">
      <x:c r="A61" s="41"/>
      <x:c r="B61" s="42"/>
      <x:c r="C61" s="42"/>
      <x:c r="D61" s="42"/>
      <x:c r="E61" s="42"/>
      <x:c r="F61" s="42"/>
      <x:c r="G61" s="42"/>
      <x:c r="H61" s="42"/>
      <x:c r="I61" s="45"/>
    </x:row>
    <x:row r="62">
      <x:c r="A62" s="41"/>
      <x:c r="B62" s="42"/>
      <x:c r="C62" s="42"/>
      <x:c r="D62" s="42"/>
      <x:c r="E62" s="42"/>
      <x:c r="F62" s="42"/>
      <x:c r="G62" s="42"/>
      <x:c r="H62" s="42"/>
      <x:c r="I62" s="45"/>
    </x:row>
    <x:row r="63">
      <x:c r="A63" s="41"/>
      <x:c r="B63" s="42"/>
      <x:c r="C63" s="42"/>
      <x:c r="D63" s="42"/>
      <x:c r="E63" s="42"/>
      <x:c r="F63" s="42"/>
      <x:c r="G63" s="42"/>
      <x:c r="H63" s="42"/>
      <x:c r="I63" s="45"/>
    </x:row>
    <x:row r="64">
      <x:c r="A64" s="41"/>
      <x:c r="B64" s="42"/>
      <x:c r="C64" s="42"/>
      <x:c r="D64" s="42"/>
      <x:c r="E64" s="42"/>
      <x:c r="F64" s="42"/>
      <x:c r="G64" s="42"/>
      <x:c r="H64" s="42"/>
      <x:c r="I64" s="45"/>
    </x:row>
    <x:row r="65">
      <x:c r="A65" s="41"/>
      <x:c r="B65" s="42"/>
      <x:c r="C65" s="42"/>
      <x:c r="D65" s="42"/>
      <x:c r="E65" s="42"/>
      <x:c r="F65" s="42"/>
      <x:c r="G65" s="42"/>
      <x:c r="H65" s="42"/>
      <x:c r="I65" s="45"/>
    </x:row>
    <x:row r="66">
      <x:c r="A66" s="41"/>
      <x:c r="B66" s="42"/>
      <x:c r="C66" s="42"/>
      <x:c r="D66" s="42"/>
      <x:c r="E66" s="42"/>
      <x:c r="F66" s="42"/>
      <x:c r="G66" s="42"/>
      <x:c r="H66" s="42"/>
      <x:c r="I66" s="45"/>
    </x:row>
    <x:row r="67">
      <x:c r="A67" s="41"/>
      <x:c r="B67" s="42"/>
      <x:c r="C67" s="42"/>
      <x:c r="D67" s="42"/>
      <x:c r="E67" s="42"/>
      <x:c r="F67" s="42"/>
      <x:c r="G67" s="42"/>
      <x:c r="H67" s="42"/>
      <x:c r="I67" s="45"/>
    </x:row>
    <x:row r="68">
      <x:c r="A68" s="41"/>
      <x:c r="B68" s="42"/>
      <x:c r="C68" s="42"/>
      <x:c r="D68" s="42"/>
      <x:c r="E68" s="42"/>
      <x:c r="F68" s="42"/>
      <x:c r="G68" s="42"/>
      <x:c r="H68" s="42"/>
      <x:c r="I68" s="45"/>
    </x:row>
    <x:row r="69">
      <x:c r="A69" s="41"/>
      <x:c r="B69" s="42"/>
      <x:c r="C69" s="42"/>
      <x:c r="D69" s="42"/>
      <x:c r="E69" s="42"/>
      <x:c r="F69" s="42"/>
      <x:c r="G69" s="42"/>
      <x:c r="H69" s="42"/>
      <x:c r="I69" s="45"/>
    </x:row>
    <x:row r="70">
      <x:c r="A70" s="41"/>
      <x:c r="B70" s="42"/>
      <x:c r="C70" s="42"/>
      <x:c r="D70" s="42"/>
      <x:c r="E70" s="42"/>
      <x:c r="F70" s="42"/>
      <x:c r="G70" s="42"/>
      <x:c r="H70" s="42"/>
      <x:c r="I70" s="45"/>
    </x:row>
    <x:row r="71">
      <x:c r="A71" s="41"/>
      <x:c r="B71" s="42"/>
      <x:c r="C71" s="42"/>
      <x:c r="D71" s="42"/>
      <x:c r="E71" s="42"/>
      <x:c r="F71" s="42"/>
      <x:c r="G71" s="42"/>
      <x:c r="H71" s="42"/>
      <x:c r="I71" s="45"/>
    </x:row>
    <x:row r="72">
      <x:c r="A72" s="41"/>
      <x:c r="B72" s="42"/>
      <x:c r="C72" s="42"/>
      <x:c r="D72" s="42"/>
      <x:c r="E72" s="42"/>
      <x:c r="F72" s="42"/>
      <x:c r="G72" s="42"/>
      <x:c r="H72" s="42"/>
      <x:c r="I72" s="45"/>
    </x:row>
    <x:row r="73">
      <x:c r="A73" s="41"/>
      <x:c r="B73" s="42"/>
      <x:c r="C73" s="42"/>
      <x:c r="D73" s="42"/>
      <x:c r="E73" s="42"/>
      <x:c r="F73" s="42"/>
      <x:c r="G73" s="42"/>
      <x:c r="H73" s="42"/>
      <x:c r="I73" s="45"/>
    </x:row>
    <x:row r="74">
      <x:c r="A74" s="41"/>
      <x:c r="B74" s="42"/>
      <x:c r="C74" s="42"/>
      <x:c r="D74" s="42"/>
      <x:c r="E74" s="42"/>
      <x:c r="F74" s="42"/>
      <x:c r="G74" s="42"/>
      <x:c r="H74" s="42"/>
      <x:c r="I74" s="45"/>
    </x:row>
    <x:row r="75">
      <x:c r="A75" s="41"/>
      <x:c r="B75" s="42"/>
      <x:c r="C75" s="42"/>
      <x:c r="D75" s="42"/>
      <x:c r="E75" s="42"/>
      <x:c r="F75" s="42"/>
      <x:c r="G75" s="42"/>
      <x:c r="H75" s="42"/>
      <x:c r="I75" s="45"/>
    </x:row>
    <x:row r="76">
      <x:c r="A76" s="41"/>
      <x:c r="B76" s="42"/>
      <x:c r="C76" s="42"/>
      <x:c r="D76" s="42"/>
      <x:c r="E76" s="42"/>
      <x:c r="F76" s="42"/>
      <x:c r="G76" s="42"/>
      <x:c r="H76" s="42"/>
      <x:c r="I76" s="45"/>
    </x:row>
    <x:row r="77">
      <x:c r="A77" s="41"/>
      <x:c r="B77" s="42"/>
      <x:c r="C77" s="42"/>
      <x:c r="D77" s="42"/>
      <x:c r="E77" s="42"/>
      <x:c r="F77" s="42"/>
      <x:c r="G77" s="42"/>
      <x:c r="H77" s="42"/>
      <x:c r="I77" s="45"/>
    </x:row>
    <x:row r="78">
      <x:c r="A78" s="41"/>
      <x:c r="B78" s="42"/>
      <x:c r="C78" s="42"/>
      <x:c r="D78" s="42"/>
      <x:c r="E78" s="42"/>
      <x:c r="F78" s="42"/>
      <x:c r="G78" s="42"/>
      <x:c r="H78" s="42"/>
      <x:c r="I78" s="45"/>
    </x:row>
    <x:row r="79">
      <x:c r="A79" s="41"/>
      <x:c r="B79" s="42"/>
      <x:c r="C79" s="42"/>
      <x:c r="D79" s="42"/>
      <x:c r="E79" s="42"/>
      <x:c r="F79" s="42"/>
      <x:c r="G79" s="42"/>
      <x:c r="H79" s="42"/>
      <x:c r="I79" s="45"/>
    </x:row>
    <x:row r="80">
      <x:c r="A80" s="41"/>
      <x:c r="B80" s="42"/>
      <x:c r="C80" s="42"/>
      <x:c r="D80" s="42"/>
      <x:c r="E80" s="42"/>
      <x:c r="F80" s="42"/>
      <x:c r="G80" s="42"/>
      <x:c r="H80" s="42"/>
      <x:c r="I80" s="45"/>
    </x:row>
    <x:row r="81">
      <x:c r="A81" s="41"/>
      <x:c r="B81" s="42"/>
      <x:c r="C81" s="42"/>
      <x:c r="D81" s="42"/>
      <x:c r="E81" s="42"/>
      <x:c r="F81" s="42"/>
      <x:c r="G81" s="42"/>
      <x:c r="H81" s="42"/>
      <x:c r="I81" s="45"/>
    </x:row>
    <x:row r="82">
      <x:c r="A82" s="41"/>
      <x:c r="B82" s="42"/>
      <x:c r="C82" s="42"/>
      <x:c r="D82" s="42"/>
      <x:c r="E82" s="42"/>
      <x:c r="F82" s="42"/>
      <x:c r="G82" s="42"/>
      <x:c r="H82" s="42"/>
      <x:c r="I82" s="45"/>
    </x:row>
    <x:row r="83">
      <x:c r="A83" s="41"/>
      <x:c r="B83" s="42"/>
      <x:c r="C83" s="42"/>
      <x:c r="D83" s="42"/>
      <x:c r="E83" s="42"/>
      <x:c r="F83" s="42"/>
      <x:c r="G83" s="42"/>
      <x:c r="H83" s="42"/>
      <x:c r="I83" s="45"/>
    </x:row>
    <x:row r="84">
      <x:c r="A84" s="41"/>
      <x:c r="B84" s="42"/>
      <x:c r="C84" s="42"/>
      <x:c r="D84" s="42"/>
      <x:c r="E84" s="42"/>
      <x:c r="F84" s="42"/>
      <x:c r="G84" s="42"/>
      <x:c r="H84" s="42"/>
      <x:c r="I84" s="45"/>
    </x:row>
    <x:row r="85">
      <x:c r="A85" s="41"/>
      <x:c r="B85" s="42"/>
      <x:c r="C85" s="42"/>
      <x:c r="D85" s="42"/>
      <x:c r="E85" s="42"/>
      <x:c r="F85" s="42"/>
      <x:c r="G85" s="42"/>
      <x:c r="H85" s="42"/>
      <x:c r="I85" s="45"/>
    </x:row>
    <x:row r="86">
      <x:c r="A86" s="41"/>
      <x:c r="B86" s="42"/>
      <x:c r="C86" s="42"/>
      <x:c r="D86" s="42"/>
      <x:c r="E86" s="42"/>
      <x:c r="F86" s="42"/>
      <x:c r="G86" s="42"/>
      <x:c r="H86" s="42"/>
      <x:c r="I86" s="45"/>
    </x:row>
    <x:row r="87">
      <x:c r="A87" s="41"/>
      <x:c r="B87" s="42"/>
      <x:c r="C87" s="42"/>
      <x:c r="D87" s="42"/>
      <x:c r="E87" s="42"/>
      <x:c r="F87" s="42"/>
      <x:c r="G87" s="42"/>
      <x:c r="H87" s="42"/>
      <x:c r="I87" s="45"/>
    </x:row>
    <x:row r="88">
      <x:c r="A88" s="41"/>
      <x:c r="B88" s="42"/>
      <x:c r="C88" s="42"/>
      <x:c r="D88" s="42"/>
      <x:c r="E88" s="42"/>
      <x:c r="F88" s="42"/>
      <x:c r="G88" s="42"/>
      <x:c r="H88" s="42"/>
      <x:c r="I88" s="45"/>
    </x:row>
    <x:row r="89">
      <x:c r="A89" s="41"/>
      <x:c r="B89" s="42"/>
      <x:c r="C89" s="42"/>
      <x:c r="D89" s="42"/>
      <x:c r="E89" s="42"/>
      <x:c r="F89" s="42"/>
      <x:c r="G89" s="42"/>
      <x:c r="H89" s="42"/>
      <x:c r="I89" s="45"/>
    </x:row>
    <x:row r="90">
      <x:c r="A90" s="41"/>
      <x:c r="B90" s="42"/>
      <x:c r="C90" s="42"/>
      <x:c r="D90" s="42"/>
      <x:c r="E90" s="42"/>
      <x:c r="F90" s="42"/>
      <x:c r="G90" s="42"/>
      <x:c r="H90" s="42"/>
      <x:c r="I90" s="45"/>
    </x:row>
    <x:row r="91">
      <x:c r="A91" s="41"/>
      <x:c r="B91" s="42"/>
      <x:c r="C91" s="42"/>
      <x:c r="D91" s="42"/>
      <x:c r="E91" s="42"/>
      <x:c r="F91" s="42"/>
      <x:c r="G91" s="42"/>
      <x:c r="H91" s="42"/>
      <x:c r="I91" s="45"/>
    </x:row>
    <x:row r="92">
      <x:c r="A92" s="41"/>
      <x:c r="B92" s="42"/>
      <x:c r="C92" s="42"/>
      <x:c r="D92" s="42"/>
      <x:c r="E92" s="42"/>
      <x:c r="F92" s="42"/>
      <x:c r="G92" s="42"/>
      <x:c r="H92" s="42"/>
      <x:c r="I92" s="45"/>
    </x:row>
    <x:row r="93">
      <x:c r="A93" s="41"/>
      <x:c r="B93" s="42"/>
      <x:c r="C93" s="42"/>
      <x:c r="D93" s="42"/>
      <x:c r="E93" s="42"/>
      <x:c r="F93" s="42"/>
      <x:c r="G93" s="42"/>
      <x:c r="H93" s="42"/>
      <x:c r="I93" s="45"/>
    </x:row>
    <x:row r="94">
      <x:c r="A94" s="41"/>
      <x:c r="B94" s="42"/>
      <x:c r="C94" s="42"/>
      <x:c r="D94" s="42"/>
      <x:c r="E94" s="42"/>
      <x:c r="F94" s="42"/>
      <x:c r="G94" s="42"/>
      <x:c r="H94" s="42"/>
      <x:c r="I94" s="45"/>
    </x:row>
    <x:row r="95">
      <x:c r="A95" s="41"/>
      <x:c r="B95" s="42"/>
      <x:c r="C95" s="42"/>
      <x:c r="D95" s="42"/>
      <x:c r="E95" s="42"/>
      <x:c r="F95" s="42"/>
      <x:c r="G95" s="42"/>
      <x:c r="H95" s="42"/>
      <x:c r="I95" s="45"/>
    </x:row>
    <x:row r="96">
      <x:c r="A96" s="41"/>
      <x:c r="B96" s="42"/>
      <x:c r="C96" s="42"/>
      <x:c r="D96" s="42"/>
      <x:c r="E96" s="42"/>
      <x:c r="F96" s="42"/>
      <x:c r="G96" s="42"/>
      <x:c r="H96" s="42"/>
      <x:c r="I96" s="45"/>
    </x:row>
    <x:row r="97">
      <x:c r="A97" s="41"/>
      <x:c r="B97" s="42"/>
      <x:c r="C97" s="42"/>
      <x:c r="D97" s="42"/>
      <x:c r="E97" s="42"/>
      <x:c r="F97" s="42"/>
      <x:c r="G97" s="42"/>
      <x:c r="H97" s="42"/>
      <x:c r="I97" s="45"/>
    </x:row>
    <x:row r="98">
      <x:c r="A98" s="41"/>
      <x:c r="B98" s="42"/>
      <x:c r="C98" s="42"/>
      <x:c r="D98" s="42"/>
      <x:c r="E98" s="42"/>
      <x:c r="F98" s="42"/>
      <x:c r="G98" s="42"/>
      <x:c r="H98" s="42"/>
      <x:c r="I98" s="45"/>
    </x:row>
    <x:row r="99">
      <x:c r="A99" s="41"/>
      <x:c r="B99" s="42"/>
      <x:c r="C99" s="42"/>
      <x:c r="D99" s="42"/>
      <x:c r="E99" s="42"/>
      <x:c r="F99" s="42"/>
      <x:c r="G99" s="42"/>
      <x:c r="H99" s="42"/>
      <x:c r="I99" s="45"/>
    </x:row>
    <x:row r="100">
      <x:c r="A100" s="48"/>
      <x:c r="B100" s="49"/>
      <x:c r="C100" s="49"/>
      <x:c r="D100" s="49"/>
      <x:c r="E100" s="49"/>
      <x:c r="F100" s="49"/>
      <x:c r="G100" s="49"/>
      <x:c r="H100" s="49"/>
      <x:c r="I100" s="50"/>
    </x:row>
  </x:sheetData>
  <x:mergeCells>
    <x:mergeCell ref="A1:I1"/>
  </x:mergeCells>
  <x:dataValidations count="1">
    <x:dataValidation type="list" sqref="A4:A12">
      <x:formula1>"Yes,No"</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30" hidden="0" customWidth="1"/>
    <x:col min="2" max="2" width="30" hidden="0" customWidth="1"/>
    <x:col min="3" max="3" width="30" hidden="0" customWidth="1"/>
    <x:col min="4" max="4" width="30" hidden="0" customWidth="1"/>
  </x:cols>
  <x:sheetData>
    <x:row r="1">
      <x:c r="A1" s="66" t="str">
        <x:v>School Adoption Budget Generator - Dashboard</x:v>
      </x:c>
      <x:c r="B1" s="13"/>
      <x:c r="C1" s="13"/>
      <x:c r="D1" s="13"/>
      <x:c r="E1" s="13"/>
      <x:c r="F1" s="13"/>
      <x:c r="G1" s="13"/>
      <x:c r="H1" s="13"/>
      <x:c r="I1" s="13"/>
      <x:c r="J1" s="13"/>
      <x:c r="K1" s="13"/>
      <x:c r="L1" s="13"/>
      <x:c r="M1" s="13"/>
      <x:c r="N1" s="13"/>
      <x:c r="O1" s="13"/>
      <x:c r="P1" s="13"/>
      <x:c r="Q1" s="13"/>
      <x:c r="R1" s="13"/>
      <x:c r="S1" s="13"/>
      <x:c r="T1" s="13"/>
      <x:c r="U1" s="13"/>
      <x:c r="V1" s="13"/>
      <x:c r="W1" s="13"/>
      <x:c r="X1" s="13"/>
      <x:c r="Y1" s="13"/>
      <x:c r="Z1" s="13"/>
    </x:row>
    <x:row r="3">
      <x:c r="A3" s="9" t="str">
        <x:v>School Name</x:v>
      </x:c>
      <x:c r="B3" t="str">
        <x:f>'School_Profile'!B3</x:f>
        <x:v>TWPS Malini</x:v>
      </x:c>
    </x:row>
    <x:row r="4">
      <x:c r="A4" s="9" t="str">
        <x:v>UDISE Code</x:v>
      </x:c>
      <x:c r="B4" t="str">
        <x:f>'School_Profile'!B5</x:f>
        <x:v>36020900103</x:v>
      </x:c>
    </x:row>
    <x:row r="5">
      <x:c r="A5" s="9" t="str">
        <x:v>District</x:v>
      </x:c>
      <x:c r="B5" t="str">
        <x:f>'School_Profile'!B4</x:f>
        <x:v>Komaram Bheem</x:v>
      </x:c>
    </x:row>
    <x:row r="6">
      <x:c r="A6" s="9" t="str">
        <x:v>Block/Mandal</x:v>
      </x:c>
      <x:c r="B6" t="str">
        <x:f>'School_Profile'!D4</x:f>
        <x:v>Kagaznagar</x:v>
      </x:c>
    </x:row>
    <x:row r="7">
      <x:c r="A7" s="9" t="str">
        <x:v>Implementation Mode</x:v>
      </x:c>
      <x:c r="B7" t="str">
        <x:f>'School_Profile'!D7</x:f>
        <x:v>Direct Implementation</x:v>
      </x:c>
    </x:row>
    <x:row r="8">
      <x:c r="A8" s="9" t="str">
        <x:v>Adoption Duration (Months)</x:v>
      </x:c>
      <x:c r="B8" t="n">
        <x:f>'School_Profile'!D8</x:f>
        <x:v>12</x:v>
      </x:c>
    </x:row>
    <x:row r="9">
      <x:c r="A9" s="9" t="str">
        <x:v>Expected Start Date</x:v>
      </x:c>
      <x:c r="B9" t="n">
        <x:f>'School_Profile'!B8</x:f>
        <x:v>0</x:v>
      </x:c>
    </x:row>
    <x:row r="11">
      <x:c r="A11" s="19" t="str">
        <x:v>Work Area</x:v>
      </x:c>
      <x:c r="B11" s="19" t="str">
        <x:v>Selected Components</x:v>
      </x:c>
      <x:c r="C11" s="19" t="str">
        <x:v>Estimated Amount (₹)</x:v>
      </x:c>
      <x:c r="D11" s="19" t="str">
        <x:v>Vidyanjali Work Area Selected?</x:v>
      </x:c>
    </x:row>
    <x:row r="12">
      <x:c r="A12" t="str">
        <x:v>Basic Civil Infrastructure</x:v>
      </x:c>
      <x:c r="B12" t="n">
        <x:f>COUNTIF('Basic Civil'!A4:A24,"Yes")</x:f>
        <x:v>0</x:v>
      </x:c>
      <x:c r="C12" s="28" t="n">
        <x:f>SUM('Basic Civil'!I4:I24)</x:f>
        <x:v>0</x:v>
      </x:c>
      <x:c r="D12" t="str">
        <x:f>IF(B12&gt;0,"Yes","No")</x:f>
        <x:v>No</x:v>
      </x:c>
    </x:row>
    <x:row r="13">
      <x:c r="A13" t="str">
        <x:v>Classroom Needs</x:v>
      </x:c>
      <x:c r="B13" t="n">
        <x:f>COUNTIF('Classroom Needs'!A4:A13,"Yes")</x:f>
        <x:v>0</x:v>
      </x:c>
      <x:c r="C13" s="28" t="n">
        <x:f>SUM('Classroom Needs'!I4:I13)</x:f>
        <x:v>0</x:v>
      </x:c>
      <x:c r="D13" t="str">
        <x:f>IF(B13&gt;0,"Yes","No")</x:f>
        <x:v>No</x:v>
      </x:c>
    </x:row>
    <x:row r="14">
      <x:c r="A14" t="str">
        <x:v>Basic Electrical Infrastructure</x:v>
      </x:c>
      <x:c r="B14" t="n">
        <x:f>COUNTIF('Electrical'!A4:A11,"Yes")</x:f>
        <x:v>0</x:v>
      </x:c>
      <x:c r="C14" s="28" t="n">
        <x:f>SUM('Electrical'!I4:I11)</x:f>
        <x:v>0</x:v>
      </x:c>
      <x:c r="D14" t="str">
        <x:f>IF(B14&gt;0,"Yes","No")</x:f>
        <x:v>No</x:v>
      </x:c>
    </x:row>
    <x:row r="15">
      <x:c r="A15" t="str">
        <x:v>Equipment for Co-Curricular Activities &amp; Sports</x:v>
      </x:c>
      <x:c r="B15" t="n">
        <x:f>COUNTIF('Sports'!A4:A14,"Yes")</x:f>
        <x:v>0</x:v>
      </x:c>
      <x:c r="C15" s="28" t="n">
        <x:f>SUM('Sports'!I4:I14)</x:f>
        <x:v>0</x:v>
      </x:c>
      <x:c r="D15" t="str">
        <x:f>IF(B15&gt;0,"Yes","No")</x:f>
        <x:v>No</x:v>
      </x:c>
    </x:row>
    <x:row r="16">
      <x:c r="A16" t="str">
        <x:v>Health and Safety Aids</x:v>
      </x:c>
      <x:c r="B16" t="n">
        <x:f>COUNTIF('Health Safety'!A4:A13,"Yes")</x:f>
        <x:v>0</x:v>
      </x:c>
      <x:c r="C16" s="28" t="n">
        <x:f>SUM('Health Safety'!I4:I13)</x:f>
        <x:v>0</x:v>
      </x:c>
      <x:c r="D16" t="str">
        <x:f>IF(B16&gt;0,"Yes","No")</x:f>
        <x:v>No</x:v>
      </x:c>
    </x:row>
    <x:row r="17">
      <x:c r="A17" t="str">
        <x:v>Teaching Learning Material</x:v>
      </x:c>
      <x:c r="B17" t="n">
        <x:f>COUNTIF('TLM'!A4:A7,"Yes")</x:f>
        <x:v>0</x:v>
      </x:c>
      <x:c r="C17" s="28" t="n">
        <x:f>SUM('TLM'!I4:I7)</x:f>
        <x:v>0</x:v>
      </x:c>
      <x:c r="D17" t="str">
        <x:f>IF(B17&gt;0,"Yes","No")</x:f>
        <x:v>No</x:v>
      </x:c>
    </x:row>
    <x:row r="18">
      <x:c r="A18" t="str">
        <x:v>Tool Kits and Miscellaneous Equipment</x:v>
      </x:c>
      <x:c r="B18" t="n">
        <x:f>COUNTIF('Tool Kits'!A4:A10,"Yes")</x:f>
        <x:v>0</x:v>
      </x:c>
      <x:c r="C18" s="28" t="n">
        <x:f>SUM('Tool Kits'!I4:I10)</x:f>
        <x:v>0</x:v>
      </x:c>
      <x:c r="D18" t="str">
        <x:f>IF(B18&gt;0,"Yes","No")</x:f>
        <x:v>No</x:v>
      </x:c>
    </x:row>
    <x:row r="19">
      <x:c r="A19" t="str">
        <x:v>Item for Residential Schools</x:v>
      </x:c>
      <x:c r="B19" t="n">
        <x:f>COUNTIF('Residential'!A4:A6,"Yes")</x:f>
        <x:v>0</x:v>
      </x:c>
      <x:c r="C19" s="28" t="n">
        <x:f>SUM('Residential'!I4:I6)</x:f>
        <x:v>0</x:v>
      </x:c>
      <x:c r="D19" t="str">
        <x:f>IF(B19&gt;0,"Yes","No")</x:f>
        <x:v>No</x:v>
      </x:c>
    </x:row>
    <x:row r="20">
      <x:c r="A20" t="str">
        <x:v>Maintenance &amp; Repairs</x:v>
      </x:c>
      <x:c r="B20" t="n">
        <x:f>COUNTIF('Maintenance'!A4:A11,"Yes")</x:f>
        <x:v>0</x:v>
      </x:c>
      <x:c r="C20" s="28" t="n">
        <x:f>SUM('Maintenance'!I4:I11)</x:f>
        <x:v>0</x:v>
      </x:c>
      <x:c r="D20" t="str">
        <x:f>IF(B20&gt;0,"Yes","No")</x:f>
        <x:v>No</x:v>
      </x:c>
    </x:row>
    <x:row r="21">
      <x:c r="A21" t="str">
        <x:v>Office Needs</x:v>
      </x:c>
      <x:c r="B21" t="n">
        <x:f>COUNTIF('Office Needs'!A4:A12,"Yes")</x:f>
        <x:v>0</x:v>
      </x:c>
      <x:c r="C21" s="28" t="n">
        <x:f>SUM('Office Needs'!I4:I12)</x:f>
        <x:v>0</x:v>
      </x:c>
      <x:c r="D21" t="str">
        <x:f>IF(B21&gt;0,"Yes","No")</x:f>
        <x:v>No</x:v>
      </x:c>
    </x:row>
    <x:row r="22">
      <x:c r="A22" s="31" t="str">
        <x:v>TOTAL</x:v>
      </x:c>
      <x:c r="B22" s="31" t="n">
        <x:f>SUM(B12:B21)</x:f>
        <x:v>0</x:v>
      </x:c>
      <x:c r="C22" s="64" t="n">
        <x:f>SUM(C12:C21)</x:f>
        <x:v>0</x:v>
      </x:c>
      <x:c r="D22" s="31"/>
    </x:row>
    <x:row r="23">
      <x:c r="C23" s="28"/>
    </x:row>
    <x:row r="24">
      <x:c r="C24" s="28"/>
    </x:row>
    <x:row r="25">
      <x:c r="C25" s="28"/>
    </x:row>
    <x:row r="26">
      <x:c r="C26" s="28"/>
    </x:row>
    <x:row r="27">
      <x:c r="C27" s="28"/>
    </x:row>
    <x:row r="28">
      <x:c r="C28" s="28"/>
    </x:row>
    <x:row r="29">
      <x:c r="C29" s="28"/>
    </x:row>
    <x:row r="30">
      <x:c r="C30" s="28"/>
    </x:row>
    <x:row r="31">
      <x:c r="C31" s="28"/>
    </x:row>
    <x:row r="32">
      <x:c r="C32" s="28"/>
    </x:row>
    <x:row r="33">
      <x:c r="C33" s="28"/>
    </x:row>
    <x:row r="34">
      <x:c r="C34" s="28"/>
    </x:row>
    <x:row r="35">
      <x:c r="C35" s="28"/>
    </x:row>
    <x:row r="36">
      <x:c r="C36" s="28"/>
    </x:row>
    <x:row r="37">
      <x:c r="C37" s="28"/>
    </x:row>
    <x:row r="38">
      <x:c r="C38" s="28"/>
    </x:row>
    <x:row r="39">
      <x:c r="C39" s="28"/>
    </x:row>
    <x:row r="40">
      <x:c r="C40" s="28"/>
    </x:row>
  </x:sheetData>
  <x:mergeCells>
    <x:mergeCell ref="A1:H1"/>
  </x:mergeCells>
  <x:pageMargins left="0.7" right="0.7" top="0.75" bottom="0.75" header="0.3" footer="0.3"/>
</x:worksheet>
</file>

<file path=xl/worksheets/sheet14.xml><?xml version="1.0" encoding="utf-8"?>
<x:worksheet xmlns:x="http://schemas.openxmlformats.org/spreadsheetml/2006/main">
  <x:sheetFormatPr defaultRowHeight="15"/>
  <x:cols>
    <x:col min="1" max="1" width="38" hidden="0" customWidth="1"/>
    <x:col min="2" max="2" width="90" hidden="0" customWidth="1"/>
    <x:col min="3" max="3" width="38" hidden="0" customWidth="1"/>
  </x:cols>
  <x:sheetData>
    <x:row r="1">
      <x:c r="A1" s="66" t="str">
        <x:v>Auto Proposal Text Blocks - Copy into Vidyanjali PDF/Plan</x:v>
      </x:c>
      <x:c r="B1" s="13"/>
      <x:c r="C1" s="13"/>
      <x:c r="D1" s="13"/>
      <x:c r="E1" s="13"/>
      <x:c r="F1" s="13"/>
      <x:c r="G1" s="13"/>
      <x:c r="H1" s="13"/>
      <x:c r="I1" s="13"/>
      <x:c r="J1" s="13"/>
      <x:c r="K1" s="13"/>
      <x:c r="L1" s="13"/>
      <x:c r="M1" s="13"/>
      <x:c r="N1" s="13"/>
      <x:c r="O1" s="13"/>
      <x:c r="P1" s="13"/>
      <x:c r="Q1" s="13"/>
      <x:c r="R1" s="13"/>
      <x:c r="S1" s="13"/>
      <x:c r="T1" s="13"/>
      <x:c r="U1" s="13"/>
      <x:c r="V1" s="13"/>
      <x:c r="W1" s="13"/>
      <x:c r="X1" s="13"/>
      <x:c r="Y1" s="13"/>
      <x:c r="Z1" s="13"/>
    </x:row>
    <x:row r="3">
      <x:c r="A3" s="20" t="str">
        <x:v>Section</x:v>
      </x:c>
      <x:c r="B3" s="20" t="str">
        <x:v>Auto Text</x:v>
      </x:c>
      <x:c r="C3" s="20" t="str">
        <x:v>Notes</x:v>
      </x:c>
    </x:row>
    <x:row r="4">
      <x:c r="A4" s="13" t="str">
        <x:v>Title</x:v>
      </x:c>
      <x:c r="B4" s="13" t="str">
        <x:f>"School Adoption Plan – "&amp;School_Profile!B3</x:f>
        <x:v>School Adoption Plan – TWPS Malini</x:v>
      </x:c>
      <x:c r="C4" s="13" t="str">
        <x:v>Use as proposal title</x:v>
      </x:c>
    </x:row>
    <x:row r="5">
      <x:c r="A5" s="13" t="str">
        <x:v>Budget</x:v>
      </x:c>
      <x:c r="B5" s="13" t="str">
        <x:f>"Estimated Budget: ₹"&amp;TEXT(Dashboard!C22,"#,##0")</x:f>
        <x:v>Estimated Budget: ₹0</x:v>
      </x:c>
      <x:c r="C5" s="13" t="str">
        <x:v>Should match Vidyanjali Estimated Budget</x:v>
      </x:c>
    </x:row>
    <x:row r="6">
      <x:c r="A6" s="13" t="str">
        <x:v>Duration</x:v>
      </x:c>
      <x:c r="B6" s="13" t="str">
        <x:f>"Adoption Duration: "&amp;School_Profile!D8&amp;" months"</x:f>
        <x:v>Adoption Duration: 12 months</x:v>
      </x:c>
      <x:c r="C6" s="13" t="str">
        <x:v>Portal requires 12–60 months</x:v>
      </x:c>
    </x:row>
    <x:row r="7">
      <x:c r="A7" s="13" t="str">
        <x:v>Mode</x:v>
      </x:c>
      <x:c r="B7" s="13" t="str">
        <x:f>"Mode of Implementation: "&amp;School_Profile!D7</x:f>
        <x:v>Mode of Implementation: Direct Implementation</x:v>
      </x:c>
      <x:c r="C7" s="13" t="str">
        <x:v>Direct Implementation</x:v>
      </x:c>
    </x:row>
    <x:row r="8">
      <x:c r="A8" s="13" t="str">
        <x:v>Summary</x:v>
      </x:c>
      <x:c r="B8" s="13" t="str">
        <x:f>"Give For Society proposes to implement a school adoption plan for "&amp;School_Profile!B3&amp;" under the Sirpur Constituency Education Transformation Mission. The plan includes selected Vidyanjali work areas and components based on the school need assessment, with an estimated budget of ₹"&amp;TEXT(Dashboard!C22,"#,##0")&amp;"."</x:f>
        <x:v>Give For Society proposes to implement a school adoption plan for TWPS Malini under the Sirpur Constituency Education Transformation Mission. The plan includes selected Vidyanjali work areas and components based on the school need assessment, with an estimated budget of ₹0.</x:v>
      </x:c>
      <x:c r="C8" s="13" t="str">
        <x:v>Opening paragraph</x:v>
      </x:c>
    </x:row>
    <x:row r="9">
      <x:c r="A9" s="13"/>
      <x:c r="B9" s="13"/>
      <x:c r="C9" s="13"/>
    </x:row>
    <x:row r="10">
      <x:c r="A10" s="13"/>
      <x:c r="B10" s="13"/>
      <x:c r="C10" s="13"/>
    </x:row>
    <x:row r="11">
      <x:c r="A11" s="13"/>
      <x:c r="B11" s="13"/>
      <x:c r="C11" s="13"/>
    </x:row>
    <x:row r="12">
      <x:c r="A12" s="13"/>
      <x:c r="B12" s="13"/>
      <x:c r="C12" s="13"/>
    </x:row>
    <x:row r="13">
      <x:c r="A13" s="13"/>
      <x:c r="B13" s="13"/>
      <x:c r="C13" s="13"/>
    </x:row>
    <x:row r="14">
      <x:c r="A14" s="13"/>
      <x:c r="B14" s="13"/>
      <x:c r="C14" s="13"/>
    </x:row>
    <x:row r="15">
      <x:c r="A15" s="13"/>
      <x:c r="B15" s="13"/>
      <x:c r="C15" s="13"/>
    </x:row>
    <x:row r="16">
      <x:c r="A16" s="13"/>
      <x:c r="B16" s="13"/>
      <x:c r="C16" s="13"/>
    </x:row>
    <x:row r="17">
      <x:c r="A17" s="13"/>
      <x:c r="B17" s="13"/>
      <x:c r="C17" s="13"/>
    </x:row>
    <x:row r="18">
      <x:c r="A18" s="13"/>
      <x:c r="B18" s="13"/>
      <x:c r="C18" s="13"/>
    </x:row>
    <x:row r="19">
      <x:c r="A19" s="13"/>
      <x:c r="B19" s="13"/>
      <x:c r="C19" s="13"/>
    </x:row>
    <x:row r="20">
      <x:c r="A20" s="13"/>
      <x:c r="B20" s="13"/>
      <x:c r="C20" s="13"/>
    </x:row>
  </x:sheetData>
  <x:mergeCells>
    <x:mergeCell ref="A1:C1"/>
  </x:mergeCells>
  <x:pageMargins left="0.7" right="0.7" top="0.75" bottom="0.75" header="0.3" footer="0.3"/>
</x:worksheet>
</file>

<file path=xl/worksheets/sheet15.xml><?xml version="1.0" encoding="utf-8"?>
<x:worksheet xmlns:x="http://schemas.openxmlformats.org/spreadsheetml/2006/main">
  <x:sheetFormatPr defaultRowHeight="15"/>
  <x:cols>
    <x:col min="1" max="1" width="42" hidden="0" customWidth="1"/>
    <x:col min="2" max="2" width="95" hidden="0" customWidth="1"/>
  </x:cols>
  <x:sheetData>
    <x:row r="1">
      <x:c r="A1" s="4" t="str">
        <x:v>How to Use This Vidyanjali School Adoption Budget Tool</x:v>
      </x:c>
    </x:row>
    <x:row r="3">
      <x:c r="A3" s="20" t="str">
        <x:v>Step</x:v>
      </x:c>
      <x:c r="B3" s="20" t="str">
        <x:v>Action</x:v>
      </x:c>
    </x:row>
    <x:row r="4">
      <x:c r="A4" s="13" t="str">
        <x:v>1</x:v>
      </x:c>
      <x:c r="B4" s="13" t="str">
        <x:v>Fill School_Profile sheet with school name, UDISE, district, block, expected start date and duration.</x:v>
      </x:c>
    </x:row>
    <x:row r="5">
      <x:c r="A5" s="13" t="str">
        <x:v>2</x:v>
      </x:c>
      <x:c r="B5" s="13" t="str">
        <x:v>Open each work-area sheet. Select Yes only for the Vidyanjali sub-items genuinely required by the school.</x:v>
      </x:c>
    </x:row>
    <x:row r="6">
      <x:c r="A6" s="13" t="str">
        <x:v>3</x:v>
      </x:c>
      <x:c r="B6" s="13" t="str">
        <x:v>Enter quantity for each selected item. Unit cost can be revised later using GeM, SoR or vendor quotation.</x:v>
      </x:c>
    </x:row>
    <x:row r="7">
      <x:c r="A7" s="13" t="str">
        <x:v>4</x:v>
      </x:c>
      <x:c r="B7" s="13" t="str">
        <x:v>Dashboard automatically calculates selected work areas, total selected components and estimated budget.</x:v>
      </x:c>
    </x:row>
    <x:row r="8">
      <x:c r="A8" s="13" t="str">
        <x:v>5</x:v>
      </x:c>
      <x:c r="B8" s="13" t="str">
        <x:v>Use the Dashboard total as the Estimated Budget in Vidyanjali.</x:v>
      </x:c>
    </x:row>
    <x:row r="9">
      <x:c r="A9" s="13" t="str">
        <x:v>6</x:v>
      </x:c>
      <x:c r="B9" s="13" t="str">
        <x:v>Use Proposal_Text sheet as the starting text for the PDF plan/proposal upload.</x:v>
      </x:c>
    </x:row>
    <x:row r="10">
      <x:c r="A10" s="13" t="str">
        <x:v>Important</x:v>
      </x:c>
      <x:c r="B10" s="13" t="str">
        <x:v>Items selected in sheets must exactly match the proposal, Vidyanjali quantities and implementation plan.</x:v>
      </x:c>
    </x:row>
  </x:sheetData>
  <x:mergeCells>
    <x:mergeCell ref="A1:F1"/>
  </x:mergeCells>
  <x:pageMargins left="0.7" right="0.7" top="0.75" bottom="0.75" header="0.3" footer="0.3"/>
</x:worksheet>
</file>